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IFERROR(1/IF(Inputs!$B$39="pvp",15,MAX(0.1,Skills!D5-IF(Skills!E5=TRUE,Inputs!$B$33,0))),0)</f>
        <v/>
      </c>
      <c r="R5">
        <f>IF(AND(Inputs!$B$39&lt;&gt;"pvp",Inputs!$B$44&gt;0),IF(MAX(0,Inputs!$B$44-Summary!$B$23)&lt;=0,0,(INT(MAX(0,Inputs!$B$44-Summary!$B$23)/IF(Inputs!$B$39="pvp",15,MAX(0.1,Skills!D5-IF(Skills!E5=TRUE,Inputs!$B$33,0))))+1)),0)</f>
        <v/>
      </c>
      <c r="S5">
        <f>IFERROR(O5/N5,0)</f>
        <v/>
      </c>
      <c r="T5">
        <f>IF(C5,(H5*N5*IF(AND(Inputs!$B$39&lt;&gt;"pvp",Inputs!$B$44&gt;0),((Skills!G5*((R5-1)*IF(Skills!H5&gt;0,Skills!I5/Skills!H5,1)+IF(Skills!H5&gt;0,MIN(Skills!I5,MAX(0,MAX(0,Inputs!$B$44-Summary!$B$23)-((R5-1)*IF(Inputs!$B$39="pvp",15,MAX(0.1,Skills!D5-IF(Skills!E5=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Skills!E5=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IFERROR(1/IF(Inputs!$B$39="pvp",15,MAX(0.1,Skills!D6-IF(Skills!E6=TRUE,Inputs!$B$33,0))),0)</f>
        <v/>
      </c>
      <c r="R6">
        <f>IF(AND(Inputs!$B$39&lt;&gt;"pvp",Inputs!$B$44&gt;0),IF(MAX(0,Inputs!$B$44-Summary!$B$23)&lt;=0,0,(INT(MAX(0,Inputs!$B$44-Summary!$B$23)/IF(Inputs!$B$39="pvp",15,MAX(0.1,Skills!D6-IF(Skills!E6=TRUE,Inputs!$B$33,0))))+1)),0)</f>
        <v/>
      </c>
      <c r="S6">
        <f>IFERROR(O6/N6,0)</f>
        <v/>
      </c>
      <c r="T6">
        <f>IF(C6,(H6*N6*IF(AND(Inputs!$B$39&lt;&gt;"pvp",Inputs!$B$44&gt;0),((Skills!G6*((R6-1)*IF(Skills!H6&gt;0,Skills!I6/Skills!H6,1)+IF(Skills!H6&gt;0,MIN(Skills!I6,MAX(0,MAX(0,Inputs!$B$44-Summary!$B$23)-((R6-1)*IF(Inputs!$B$39="pvp",15,MAX(0.1,Skills!D6-IF(Skills!E6=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Skills!E6=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IFERROR(1/IF(Inputs!$B$39="pvp",15,MAX(0.1,Skills!D7-IF(Skills!E7=TRUE,Inputs!$B$33,0))),0)</f>
        <v/>
      </c>
      <c r="R7">
        <f>IF(AND(Inputs!$B$39&lt;&gt;"pvp",Inputs!$B$44&gt;0),IF(MAX(0,Inputs!$B$44-Summary!$B$23)&lt;=0,0,(INT(MAX(0,Inputs!$B$44-Summary!$B$23)/IF(Inputs!$B$39="pvp",15,MAX(0.1,Skills!D7-IF(Skills!E7=TRUE,Inputs!$B$33,0))))+1)),0)</f>
        <v/>
      </c>
      <c r="S7">
        <f>IFERROR(O7/N7,0)</f>
        <v/>
      </c>
      <c r="T7">
        <f>IF(C7,(H7*N7*IF(AND(Inputs!$B$39&lt;&gt;"pvp",Inputs!$B$44&gt;0),((Skills!G7*((R7-1)*IF(Skills!H7&gt;0,Skills!I7/Skills!H7,1)+IF(Skills!H7&gt;0,MIN(Skills!I7,MAX(0,MAX(0,Inputs!$B$44-Summary!$B$23)-((R7-1)*IF(Inputs!$B$39="pvp",15,MAX(0.1,Skills!D7-IF(Skills!E7=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Skills!E7=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IFERROR(1/IF(Inputs!$B$39="pvp",15,MAX(0.1,Skills!D9-IF(Skills!E9=TRUE,Inputs!$B$33,0))),0)</f>
        <v/>
      </c>
      <c r="R9">
        <f>IF(AND(Inputs!$B$39&lt;&gt;"pvp",Inputs!$B$44&gt;0),IF(MAX(0,Inputs!$B$44-Summary!$B$23)&lt;=0,0,(INT(MAX(0,Inputs!$B$44-Summary!$B$23)/IF(Inputs!$B$39="pvp",15,MAX(0.1,Skills!D9-IF(Skills!E9=TRUE,Inputs!$B$33,0))))+1)),0)</f>
        <v/>
      </c>
      <c r="S9">
        <f>IFERROR(O9/N9,0)</f>
        <v/>
      </c>
      <c r="T9">
        <f>IF(C9,(H9*N9*IF(AND(Inputs!$B$39&lt;&gt;"pvp",Inputs!$B$44&gt;0),((Skills!G9*((R9-1)*IF(Skills!H9&gt;0,Skills!I9/Skills!H9,1)+IF(Skills!H9&gt;0,MIN(Skills!I9,MAX(0,MAX(0,Inputs!$B$44-Summary!$B$23)-((R9-1)*IF(Inputs!$B$39="pvp",15,MAX(0.1,Skills!D9-IF(Skills!E9=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Skills!E9=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IFERROR(1/IF(Inputs!$B$39="pvp",15,MAX(0.1,Skills!D10-IF(Skills!E10=TRUE,Inputs!$B$33,0))),0)</f>
        <v/>
      </c>
      <c r="R10">
        <f>IF(AND(Inputs!$B$39&lt;&gt;"pvp",Inputs!$B$44&gt;0),IF(MAX(0,Inputs!$B$44-Summary!$B$23)&lt;=0,0,(INT(MAX(0,Inputs!$B$44-Summary!$B$23)/IF(Inputs!$B$39="pvp",15,MAX(0.1,Skills!D10-IF(Skills!E10=TRUE,Inputs!$B$33,0))))+1)),0)</f>
        <v/>
      </c>
      <c r="S10">
        <f>IFERROR(O10/N10,0)</f>
        <v/>
      </c>
      <c r="T10">
        <f>IF(C10,(H10*N10*IF(AND(Inputs!$B$39&lt;&gt;"pvp",Inputs!$B$44&gt;0),((Skills!G10*((R10-1)*IF(Skills!H10&gt;0,Skills!I10/Skills!H10,1)+IF(Skills!H10&gt;0,MIN(Skills!I10,MAX(0,MAX(0,Inputs!$B$44-Summary!$B$23)-((R10-1)*IF(Inputs!$B$39="pvp",15,MAX(0.1,Skills!D10-IF(Skills!E10=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Skills!E10=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IFERROR(1/IF(Inputs!$B$39="pvp",15,MAX(0.1,Skills!D12-IF(Skills!E12=TRUE,Inputs!$B$33,0))),0)</f>
        <v/>
      </c>
      <c r="R12">
        <f>IF(AND(Inputs!$B$39&lt;&gt;"pvp",Inputs!$B$44&gt;0),IF(MAX(0,Inputs!$B$44-Summary!$B$23)&lt;=0,0,(INT(MAX(0,Inputs!$B$44-Summary!$B$23)/IF(Inputs!$B$39="pvp",15,MAX(0.1,Skills!D12-IF(Skills!E12=TRUE,Inputs!$B$33,0))))+1)),0)</f>
        <v/>
      </c>
      <c r="S12">
        <f>IFERROR(O12/N12,0)</f>
        <v/>
      </c>
      <c r="T12">
        <f>IF(C12,(H12*N12*IF(AND(Inputs!$B$39&lt;&gt;"pvp",Inputs!$B$44&gt;0),((Skills!G12*((R12-1)*IF(Skills!H12&gt;0,Skills!I12/Skills!H12,1)+IF(Skills!H12&gt;0,MIN(Skills!I12,MAX(0,MAX(0,Inputs!$B$44-Summary!$B$23)-((R12-1)*IF(Inputs!$B$39="pvp",15,MAX(0.1,Skills!D12-IF(Skills!E12=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Skills!E12=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Artifacts!$B$52)/100</f>
        <v/>
      </c>
    </row>
    <row r="14">
      <c r="A14" t="inlineStr">
        <is>
          <t>Global Crit Rate Bonus % (Lord of Darkness, proc-chance x duty-cycle)</t>
        </is>
      </c>
      <c r="B14">
        <f>((Calc!C18=TRUE)*Calc!F18*(Skills!J18/100)*IF(AND(Inputs!$B$39&lt;&gt;"pvp",Inputs!$B$44&gt;0),(((Calc!R18-1)*(Skills!T18*(1+Inputs!$B$35/100))+MIN((Skills!T18*(1+Inputs!$B$35/100)),MAX(0,Inputs!$B$44-((Calc!R18-1)*Skills!D18))))/Inputs!$B$44),IF(Inputs!$B$39="pvp",MIN((Skills!T18*(1+Inputs!$B$35/100)),15)/15,(Skills!T18*(1+Inputs!$B$35/100))/Skills!D18)))</f>
        <v/>
      </c>
    </row>
    <row r="15">
      <c r="A15" t="inlineStr">
        <is>
          <t>Global Monster Damage-Taken Bonus % (Evil Eye, all types + Dark Resonance, boss-only + Artifact Enemy Damage Taken Bonus)</t>
        </is>
      </c>
      <c r="B15">
        <f>((Calc!C17=TRUE)*Calc!F17*IF(AND(Inputs!$B$39&lt;&gt;"pvp",Inputs!$B$44&gt;0),(((Calc!R17-1)*(Skills!T17*(1+Inputs!$B$35/100))+MIN((Skills!T17*(1+Inputs!$B$35/100)),MAX(0,Inputs!$B$44-((Calc!R17-1)*Skills!D17))))/Inputs!$B$44),IF(Inputs!$B$39="pvp",MIN((Skills!T17*(1+Inputs!$B$35/100)),15)/15,(Skills!T17*(1+Inputs!$B$35/100))/Skills!D17)))+((Calc!C14=TRUE)*IF(Inputs!$B$39="pvp",20,(1-Summary!$B$11)*(20)+Summary!$B$11*(0))*IF(AND(Inputs!$B$39&lt;&gt;"pvp",Inputs!$B$44&gt;0),(((Calc!R14-1)*(Skills!T14*(1+Inputs!$B$35/100))+MIN((Skills!T14*(1+Inputs!$B$35/100)),MAX(0,Inputs!$B$44-((Calc!R14-1)*Skills!D14))))/Inputs!$B$44),IF(Inputs!$B$39="pvp",MIN((Skills!T14*(1+Inputs!$B$35/100)),15)/15,(Skills!T14*(1+Inputs!$B$35/100))/Skills!D14)))+Artifacts!$B$36</f>
        <v/>
      </c>
    </row>
    <row r="16">
      <c r="A16" t="inlineStr">
        <is>
          <t>Attack Speed Buff Bonus % (Nimble Feet, duty-cycle averaged)</t>
        </is>
      </c>
      <c r="B16">
        <f>((Calc!C20=TRUE)*Calc!F20*IF(AND(Inputs!$B$39&lt;&gt;"pvp",Inputs!$B$44&gt;0),(((Calc!R20-1)*(Skills!T20*(1+Inputs!$B$35/100))+MIN((Skills!T20*(1+Inputs!$B$35/100)),MAX(0,Inputs!$B$44-((Calc!R20-1)*Skills!D20))))/Inputs!$B$44),IF(Inputs!$B$39="pvp",MIN((Skills!T20*(1+Inputs!$B$35/100)),15)/15,(Skills!T20*(1+Inputs!$B$35/100))/Skills!D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Skills!T19*(1+Inputs!$B$35/100))+MIN((Skills!T19*(1+Inputs!$B$35/100)),MAX(0,Inputs!$B$44-((Calc!R19-1)*Skills!D19))))/Inputs!$B$44),IF(Inputs!$B$39="pvp",MIN((Skills!T19*(1+Inputs!$B$35/100)),15)/15,(Skills!T19*(1+Inputs!$B$35/100))/Skills!D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IFERROR(1/IF(Inputs!$B$39="pvp",15,MAX(0.1,Skills!D5-IF(Skills!E5=TRUE,Inputs!$B$33,0))),0)</f>
        <v/>
      </c>
      <c r="R78">
        <f>IF(AND(Inputs!$B$39&lt;&gt;"pvp",Inputs!$B$44&gt;0),IF(MAX(0,Inputs!$B$44-B109)&lt;=0,0,(INT(MAX(0,Inputs!$B$44-B109)/IF(Inputs!$B$39="pvp",15,MAX(0.1,Skills!D5-IF(Skills!E5=TRUE,Inputs!$B$33,0))))+1)),0)</f>
        <v/>
      </c>
      <c r="S78">
        <f>IFERROR(O78/N78,0)</f>
        <v/>
      </c>
      <c r="T78">
        <f>IF(C78,(H78*N78*IF(AND(Inputs!$B$39&lt;&gt;"pvp",Inputs!$B$44&gt;0),((Skills!G5*((R78-1)*IF(Skills!H5&gt;0,Skills!I5/Skills!H5,1)+IF(Skills!H5&gt;0,MIN(Skills!I5,MAX(0,MAX(0,Inputs!$B$44-B109)-((R78-1)*IF(Inputs!$B$39="pvp",15,MAX(0.1,Skills!D5-IF(Skills!E5=TRUE,Inputs!$B$33,0))))))/Skills!H5,1)))/Inputs!$B$44),G78*Q78))*IF(Inputs!$B$39="pvp",1,1+(Inputs!$B$21+0+Skills!P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Skills!E5=TRUE,Inputs!$B$33,0))))))/Skills!H5,1)))/Inputs!$B$44),G78*Q78))*IF(Inputs!$B$39="pvp",1,(1+(Inputs!$B$22+Skills!Q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IFERROR(1/IF(Inputs!$B$39="pvp",15,MAX(0.1,Skills!D6-IF(Skills!E6=TRUE,Inputs!$B$33,0))),0)</f>
        <v/>
      </c>
      <c r="R79">
        <f>IF(AND(Inputs!$B$39&lt;&gt;"pvp",Inputs!$B$44&gt;0),IF(MAX(0,Inputs!$B$44-B109)&lt;=0,0,(INT(MAX(0,Inputs!$B$44-B109)/IF(Inputs!$B$39="pvp",15,MAX(0.1,Skills!D6-IF(Skills!E6=TRUE,Inputs!$B$33,0))))+1)),0)</f>
        <v/>
      </c>
      <c r="S79">
        <f>IFERROR(O79/N79,0)</f>
        <v/>
      </c>
      <c r="T79">
        <f>IF(C79,(H79*N79*IF(AND(Inputs!$B$39&lt;&gt;"pvp",Inputs!$B$44&gt;0),((Skills!G6*((R79-1)*IF(Skills!H6&gt;0,Skills!I6/Skills!H6,1)+IF(Skills!H6&gt;0,MIN(Skills!I6,MAX(0,MAX(0,Inputs!$B$44-B109)-((R79-1)*IF(Inputs!$B$39="pvp",15,MAX(0.1,Skills!D6-IF(Skills!E6=TRUE,Inputs!$B$33,0))))))/Skills!H6,1)))/Inputs!$B$44),G79*Q79))*IF(Inputs!$B$39="pvp",1,1+(Inputs!$B$21+0+Skills!P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Skills!E6=TRUE,Inputs!$B$33,0))))))/Skills!H6,1)))/Inputs!$B$44),G79*Q79))*IF(Inputs!$B$39="pvp",1,(1+(Inputs!$B$22+Skills!Q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IFERROR(1/IF(Inputs!$B$39="pvp",15,MAX(0.1,Skills!D7-IF(Skills!E7=TRUE,Inputs!$B$33,0))),0)</f>
        <v/>
      </c>
      <c r="R80">
        <f>IF(AND(Inputs!$B$39&lt;&gt;"pvp",Inputs!$B$44&gt;0),IF(MAX(0,Inputs!$B$44-B109)&lt;=0,0,(INT(MAX(0,Inputs!$B$44-B109)/IF(Inputs!$B$39="pvp",15,MAX(0.1,Skills!D7-IF(Skills!E7=TRUE,Inputs!$B$33,0))))+1)),0)</f>
        <v/>
      </c>
      <c r="S80">
        <f>IFERROR(O80/N80,0)</f>
        <v/>
      </c>
      <c r="T80">
        <f>IF(C80,(H80*N80*IF(AND(Inputs!$B$39&lt;&gt;"pvp",Inputs!$B$44&gt;0),((Skills!G7*((R80-1)*IF(Skills!H7&gt;0,Skills!I7/Skills!H7,1)+IF(Skills!H7&gt;0,MIN(Skills!I7,MAX(0,MAX(0,Inputs!$B$44-B109)-((R80-1)*IF(Inputs!$B$39="pvp",15,MAX(0.1,Skills!D7-IF(Skills!E7=TRUE,Inputs!$B$33,0))))))/Skills!H7,1)))/Inputs!$B$44),G80*Q80))*IF(Inputs!$B$39="pvp",1,1+(Inputs!$B$21+0+Skills!P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Skills!E7=TRUE,Inputs!$B$33,0))))))/Skills!H7,1)))/Inputs!$B$44),G80*Q80))*IF(Inputs!$B$39="pvp",1,(1+(Inputs!$B$22+Skills!Q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IFERROR(1/IF(Inputs!$B$39="pvp",15,MAX(0.1,Skills!D9-IF(Skills!E9=TRUE,Inputs!$B$33,0))),0)</f>
        <v/>
      </c>
      <c r="R82">
        <f>IF(AND(Inputs!$B$39&lt;&gt;"pvp",Inputs!$B$44&gt;0),IF(MAX(0,Inputs!$B$44-B109)&lt;=0,0,(INT(MAX(0,Inputs!$B$44-B109)/IF(Inputs!$B$39="pvp",15,MAX(0.1,Skills!D9-IF(Skills!E9=TRUE,Inputs!$B$33,0))))+1)),0)</f>
        <v/>
      </c>
      <c r="S82">
        <f>IFERROR(O82/N82,0)</f>
        <v/>
      </c>
      <c r="T82">
        <f>IF(C82,(H82*N82*IF(AND(Inputs!$B$39&lt;&gt;"pvp",Inputs!$B$44&gt;0),((Skills!G9*((R82-1)*IF(Skills!H9&gt;0,Skills!I9/Skills!H9,1)+IF(Skills!H9&gt;0,MIN(Skills!I9,MAX(0,MAX(0,Inputs!$B$44-B109)-((R82-1)*IF(Inputs!$B$39="pvp",15,MAX(0.1,Skills!D9-IF(Skills!E9=TRUE,Inputs!$B$33,0))))))/Skills!H9,1)))/Inputs!$B$44),G82*Q82))*IF(Inputs!$B$39="pvp",1,1+(Inputs!$B$21+0+Skills!P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Skills!E9=TRUE,Inputs!$B$33,0))))))/Skills!H9,1)))/Inputs!$B$44),G82*Q82))*IF(Inputs!$B$39="pvp",1,(1+(Inputs!$B$22+Skills!Q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IFERROR(1/IF(Inputs!$B$39="pvp",15,MAX(0.1,Skills!D10-IF(Skills!E10=TRUE,Inputs!$B$33,0))),0)</f>
        <v/>
      </c>
      <c r="R83">
        <f>IF(AND(Inputs!$B$39&lt;&gt;"pvp",Inputs!$B$44&gt;0),IF(MAX(0,Inputs!$B$44-B109)&lt;=0,0,(INT(MAX(0,Inputs!$B$44-B109)/IF(Inputs!$B$39="pvp",15,MAX(0.1,Skills!D10-IF(Skills!E10=TRUE,Inputs!$B$33,0))))+1)),0)</f>
        <v/>
      </c>
      <c r="S83">
        <f>IFERROR(O83/N83,0)</f>
        <v/>
      </c>
      <c r="T83">
        <f>IF(C83,(H83*N83*IF(AND(Inputs!$B$39&lt;&gt;"pvp",Inputs!$B$44&gt;0),((Skills!G10*((R83-1)*IF(Skills!H10&gt;0,Skills!I10/Skills!H10,1)+IF(Skills!H10&gt;0,MIN(Skills!I10,MAX(0,MAX(0,Inputs!$B$44-B109)-((R83-1)*IF(Inputs!$B$39="pvp",15,MAX(0.1,Skills!D10-IF(Skills!E10=TRUE,Inputs!$B$33,0))))))/Skills!H10,1)))/Inputs!$B$44),G83*Q83))*IF(Inputs!$B$39="pvp",1,1+(Inputs!$B$21+0+Skills!P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Skills!E10=TRUE,Inputs!$B$33,0))))))/Skills!H10,1)))/Inputs!$B$44),G83*Q83))*IF(Inputs!$B$39="pvp",1,(1+(Inputs!$B$22+Skills!Q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IFERROR(1/IF(Inputs!$B$39="pvp",15,MAX(0.1,Skills!D12-IF(Skills!E12=TRUE,Inputs!$B$33,0))),0)</f>
        <v/>
      </c>
      <c r="R85">
        <f>IF(AND(Inputs!$B$39&lt;&gt;"pvp",Inputs!$B$44&gt;0),IF(MAX(0,Inputs!$B$44-B109)&lt;=0,0,(INT(MAX(0,Inputs!$B$44-B109)/IF(Inputs!$B$39="pvp",15,MAX(0.1,Skills!D12-IF(Skills!E12=TRUE,Inputs!$B$33,0))))+1)),0)</f>
        <v/>
      </c>
      <c r="S85">
        <f>IFERROR(O85/N85,0)</f>
        <v/>
      </c>
      <c r="T85">
        <f>IF(C85,(H85*N85*IF(AND(Inputs!$B$39&lt;&gt;"pvp",Inputs!$B$44&gt;0),((Skills!G12*((R85-1)*IF(Skills!H12&gt;0,Skills!I12/Skills!H12,1)+IF(Skills!H12&gt;0,MIN(Skills!I12,MAX(0,MAX(0,Inputs!$B$44-B109)-((R85-1)*IF(Inputs!$B$39="pvp",15,MAX(0.1,Skills!D12-IF(Skills!E12=TRUE,Inputs!$B$33,0))))))/Skills!H12,1)))/Inputs!$B$44),G85*Q85))*IF(Inputs!$B$39="pvp",1,1+(Inputs!$B$21+0+Skills!P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Skills!E12=TRUE,Inputs!$B$33,0))))))/Skills!H12,1)))/Inputs!$B$44),G85*Q85))*IF(Inputs!$B$39="pvp",1,(1+(Inputs!$B$22+Skills!Q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IFERROR(1/IF(Inputs!$B$39="pvp",15,MAX(0.1,Skills!D13-IF(Skills!E13=TRUE,Inputs!$B$33,0))),0)</f>
        <v/>
      </c>
      <c r="R86">
        <f>IF(AND(Inputs!$B$39&lt;&gt;"pvp",Inputs!$B$44&gt;0),IF(Inputs!$B$44&lt;=0,0,(INT(Inputs!$B$44/IF(Inputs!$B$39="pvp",15,MAX(0.1,Skills!D13-IF(Skills!E13=TRUE,Inputs!$B$33,0))))+1)),0)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IFERROR(1/IF(Inputs!$B$39="pvp",15,MAX(0.1,Skills!D14-IF(Skills!E14=TRUE,Inputs!$B$33,0))),0)</f>
        <v/>
      </c>
      <c r="R87">
        <f>IF(AND(Inputs!$B$39&lt;&gt;"pvp",Inputs!$B$44&gt;0),IF(Inputs!$B$44&lt;=0,0,(INT(Inputs!$B$44/IF(Inputs!$B$39="pvp",15,MAX(0.1,Skills!D14-IF(Skills!E14=TRUE,Inputs!$B$33,0))))+1)),0)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IFERROR(1/IF(Inputs!$B$39="pvp",15,MAX(0.1,Skills!D15-IF(Skills!E15=TRUE,Inputs!$B$33,0))),0)</f>
        <v/>
      </c>
      <c r="R88">
        <f>IF(AND(Inputs!$B$39&lt;&gt;"pvp",Inputs!$B$44&gt;0),IF(Inputs!$B$44&lt;=0,0,(INT(Inputs!$B$44/IF(Inputs!$B$39="pvp",15,MAX(0.1,Skills!D15-IF(Skills!E15=TRUE,Inputs!$B$33,0))))+1)),0)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IFERROR(1/IF(Inputs!$B$39="pvp",15,MAX(0.1,Skills!D16-IF(Skills!E16=TRUE,Inputs!$B$33,0))),0)</f>
        <v/>
      </c>
      <c r="R89">
        <f>IF(AND(Inputs!$B$39&lt;&gt;"pvp",Inputs!$B$44&gt;0),IF(Inputs!$B$44&lt;=0,0,(INT(Inputs!$B$44/IF(Inputs!$B$39="pvp",15,MAX(0.1,Skills!D16-IF(Skills!E16=TRUE,Inputs!$B$33,0))))+1)),0)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IFERROR(1/IF(Inputs!$B$39="pvp",15,MAX(0.1,Skills!D17-IF(Skills!E17=TRUE,Inputs!$B$33,0))),0)</f>
        <v/>
      </c>
      <c r="R90">
        <f>IF(AND(Inputs!$B$39&lt;&gt;"pvp",Inputs!$B$44&gt;0),IF(Inputs!$B$44&lt;=0,0,(INT(Inputs!$B$44/IF(Inputs!$B$39="pvp",15,MAX(0.1,Skills!D17-IF(Skills!E17=TRUE,Inputs!$B$33,0))))+1)),0)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IFERROR(1/IF(Inputs!$B$39="pvp",15,MAX(0.1,Skills!D18-IF(Skills!E18=TRUE,Inputs!$B$33,0))),0)</f>
        <v/>
      </c>
      <c r="R91">
        <f>IF(AND(Inputs!$B$39&lt;&gt;"pvp",Inputs!$B$44&gt;0),IF(Inputs!$B$44&lt;=0,0,(INT(Inputs!$B$44/IF(Inputs!$B$39="pvp",15,MAX(0.1,Skills!D18-IF(Skills!E18=TRUE,Inputs!$B$33,0))))+1)),0)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IFERROR(1/IF(Inputs!$B$39="pvp",15,MAX(0.1,Skills!D19-IF(Skills!E19=TRUE,Inputs!$B$33,0))),0)</f>
        <v/>
      </c>
      <c r="R92">
        <f>IF(AND(Inputs!$B$39&lt;&gt;"pvp",Inputs!$B$44&gt;0),IF(Inputs!$B$44&lt;=0,0,(INT(Inputs!$B$44/IF(Inputs!$B$39="pvp",15,MAX(0.1,Skills!D19-IF(Skills!E19=TRUE,Inputs!$B$33,0))))+1)),0)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IFERROR(1/IF(Inputs!$B$39="pvp",15,MAX(0.1,Skills!D20-IF(Skills!E20=TRUE,Inputs!$B$33,0))),0)</f>
        <v/>
      </c>
      <c r="R93">
        <f>IF(AND(Inputs!$B$39&lt;&gt;"pvp",Inputs!$B$44&gt;0),IF(Inputs!$B$44&lt;=0,0,(INT(Inputs!$B$44/IF(Inputs!$B$39="pvp",15,MAX(0.1,Skills!D20-IF(Skills!E20=TRUE,Inputs!$B$33,0))))+1)),0)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Skills!T18*(1+Inputs!$B$35/100))+MIN((Skills!T18*(1+Inputs!$B$35/100)),MAX(0,Inputs!$B$44-((R91-1)*Skills!D18))))/Inputs!$B$44),IF(Inputs!$B$39="pvp",MIN((Skills!T18*(1+Inputs!$B$35/100)),15)/15,(Skills!T18*(1+Inputs!$B$35/100))/Skills!D18)))</f>
        <v/>
      </c>
    </row>
    <row r="103">
      <c r="A103" t="inlineStr">
        <is>
          <t>Attack Speed Buff Bonus %</t>
        </is>
      </c>
      <c r="B103">
        <f>((C93=TRUE)*F93*IF(AND(Inputs!$B$39&lt;&gt;"pvp",Inputs!$B$44&gt;0),(((R93-1)*(Skills!T20*(1+Inputs!$B$35/100))+MIN((Skills!T20*(1+Inputs!$B$35/100)),MAX(0,Inputs!$B$44-((R93-1)*Skills!D20))))/Inputs!$B$44),IF(Inputs!$B$39="pvp",MIN((Skills!T20*(1+Inputs!$B$35/100)),15)/15,(Skills!T20*(1+Inputs!$B$35/100))/Skills!D20)))</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Skills!T19*(1+Inputs!$B$35/100))+MIN((Skills!T19*(1+Inputs!$B$35/100)),MAX(0,Inputs!$B$44-((R92-1)*Skills!D19))))/Inputs!$B$44),IF(Inputs!$B$39="pvp",MIN((Skills!T19*(1+Inputs!$B$35/100)),15)/15,(Skills!T19*(1+Inputs!$B$35/100))/Skills!D19)))</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IFERROR(1/IF(Inputs!$B$39="pvp",15,MAX(0.1,Skills!D5-IF(Skills!E5=TRUE,Inputs!$B$33,0))),0)</f>
        <v/>
      </c>
      <c r="R120">
        <f>IF(AND(Inputs!$B$39&lt;&gt;"pvp",Inputs!$B$44&gt;0),IF(MAX(0,Inputs!$B$44-B151)&lt;=0,0,(INT(MAX(0,Inputs!$B$44-B151)/IF(Inputs!$B$39="pvp",15,MAX(0.1,Skills!D5-IF(Skills!E5=TRUE,Inputs!$B$33,0))))+1)),0)</f>
        <v/>
      </c>
      <c r="S120">
        <f>IFERROR(O120/N120,0)</f>
        <v/>
      </c>
      <c r="T120">
        <f>IF(C120,(H120*N120*IF(AND(Inputs!$B$39&lt;&gt;"pvp",Inputs!$B$44&gt;0),((Skills!G5*((R120-1)*IF(Skills!H5&gt;0,Skills!I5/Skills!H5,1)+IF(Skills!H5&gt;0,MIN(Skills!I5,MAX(0,MAX(0,Inputs!$B$44-B151)-((R120-1)*IF(Inputs!$B$39="pvp",15,MAX(0.1,Skills!D5-IF(Skills!E5=TRUE,Inputs!$B$33,0))))))/Skills!H5,1)))/Inputs!$B$44),G120*Q120))*IF(Inputs!$B$39="pvp",1,1+(Inputs!$B$21+0+Skills!P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Skills!E5=TRUE,Inputs!$B$33,0))))))/Skills!H5,1)))/Inputs!$B$44),G120*Q120))*IF(Inputs!$B$39="pvp",1,(1+(Inputs!$B$22+Skills!Q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IFERROR(1/IF(Inputs!$B$39="pvp",15,MAX(0.1,Skills!D6-IF(Skills!E6=TRUE,Inputs!$B$33,0))),0)</f>
        <v/>
      </c>
      <c r="R121">
        <f>IF(AND(Inputs!$B$39&lt;&gt;"pvp",Inputs!$B$44&gt;0),IF(MAX(0,Inputs!$B$44-B151)&lt;=0,0,(INT(MAX(0,Inputs!$B$44-B151)/IF(Inputs!$B$39="pvp",15,MAX(0.1,Skills!D6-IF(Skills!E6=TRUE,Inputs!$B$33,0))))+1)),0)</f>
        <v/>
      </c>
      <c r="S121">
        <f>IFERROR(O121/N121,0)</f>
        <v/>
      </c>
      <c r="T121">
        <f>IF(C121,(H121*N121*IF(AND(Inputs!$B$39&lt;&gt;"pvp",Inputs!$B$44&gt;0),((Skills!G6*((R121-1)*IF(Skills!H6&gt;0,Skills!I6/Skills!H6,1)+IF(Skills!H6&gt;0,MIN(Skills!I6,MAX(0,MAX(0,Inputs!$B$44-B151)-((R121-1)*IF(Inputs!$B$39="pvp",15,MAX(0.1,Skills!D6-IF(Skills!E6=TRUE,Inputs!$B$33,0))))))/Skills!H6,1)))/Inputs!$B$44),G121*Q121))*IF(Inputs!$B$39="pvp",1,1+(Inputs!$B$21+0+Skills!P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Skills!E6=TRUE,Inputs!$B$33,0))))))/Skills!H6,1)))/Inputs!$B$44),G121*Q121))*IF(Inputs!$B$39="pvp",1,(1+(Inputs!$B$22+Skills!Q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IFERROR(1/IF(Inputs!$B$39="pvp",15,MAX(0.1,Skills!D7-IF(Skills!E7=TRUE,Inputs!$B$33,0))),0)</f>
        <v/>
      </c>
      <c r="R122">
        <f>IF(AND(Inputs!$B$39&lt;&gt;"pvp",Inputs!$B$44&gt;0),IF(MAX(0,Inputs!$B$44-B151)&lt;=0,0,(INT(MAX(0,Inputs!$B$44-B151)/IF(Inputs!$B$39="pvp",15,MAX(0.1,Skills!D7-IF(Skills!E7=TRUE,Inputs!$B$33,0))))+1)),0)</f>
        <v/>
      </c>
      <c r="S122">
        <f>IFERROR(O122/N122,0)</f>
        <v/>
      </c>
      <c r="T122">
        <f>IF(C122,(H122*N122*IF(AND(Inputs!$B$39&lt;&gt;"pvp",Inputs!$B$44&gt;0),((Skills!G7*((R122-1)*IF(Skills!H7&gt;0,Skills!I7/Skills!H7,1)+IF(Skills!H7&gt;0,MIN(Skills!I7,MAX(0,MAX(0,Inputs!$B$44-B151)-((R122-1)*IF(Inputs!$B$39="pvp",15,MAX(0.1,Skills!D7-IF(Skills!E7=TRUE,Inputs!$B$33,0))))))/Skills!H7,1)))/Inputs!$B$44),G122*Q122))*IF(Inputs!$B$39="pvp",1,1+(Inputs!$B$21+0+Skills!P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Skills!E7=TRUE,Inputs!$B$33,0))))))/Skills!H7,1)))/Inputs!$B$44),G122*Q122))*IF(Inputs!$B$39="pvp",1,(1+(Inputs!$B$22+Skills!Q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IFERROR(1/IF(Inputs!$B$39="pvp",15,MAX(0.1,Skills!D9-IF(Skills!E9=TRUE,Inputs!$B$33,0))),0)</f>
        <v/>
      </c>
      <c r="R124">
        <f>IF(AND(Inputs!$B$39&lt;&gt;"pvp",Inputs!$B$44&gt;0),IF(MAX(0,Inputs!$B$44-B151)&lt;=0,0,(INT(MAX(0,Inputs!$B$44-B151)/IF(Inputs!$B$39="pvp",15,MAX(0.1,Skills!D9-IF(Skills!E9=TRUE,Inputs!$B$33,0))))+1)),0)</f>
        <v/>
      </c>
      <c r="S124">
        <f>IFERROR(O124/N124,0)</f>
        <v/>
      </c>
      <c r="T124">
        <f>IF(C124,(H124*N124*IF(AND(Inputs!$B$39&lt;&gt;"pvp",Inputs!$B$44&gt;0),((Skills!G9*((R124-1)*IF(Skills!H9&gt;0,Skills!I9/Skills!H9,1)+IF(Skills!H9&gt;0,MIN(Skills!I9,MAX(0,MAX(0,Inputs!$B$44-B151)-((R124-1)*IF(Inputs!$B$39="pvp",15,MAX(0.1,Skills!D9-IF(Skills!E9=TRUE,Inputs!$B$33,0))))))/Skills!H9,1)))/Inputs!$B$44),G124*Q124))*IF(Inputs!$B$39="pvp",1,1+(Inputs!$B$21+0+Skills!P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Skills!E9=TRUE,Inputs!$B$33,0))))))/Skills!H9,1)))/Inputs!$B$44),G124*Q124))*IF(Inputs!$B$39="pvp",1,(1+(Inputs!$B$22+Skills!Q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IFERROR(1/IF(Inputs!$B$39="pvp",15,MAX(0.1,Skills!D10-IF(Skills!E10=TRUE,Inputs!$B$33,0))),0)</f>
        <v/>
      </c>
      <c r="R125">
        <f>IF(AND(Inputs!$B$39&lt;&gt;"pvp",Inputs!$B$44&gt;0),IF(MAX(0,Inputs!$B$44-B151)&lt;=0,0,(INT(MAX(0,Inputs!$B$44-B151)/IF(Inputs!$B$39="pvp",15,MAX(0.1,Skills!D10-IF(Skills!E10=TRUE,Inputs!$B$33,0))))+1)),0)</f>
        <v/>
      </c>
      <c r="S125">
        <f>IFERROR(O125/N125,0)</f>
        <v/>
      </c>
      <c r="T125">
        <f>IF(C125,(H125*N125*IF(AND(Inputs!$B$39&lt;&gt;"pvp",Inputs!$B$44&gt;0),((Skills!G10*((R125-1)*IF(Skills!H10&gt;0,Skills!I10/Skills!H10,1)+IF(Skills!H10&gt;0,MIN(Skills!I10,MAX(0,MAX(0,Inputs!$B$44-B151)-((R125-1)*IF(Inputs!$B$39="pvp",15,MAX(0.1,Skills!D10-IF(Skills!E10=TRUE,Inputs!$B$33,0))))))/Skills!H10,1)))/Inputs!$B$44),G125*Q125))*IF(Inputs!$B$39="pvp",1,1+(Inputs!$B$21+0+Skills!P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Skills!E10=TRUE,Inputs!$B$33,0))))))/Skills!H10,1)))/Inputs!$B$44),G125*Q125))*IF(Inputs!$B$39="pvp",1,(1+(Inputs!$B$22+Skills!Q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IFERROR(1/IF(Inputs!$B$39="pvp",15,MAX(0.1,Skills!D12-IF(Skills!E12=TRUE,Inputs!$B$33,0))),0)</f>
        <v/>
      </c>
      <c r="R127">
        <f>IF(AND(Inputs!$B$39&lt;&gt;"pvp",Inputs!$B$44&gt;0),IF(MAX(0,Inputs!$B$44-B151)&lt;=0,0,(INT(MAX(0,Inputs!$B$44-B151)/IF(Inputs!$B$39="pvp",15,MAX(0.1,Skills!D12-IF(Skills!E12=TRUE,Inputs!$B$33,0))))+1)),0)</f>
        <v/>
      </c>
      <c r="S127">
        <f>IFERROR(O127/N127,0)</f>
        <v/>
      </c>
      <c r="T127">
        <f>IF(C127,(H127*N127*IF(AND(Inputs!$B$39&lt;&gt;"pvp",Inputs!$B$44&gt;0),((Skills!G12*((R127-1)*IF(Skills!H12&gt;0,Skills!I12/Skills!H12,1)+IF(Skills!H12&gt;0,MIN(Skills!I12,MAX(0,MAX(0,Inputs!$B$44-B151)-((R127-1)*IF(Inputs!$B$39="pvp",15,MAX(0.1,Skills!D12-IF(Skills!E12=TRUE,Inputs!$B$33,0))))))/Skills!H12,1)))/Inputs!$B$44),G127*Q127))*IF(Inputs!$B$39="pvp",1,1+(Inputs!$B$21+0+Skills!P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Skills!E12=TRUE,Inputs!$B$33,0))))))/Skills!H12,1)))/Inputs!$B$44),G127*Q127))*IF(Inputs!$B$39="pvp",1,(1+(Inputs!$B$22+Skills!Q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IFERROR(1/IF(Inputs!$B$39="pvp",15,MAX(0.1,Skills!D13-IF(Skills!E13=TRUE,Inputs!$B$33,0))),0)</f>
        <v/>
      </c>
      <c r="R128">
        <f>IF(AND(Inputs!$B$39&lt;&gt;"pvp",Inputs!$B$44&gt;0),IF(Inputs!$B$44&lt;=0,0,(INT(Inputs!$B$44/IF(Inputs!$B$39="pvp",15,MAX(0.1,Skills!D13-IF(Skills!E13=TRUE,Inputs!$B$33,0))))+1)),0)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IFERROR(1/IF(Inputs!$B$39="pvp",15,MAX(0.1,Skills!D14-IF(Skills!E14=TRUE,Inputs!$B$33,0))),0)</f>
        <v/>
      </c>
      <c r="R129">
        <f>IF(AND(Inputs!$B$39&lt;&gt;"pvp",Inputs!$B$44&gt;0),IF(Inputs!$B$44&lt;=0,0,(INT(Inputs!$B$44/IF(Inputs!$B$39="pvp",15,MAX(0.1,Skills!D14-IF(Skills!E14=TRUE,Inputs!$B$33,0))))+1)),0)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IFERROR(1/IF(Inputs!$B$39="pvp",15,MAX(0.1,Skills!D15-IF(Skills!E15=TRUE,Inputs!$B$33,0))),0)</f>
        <v/>
      </c>
      <c r="R130">
        <f>IF(AND(Inputs!$B$39&lt;&gt;"pvp",Inputs!$B$44&gt;0),IF(Inputs!$B$44&lt;=0,0,(INT(Inputs!$B$44/IF(Inputs!$B$39="pvp",15,MAX(0.1,Skills!D15-IF(Skills!E15=TRUE,Inputs!$B$33,0))))+1)),0)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IFERROR(1/IF(Inputs!$B$39="pvp",15,MAX(0.1,Skills!D16-IF(Skills!E16=TRUE,Inputs!$B$33,0))),0)</f>
        <v/>
      </c>
      <c r="R131">
        <f>IF(AND(Inputs!$B$39&lt;&gt;"pvp",Inputs!$B$44&gt;0),IF(Inputs!$B$44&lt;=0,0,(INT(Inputs!$B$44/IF(Inputs!$B$39="pvp",15,MAX(0.1,Skills!D16-IF(Skills!E16=TRUE,Inputs!$B$33,0))))+1)),0)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IFERROR(1/IF(Inputs!$B$39="pvp",15,MAX(0.1,Skills!D17-IF(Skills!E17=TRUE,Inputs!$B$33,0))),0)</f>
        <v/>
      </c>
      <c r="R132">
        <f>IF(AND(Inputs!$B$39&lt;&gt;"pvp",Inputs!$B$44&gt;0),IF(Inputs!$B$44&lt;=0,0,(INT(Inputs!$B$44/IF(Inputs!$B$39="pvp",15,MAX(0.1,Skills!D17-IF(Skills!E17=TRUE,Inputs!$B$33,0))))+1)),0)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IFERROR(1/IF(Inputs!$B$39="pvp",15,MAX(0.1,Skills!D18-IF(Skills!E18=TRUE,Inputs!$B$33,0))),0)</f>
        <v/>
      </c>
      <c r="R133">
        <f>IF(AND(Inputs!$B$39&lt;&gt;"pvp",Inputs!$B$44&gt;0),IF(Inputs!$B$44&lt;=0,0,(INT(Inputs!$B$44/IF(Inputs!$B$39="pvp",15,MAX(0.1,Skills!D18-IF(Skills!E18=TRUE,Inputs!$B$33,0))))+1)),0)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IFERROR(1/IF(Inputs!$B$39="pvp",15,MAX(0.1,Skills!D19-IF(Skills!E19=TRUE,Inputs!$B$33,0))),0)</f>
        <v/>
      </c>
      <c r="R134">
        <f>IF(AND(Inputs!$B$39&lt;&gt;"pvp",Inputs!$B$44&gt;0),IF(Inputs!$B$44&lt;=0,0,(INT(Inputs!$B$44/IF(Inputs!$B$39="pvp",15,MAX(0.1,Skills!D19-IF(Skills!E19=TRUE,Inputs!$B$33,0))))+1)),0)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IFERROR(1/IF(Inputs!$B$39="pvp",15,MAX(0.1,Skills!D20-IF(Skills!E20=TRUE,Inputs!$B$33,0))),0)</f>
        <v/>
      </c>
      <c r="R135">
        <f>IF(AND(Inputs!$B$39&lt;&gt;"pvp",Inputs!$B$44&gt;0),IF(Inputs!$B$44&lt;=0,0,(INT(Inputs!$B$44/IF(Inputs!$B$39="pvp",15,MAX(0.1,Skills!D20-IF(Skills!E20=TRUE,Inputs!$B$33,0))))+1)),0)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IFERROR(1/IF(Inputs!$B$39="pvp",15,MAX(0.1,Skills!D5-IF(Skills!E5=TRUE,Inputs!$B$33,0))),0)</f>
        <v/>
      </c>
      <c r="R162">
        <f>IF(AND(Inputs!$B$39&lt;&gt;"pvp",Inputs!$B$44&gt;0),IF(MAX(0,Inputs!$B$44-B193)&lt;=0,0,(INT(MAX(0,Inputs!$B$44-B193)/IF(Inputs!$B$39="pvp",15,MAX(0.1,Skills!D5-IF(Skills!E5=TRUE,Inputs!$B$33,0))))+1)),0)</f>
        <v/>
      </c>
      <c r="S162">
        <f>IFERROR(O162/N162,0)</f>
        <v/>
      </c>
      <c r="T162">
        <f>IF(C162,(H162*N162*IF(AND(Inputs!$B$39&lt;&gt;"pvp",Inputs!$B$44&gt;0),((Skills!G5*((R162-1)*IF(Skills!H5&gt;0,Skills!I5/Skills!H5,1)+IF(Skills!H5&gt;0,MIN(Skills!I5,MAX(0,MAX(0,Inputs!$B$44-B193)-((R162-1)*IF(Inputs!$B$39="pvp",15,MAX(0.1,Skills!D5-IF(Skills!E5=TRUE,Inputs!$B$33,0))))))/Skills!H5,1)))/Inputs!$B$44),G162*Q162))*IF(Inputs!$B$39="pvp",1,1+(Inputs!$B$21+0+Skills!P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Skills!E5=TRUE,Inputs!$B$33,0))))))/Skills!H5,1)))/Inputs!$B$44),G162*Q162))*IF(Inputs!$B$39="pvp",1,(1+(Inputs!$B$22+Skills!Q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IFERROR(1/IF(Inputs!$B$39="pvp",15,MAX(0.1,Skills!D6-IF(Skills!E6=TRUE,Inputs!$B$33,0))),0)</f>
        <v/>
      </c>
      <c r="R163">
        <f>IF(AND(Inputs!$B$39&lt;&gt;"pvp",Inputs!$B$44&gt;0),IF(MAX(0,Inputs!$B$44-B193)&lt;=0,0,(INT(MAX(0,Inputs!$B$44-B193)/IF(Inputs!$B$39="pvp",15,MAX(0.1,Skills!D6-IF(Skills!E6=TRUE,Inputs!$B$33,0))))+1)),0)</f>
        <v/>
      </c>
      <c r="S163">
        <f>IFERROR(O163/N163,0)</f>
        <v/>
      </c>
      <c r="T163">
        <f>IF(C163,(H163*N163*IF(AND(Inputs!$B$39&lt;&gt;"pvp",Inputs!$B$44&gt;0),((Skills!G6*((R163-1)*IF(Skills!H6&gt;0,Skills!I6/Skills!H6,1)+IF(Skills!H6&gt;0,MIN(Skills!I6,MAX(0,MAX(0,Inputs!$B$44-B193)-((R163-1)*IF(Inputs!$B$39="pvp",15,MAX(0.1,Skills!D6-IF(Skills!E6=TRUE,Inputs!$B$33,0))))))/Skills!H6,1)))/Inputs!$B$44),G163*Q163))*IF(Inputs!$B$39="pvp",1,1+(Inputs!$B$21+0+Skills!P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Skills!E6=TRUE,Inputs!$B$33,0))))))/Skills!H6,1)))/Inputs!$B$44),G163*Q163))*IF(Inputs!$B$39="pvp",1,(1+(Inputs!$B$22+Skills!Q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IFERROR(1/IF(Inputs!$B$39="pvp",15,MAX(0.1,Skills!D7-IF(Skills!E7=TRUE,Inputs!$B$33,0))),0)</f>
        <v/>
      </c>
      <c r="R164">
        <f>IF(AND(Inputs!$B$39&lt;&gt;"pvp",Inputs!$B$44&gt;0),IF(MAX(0,Inputs!$B$44-B193)&lt;=0,0,(INT(MAX(0,Inputs!$B$44-B193)/IF(Inputs!$B$39="pvp",15,MAX(0.1,Skills!D7-IF(Skills!E7=TRUE,Inputs!$B$33,0))))+1)),0)</f>
        <v/>
      </c>
      <c r="S164">
        <f>IFERROR(O164/N164,0)</f>
        <v/>
      </c>
      <c r="T164">
        <f>IF(C164,(H164*N164*IF(AND(Inputs!$B$39&lt;&gt;"pvp",Inputs!$B$44&gt;0),((Skills!G7*((R164-1)*IF(Skills!H7&gt;0,Skills!I7/Skills!H7,1)+IF(Skills!H7&gt;0,MIN(Skills!I7,MAX(0,MAX(0,Inputs!$B$44-B193)-((R164-1)*IF(Inputs!$B$39="pvp",15,MAX(0.1,Skills!D7-IF(Skills!E7=TRUE,Inputs!$B$33,0))))))/Skills!H7,1)))/Inputs!$B$44),G164*Q164))*IF(Inputs!$B$39="pvp",1,1+(Inputs!$B$21+0+Skills!P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Skills!E7=TRUE,Inputs!$B$33,0))))))/Skills!H7,1)))/Inputs!$B$44),G164*Q164))*IF(Inputs!$B$39="pvp",1,(1+(Inputs!$B$22+Skills!Q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IFERROR(1/IF(Inputs!$B$39="pvp",15,MAX(0.1,Skills!D9-IF(Skills!E9=TRUE,Inputs!$B$33,0))),0)</f>
        <v/>
      </c>
      <c r="R166">
        <f>IF(AND(Inputs!$B$39&lt;&gt;"pvp",Inputs!$B$44&gt;0),IF(MAX(0,Inputs!$B$44-B193)&lt;=0,0,(INT(MAX(0,Inputs!$B$44-B193)/IF(Inputs!$B$39="pvp",15,MAX(0.1,Skills!D9-IF(Skills!E9=TRUE,Inputs!$B$33,0))))+1)),0)</f>
        <v/>
      </c>
      <c r="S166">
        <f>IFERROR(O166/N166,0)</f>
        <v/>
      </c>
      <c r="T166">
        <f>IF(C166,(H166*N166*IF(AND(Inputs!$B$39&lt;&gt;"pvp",Inputs!$B$44&gt;0),((Skills!G9*((R166-1)*IF(Skills!H9&gt;0,Skills!I9/Skills!H9,1)+IF(Skills!H9&gt;0,MIN(Skills!I9,MAX(0,MAX(0,Inputs!$B$44-B193)-((R166-1)*IF(Inputs!$B$39="pvp",15,MAX(0.1,Skills!D9-IF(Skills!E9=TRUE,Inputs!$B$33,0))))))/Skills!H9,1)))/Inputs!$B$44),G166*Q166))*IF(Inputs!$B$39="pvp",1,1+(Inputs!$B$21+0+Skills!P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Skills!E9=TRUE,Inputs!$B$33,0))))))/Skills!H9,1)))/Inputs!$B$44),G166*Q166))*IF(Inputs!$B$39="pvp",1,(1+(Inputs!$B$22+Skills!Q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IFERROR(1/IF(Inputs!$B$39="pvp",15,MAX(0.1,Skills!D10-IF(Skills!E10=TRUE,Inputs!$B$33,0))),0)</f>
        <v/>
      </c>
      <c r="R167">
        <f>IF(AND(Inputs!$B$39&lt;&gt;"pvp",Inputs!$B$44&gt;0),IF(MAX(0,Inputs!$B$44-B193)&lt;=0,0,(INT(MAX(0,Inputs!$B$44-B193)/IF(Inputs!$B$39="pvp",15,MAX(0.1,Skills!D10-IF(Skills!E10=TRUE,Inputs!$B$33,0))))+1)),0)</f>
        <v/>
      </c>
      <c r="S167">
        <f>IFERROR(O167/N167,0)</f>
        <v/>
      </c>
      <c r="T167">
        <f>IF(C167,(H167*N167*IF(AND(Inputs!$B$39&lt;&gt;"pvp",Inputs!$B$44&gt;0),((Skills!G10*((R167-1)*IF(Skills!H10&gt;0,Skills!I10/Skills!H10,1)+IF(Skills!H10&gt;0,MIN(Skills!I10,MAX(0,MAX(0,Inputs!$B$44-B193)-((R167-1)*IF(Inputs!$B$39="pvp",15,MAX(0.1,Skills!D10-IF(Skills!E10=TRUE,Inputs!$B$33,0))))))/Skills!H10,1)))/Inputs!$B$44),G167*Q167))*IF(Inputs!$B$39="pvp",1,1+(Inputs!$B$21+0+Skills!P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Skills!E10=TRUE,Inputs!$B$33,0))))))/Skills!H10,1)))/Inputs!$B$44),G167*Q167))*IF(Inputs!$B$39="pvp",1,(1+(Inputs!$B$22+Skills!Q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IFERROR(1/IF(Inputs!$B$39="pvp",15,MAX(0.1,Skills!D12-IF(Skills!E12=TRUE,Inputs!$B$33,0))),0)</f>
        <v/>
      </c>
      <c r="R169">
        <f>IF(AND(Inputs!$B$39&lt;&gt;"pvp",Inputs!$B$44&gt;0),IF(MAX(0,Inputs!$B$44-B193)&lt;=0,0,(INT(MAX(0,Inputs!$B$44-B193)/IF(Inputs!$B$39="pvp",15,MAX(0.1,Skills!D12-IF(Skills!E12=TRUE,Inputs!$B$33,0))))+1)),0)</f>
        <v/>
      </c>
      <c r="S169">
        <f>IFERROR(O169/N169,0)</f>
        <v/>
      </c>
      <c r="T169">
        <f>IF(C169,(H169*N169*IF(AND(Inputs!$B$39&lt;&gt;"pvp",Inputs!$B$44&gt;0),((Skills!G12*((R169-1)*IF(Skills!H12&gt;0,Skills!I12/Skills!H12,1)+IF(Skills!H12&gt;0,MIN(Skills!I12,MAX(0,MAX(0,Inputs!$B$44-B193)-((R169-1)*IF(Inputs!$B$39="pvp",15,MAX(0.1,Skills!D12-IF(Skills!E12=TRUE,Inputs!$B$33,0))))))/Skills!H12,1)))/Inputs!$B$44),G169*Q169))*IF(Inputs!$B$39="pvp",1,1+(Inputs!$B$21+0+Skills!P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Skills!E12=TRUE,Inputs!$B$33,0))))))/Skills!H12,1)))/Inputs!$B$44),G169*Q169))*IF(Inputs!$B$39="pvp",1,(1+(Inputs!$B$22+Skills!Q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IFERROR(1/IF(Inputs!$B$39="pvp",15,MAX(0.1,Skills!D13-IF(Skills!E13=TRUE,Inputs!$B$33,0))),0)</f>
        <v/>
      </c>
      <c r="R170">
        <f>IF(AND(Inputs!$B$39&lt;&gt;"pvp",Inputs!$B$44&gt;0),IF(Inputs!$B$44&lt;=0,0,(INT(Inputs!$B$44/IF(Inputs!$B$39="pvp",15,MAX(0.1,Skills!D13-IF(Skills!E13=TRUE,Inputs!$B$33,0))))+1)),0)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IFERROR(1/IF(Inputs!$B$39="pvp",15,MAX(0.1,Skills!D14-IF(Skills!E14=TRUE,Inputs!$B$33,0))),0)</f>
        <v/>
      </c>
      <c r="R171">
        <f>IF(AND(Inputs!$B$39&lt;&gt;"pvp",Inputs!$B$44&gt;0),IF(Inputs!$B$44&lt;=0,0,(INT(Inputs!$B$44/IF(Inputs!$B$39="pvp",15,MAX(0.1,Skills!D14-IF(Skills!E14=TRUE,Inputs!$B$33,0))))+1)),0)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IFERROR(1/IF(Inputs!$B$39="pvp",15,MAX(0.1,Skills!D15-IF(Skills!E15=TRUE,Inputs!$B$33,0))),0)</f>
        <v/>
      </c>
      <c r="R172">
        <f>IF(AND(Inputs!$B$39&lt;&gt;"pvp",Inputs!$B$44&gt;0),IF(Inputs!$B$44&lt;=0,0,(INT(Inputs!$B$44/IF(Inputs!$B$39="pvp",15,MAX(0.1,Skills!D15-IF(Skills!E15=TRUE,Inputs!$B$33,0))))+1)),0)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IFERROR(1/IF(Inputs!$B$39="pvp",15,MAX(0.1,Skills!D16-IF(Skills!E16=TRUE,Inputs!$B$33,0))),0)</f>
        <v/>
      </c>
      <c r="R173">
        <f>IF(AND(Inputs!$B$39&lt;&gt;"pvp",Inputs!$B$44&gt;0),IF(Inputs!$B$44&lt;=0,0,(INT(Inputs!$B$44/IF(Inputs!$B$39="pvp",15,MAX(0.1,Skills!D16-IF(Skills!E16=TRUE,Inputs!$B$33,0))))+1)),0)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IFERROR(1/IF(Inputs!$B$39="pvp",15,MAX(0.1,Skills!D17-IF(Skills!E17=TRUE,Inputs!$B$33,0))),0)</f>
        <v/>
      </c>
      <c r="R174">
        <f>IF(AND(Inputs!$B$39&lt;&gt;"pvp",Inputs!$B$44&gt;0),IF(Inputs!$B$44&lt;=0,0,(INT(Inputs!$B$44/IF(Inputs!$B$39="pvp",15,MAX(0.1,Skills!D17-IF(Skills!E17=TRUE,Inputs!$B$33,0))))+1)),0)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IFERROR(1/IF(Inputs!$B$39="pvp",15,MAX(0.1,Skills!D18-IF(Skills!E18=TRUE,Inputs!$B$33,0))),0)</f>
        <v/>
      </c>
      <c r="R175">
        <f>IF(AND(Inputs!$B$39&lt;&gt;"pvp",Inputs!$B$44&gt;0),IF(Inputs!$B$44&lt;=0,0,(INT(Inputs!$B$44/IF(Inputs!$B$39="pvp",15,MAX(0.1,Skills!D18-IF(Skills!E18=TRUE,Inputs!$B$33,0))))+1)),0)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IFERROR(1/IF(Inputs!$B$39="pvp",15,MAX(0.1,Skills!D19-IF(Skills!E19=TRUE,Inputs!$B$33,0))),0)</f>
        <v/>
      </c>
      <c r="R176">
        <f>IF(AND(Inputs!$B$39&lt;&gt;"pvp",Inputs!$B$44&gt;0),IF(Inputs!$B$44&lt;=0,0,(INT(Inputs!$B$44/IF(Inputs!$B$39="pvp",15,MAX(0.1,Skills!D19-IF(Skills!E19=TRUE,Inputs!$B$33,0))))+1)),0)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IFERROR(1/IF(Inputs!$B$39="pvp",15,MAX(0.1,Skills!D20-IF(Skills!E20=TRUE,Inputs!$B$33,0))),0)</f>
        <v/>
      </c>
      <c r="R177">
        <f>IF(AND(Inputs!$B$39&lt;&gt;"pvp",Inputs!$B$44&gt;0),IF(Inputs!$B$44&lt;=0,0,(INT(Inputs!$B$44/IF(Inputs!$B$39="pvp",15,MAX(0.1,Skills!D20-IF(Skills!E20=TRUE,Inputs!$B$33,0))))+1)),0)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Skills!T18*(1+Inputs!$B$35/100))+MIN((Skills!T18*(1+Inputs!$B$35/100)),MAX(0,Inputs!$B$44-((R175-1)*Skills!D18))))/Inputs!$B$44),IF(Inputs!$B$39="pvp",MIN((Skills!T18*(1+Inputs!$B$35/100)),15)/15,(Skills!T18*(1+Inputs!$B$35/100))/Skills!D18)))</f>
        <v/>
      </c>
    </row>
    <row r="187">
      <c r="A187" t="inlineStr">
        <is>
          <t>Attack Speed Buff Bonus %</t>
        </is>
      </c>
      <c r="B187">
        <f>((C177=TRUE)*F177*IF(AND(Inputs!$B$39&lt;&gt;"pvp",Inputs!$B$44&gt;0),(((R177-1)*(Skills!T20*(1+Inputs!$B$35/100))+MIN((Skills!T20*(1+Inputs!$B$35/100)),MAX(0,Inputs!$B$44-((R177-1)*Skills!D20))))/Inputs!$B$44),IF(Inputs!$B$39="pvp",MIN((Skills!T20*(1+Inputs!$B$35/100)),15)/15,(Skills!T20*(1+Inputs!$B$35/100))/Skills!D20)))</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Skills!T19*(1+Inputs!$B$35/100))+MIN((Skills!T19*(1+Inputs!$B$35/100)),MAX(0,Inputs!$B$44-((R176-1)*Skills!D19))))/Inputs!$B$44),IF(Inputs!$B$39="pvp",MIN((Skills!T19*(1+Inputs!$B$35/100)),15)/15,(Skills!T19*(1+Inputs!$B$35/100))/Skills!D19)))</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IFERROR(1/IF(Inputs!$B$39="pvp",15,MAX(0.1,Skills!D5-IF(Skills!E5=TRUE,Inputs!$B$33,0))),0)</f>
        <v/>
      </c>
      <c r="R204">
        <f>IF(AND(Inputs!$B$39&lt;&gt;"pvp",Inputs!$B$44&gt;0),IF(MAX(0,Inputs!$B$44-B235)&lt;=0,0,(INT(MAX(0,Inputs!$B$44-B235)/IF(Inputs!$B$39="pvp",15,MAX(0.1,Skills!D5-IF(Skills!E5=TRUE,Inputs!$B$33,0))))+1)),0)</f>
        <v/>
      </c>
      <c r="S204">
        <f>IFERROR(O204/N204,0)</f>
        <v/>
      </c>
      <c r="T204">
        <f>IF(C204,(H204*N204*IF(AND(Inputs!$B$39&lt;&gt;"pvp",Inputs!$B$44&gt;0),((Skills!G5*((R204-1)*IF(Skills!H5&gt;0,Skills!I5/Skills!H5,1)+IF(Skills!H5&gt;0,MIN(Skills!I5,MAX(0,MAX(0,Inputs!$B$44-B235)-((R204-1)*IF(Inputs!$B$39="pvp",15,MAX(0.1,Skills!D5-IF(Skills!E5=TRUE,Inputs!$B$33,0))))))/Skills!H5,1)))/Inputs!$B$44),G204*Q204))*IF(Inputs!$B$39="pvp",1,1+(Inputs!$B$21+0+Skills!P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Skills!E5=TRUE,Inputs!$B$33,0))))))/Skills!H5,1)))/Inputs!$B$44),G204*Q204))*IF(Inputs!$B$39="pvp",1,(1+(Inputs!$B$22+Skills!Q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IFERROR(1/IF(Inputs!$B$39="pvp",15,MAX(0.1,Skills!D6-IF(Skills!E6=TRUE,Inputs!$B$33,0))),0)</f>
        <v/>
      </c>
      <c r="R205">
        <f>IF(AND(Inputs!$B$39&lt;&gt;"pvp",Inputs!$B$44&gt;0),IF(MAX(0,Inputs!$B$44-B235)&lt;=0,0,(INT(MAX(0,Inputs!$B$44-B235)/IF(Inputs!$B$39="pvp",15,MAX(0.1,Skills!D6-IF(Skills!E6=TRUE,Inputs!$B$33,0))))+1)),0)</f>
        <v/>
      </c>
      <c r="S205">
        <f>IFERROR(O205/N205,0)</f>
        <v/>
      </c>
      <c r="T205">
        <f>IF(C205,(H205*N205*IF(AND(Inputs!$B$39&lt;&gt;"pvp",Inputs!$B$44&gt;0),((Skills!G6*((R205-1)*IF(Skills!H6&gt;0,Skills!I6/Skills!H6,1)+IF(Skills!H6&gt;0,MIN(Skills!I6,MAX(0,MAX(0,Inputs!$B$44-B235)-((R205-1)*IF(Inputs!$B$39="pvp",15,MAX(0.1,Skills!D6-IF(Skills!E6=TRUE,Inputs!$B$33,0))))))/Skills!H6,1)))/Inputs!$B$44),G205*Q205))*IF(Inputs!$B$39="pvp",1,1+(Inputs!$B$21+0+Skills!P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Skills!E6=TRUE,Inputs!$B$33,0))))))/Skills!H6,1)))/Inputs!$B$44),G205*Q205))*IF(Inputs!$B$39="pvp",1,(1+(Inputs!$B$22+Skills!Q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IFERROR(1/IF(Inputs!$B$39="pvp",15,MAX(0.1,Skills!D7-IF(Skills!E7=TRUE,Inputs!$B$33,0))),0)</f>
        <v/>
      </c>
      <c r="R206">
        <f>IF(AND(Inputs!$B$39&lt;&gt;"pvp",Inputs!$B$44&gt;0),IF(MAX(0,Inputs!$B$44-B235)&lt;=0,0,(INT(MAX(0,Inputs!$B$44-B235)/IF(Inputs!$B$39="pvp",15,MAX(0.1,Skills!D7-IF(Skills!E7=TRUE,Inputs!$B$33,0))))+1)),0)</f>
        <v/>
      </c>
      <c r="S206">
        <f>IFERROR(O206/N206,0)</f>
        <v/>
      </c>
      <c r="T206">
        <f>IF(C206,(H206*N206*IF(AND(Inputs!$B$39&lt;&gt;"pvp",Inputs!$B$44&gt;0),((Skills!G7*((R206-1)*IF(Skills!H7&gt;0,Skills!I7/Skills!H7,1)+IF(Skills!H7&gt;0,MIN(Skills!I7,MAX(0,MAX(0,Inputs!$B$44-B235)-((R206-1)*IF(Inputs!$B$39="pvp",15,MAX(0.1,Skills!D7-IF(Skills!E7=TRUE,Inputs!$B$33,0))))))/Skills!H7,1)))/Inputs!$B$44),G206*Q206))*IF(Inputs!$B$39="pvp",1,1+(Inputs!$B$21+0+Skills!P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Skills!E7=TRUE,Inputs!$B$33,0))))))/Skills!H7,1)))/Inputs!$B$44),G206*Q206))*IF(Inputs!$B$39="pvp",1,(1+(Inputs!$B$22+Skills!Q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IFERROR(1/IF(Inputs!$B$39="pvp",15,MAX(0.1,Skills!D9-IF(Skills!E9=TRUE,Inputs!$B$33,0))),0)</f>
        <v/>
      </c>
      <c r="R208">
        <f>IF(AND(Inputs!$B$39&lt;&gt;"pvp",Inputs!$B$44&gt;0),IF(MAX(0,Inputs!$B$44-B235)&lt;=0,0,(INT(MAX(0,Inputs!$B$44-B235)/IF(Inputs!$B$39="pvp",15,MAX(0.1,Skills!D9-IF(Skills!E9=TRUE,Inputs!$B$33,0))))+1)),0)</f>
        <v/>
      </c>
      <c r="S208">
        <f>IFERROR(O208/N208,0)</f>
        <v/>
      </c>
      <c r="T208">
        <f>IF(C208,(H208*N208*IF(AND(Inputs!$B$39&lt;&gt;"pvp",Inputs!$B$44&gt;0),((Skills!G9*((R208-1)*IF(Skills!H9&gt;0,Skills!I9/Skills!H9,1)+IF(Skills!H9&gt;0,MIN(Skills!I9,MAX(0,MAX(0,Inputs!$B$44-B235)-((R208-1)*IF(Inputs!$B$39="pvp",15,MAX(0.1,Skills!D9-IF(Skills!E9=TRUE,Inputs!$B$33,0))))))/Skills!H9,1)))/Inputs!$B$44),G208*Q208))*IF(Inputs!$B$39="pvp",1,1+(Inputs!$B$21+0+Skills!P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Skills!E9=TRUE,Inputs!$B$33,0))))))/Skills!H9,1)))/Inputs!$B$44),G208*Q208))*IF(Inputs!$B$39="pvp",1,(1+(Inputs!$B$22+Skills!Q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IFERROR(1/IF(Inputs!$B$39="pvp",15,MAX(0.1,Skills!D10-IF(Skills!E10=TRUE,Inputs!$B$33,0))),0)</f>
        <v/>
      </c>
      <c r="R209">
        <f>IF(AND(Inputs!$B$39&lt;&gt;"pvp",Inputs!$B$44&gt;0),IF(MAX(0,Inputs!$B$44-B235)&lt;=0,0,(INT(MAX(0,Inputs!$B$44-B235)/IF(Inputs!$B$39="pvp",15,MAX(0.1,Skills!D10-IF(Skills!E10=TRUE,Inputs!$B$33,0))))+1)),0)</f>
        <v/>
      </c>
      <c r="S209">
        <f>IFERROR(O209/N209,0)</f>
        <v/>
      </c>
      <c r="T209">
        <f>IF(C209,(H209*N209*IF(AND(Inputs!$B$39&lt;&gt;"pvp",Inputs!$B$44&gt;0),((Skills!G10*((R209-1)*IF(Skills!H10&gt;0,Skills!I10/Skills!H10,1)+IF(Skills!H10&gt;0,MIN(Skills!I10,MAX(0,MAX(0,Inputs!$B$44-B235)-((R209-1)*IF(Inputs!$B$39="pvp",15,MAX(0.1,Skills!D10-IF(Skills!E10=TRUE,Inputs!$B$33,0))))))/Skills!H10,1)))/Inputs!$B$44),G209*Q209))*IF(Inputs!$B$39="pvp",1,1+(Inputs!$B$21+0+Skills!P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Skills!E10=TRUE,Inputs!$B$33,0))))))/Skills!H10,1)))/Inputs!$B$44),G209*Q209))*IF(Inputs!$B$39="pvp",1,(1+(Inputs!$B$22+Skills!Q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IFERROR(1/IF(Inputs!$B$39="pvp",15,MAX(0.1,Skills!D12-IF(Skills!E12=TRUE,Inputs!$B$33,0))),0)</f>
        <v/>
      </c>
      <c r="R211">
        <f>IF(AND(Inputs!$B$39&lt;&gt;"pvp",Inputs!$B$44&gt;0),IF(MAX(0,Inputs!$B$44-B235)&lt;=0,0,(INT(MAX(0,Inputs!$B$44-B235)/IF(Inputs!$B$39="pvp",15,MAX(0.1,Skills!D12-IF(Skills!E12=TRUE,Inputs!$B$33,0))))+1)),0)</f>
        <v/>
      </c>
      <c r="S211">
        <f>IFERROR(O211/N211,0)</f>
        <v/>
      </c>
      <c r="T211">
        <f>IF(C211,(H211*N211*IF(AND(Inputs!$B$39&lt;&gt;"pvp",Inputs!$B$44&gt;0),((Skills!G12*((R211-1)*IF(Skills!H12&gt;0,Skills!I12/Skills!H12,1)+IF(Skills!H12&gt;0,MIN(Skills!I12,MAX(0,MAX(0,Inputs!$B$44-B235)-((R211-1)*IF(Inputs!$B$39="pvp",15,MAX(0.1,Skills!D12-IF(Skills!E12=TRUE,Inputs!$B$33,0))))))/Skills!H12,1)))/Inputs!$B$44),G211*Q211))*IF(Inputs!$B$39="pvp",1,1+(Inputs!$B$21+0+Skills!P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Skills!E12=TRUE,Inputs!$B$33,0))))))/Skills!H12,1)))/Inputs!$B$44),G211*Q211))*IF(Inputs!$B$39="pvp",1,(1+(Inputs!$B$22+Skills!Q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IFERROR(1/IF(Inputs!$B$39="pvp",15,MAX(0.1,Skills!D13-IF(Skills!E13=TRUE,Inputs!$B$33,0))),0)</f>
        <v/>
      </c>
      <c r="R212">
        <f>IF(AND(Inputs!$B$39&lt;&gt;"pvp",Inputs!$B$44&gt;0),IF(Inputs!$B$44&lt;=0,0,(INT(Inputs!$B$44/IF(Inputs!$B$39="pvp",15,MAX(0.1,Skills!D13-IF(Skills!E13=TRUE,Inputs!$B$33,0))))+1)),0)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IFERROR(1/IF(Inputs!$B$39="pvp",15,MAX(0.1,Skills!D14-IF(Skills!E14=TRUE,Inputs!$B$33,0))),0)</f>
        <v/>
      </c>
      <c r="R213">
        <f>IF(AND(Inputs!$B$39&lt;&gt;"pvp",Inputs!$B$44&gt;0),IF(Inputs!$B$44&lt;=0,0,(INT(Inputs!$B$44/IF(Inputs!$B$39="pvp",15,MAX(0.1,Skills!D14-IF(Skills!E14=TRUE,Inputs!$B$33,0))))+1)),0)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IFERROR(1/IF(Inputs!$B$39="pvp",15,MAX(0.1,Skills!D15-IF(Skills!E15=TRUE,Inputs!$B$33,0))),0)</f>
        <v/>
      </c>
      <c r="R214">
        <f>IF(AND(Inputs!$B$39&lt;&gt;"pvp",Inputs!$B$44&gt;0),IF(Inputs!$B$44&lt;=0,0,(INT(Inputs!$B$44/IF(Inputs!$B$39="pvp",15,MAX(0.1,Skills!D15-IF(Skills!E15=TRUE,Inputs!$B$33,0))))+1)),0)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IFERROR(1/IF(Inputs!$B$39="pvp",15,MAX(0.1,Skills!D16-IF(Skills!E16=TRUE,Inputs!$B$33,0))),0)</f>
        <v/>
      </c>
      <c r="R215">
        <f>IF(AND(Inputs!$B$39&lt;&gt;"pvp",Inputs!$B$44&gt;0),IF(Inputs!$B$44&lt;=0,0,(INT(Inputs!$B$44/IF(Inputs!$B$39="pvp",15,MAX(0.1,Skills!D16-IF(Skills!E16=TRUE,Inputs!$B$33,0))))+1)),0)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IFERROR(1/IF(Inputs!$B$39="pvp",15,MAX(0.1,Skills!D17-IF(Skills!E17=TRUE,Inputs!$B$33,0))),0)</f>
        <v/>
      </c>
      <c r="R216">
        <f>IF(AND(Inputs!$B$39&lt;&gt;"pvp",Inputs!$B$44&gt;0),IF(Inputs!$B$44&lt;=0,0,(INT(Inputs!$B$44/IF(Inputs!$B$39="pvp",15,MAX(0.1,Skills!D17-IF(Skills!E17=TRUE,Inputs!$B$33,0))))+1)),0)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IFERROR(1/IF(Inputs!$B$39="pvp",15,MAX(0.1,Skills!D18-IF(Skills!E18=TRUE,Inputs!$B$33,0))),0)</f>
        <v/>
      </c>
      <c r="R217">
        <f>IF(AND(Inputs!$B$39&lt;&gt;"pvp",Inputs!$B$44&gt;0),IF(Inputs!$B$44&lt;=0,0,(INT(Inputs!$B$44/IF(Inputs!$B$39="pvp",15,MAX(0.1,Skills!D18-IF(Skills!E18=TRUE,Inputs!$B$33,0))))+1)),0)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IFERROR(1/IF(Inputs!$B$39="pvp",15,MAX(0.1,Skills!D19-IF(Skills!E19=TRUE,Inputs!$B$33,0))),0)</f>
        <v/>
      </c>
      <c r="R218">
        <f>IF(AND(Inputs!$B$39&lt;&gt;"pvp",Inputs!$B$44&gt;0),IF(Inputs!$B$44&lt;=0,0,(INT(Inputs!$B$44/IF(Inputs!$B$39="pvp",15,MAX(0.1,Skills!D19-IF(Skills!E19=TRUE,Inputs!$B$33,0))))+1)),0)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IFERROR(1/IF(Inputs!$B$39="pvp",15,MAX(0.1,Skills!D20-IF(Skills!E20=TRUE,Inputs!$B$33,0))),0)</f>
        <v/>
      </c>
      <c r="R219">
        <f>IF(AND(Inputs!$B$39&lt;&gt;"pvp",Inputs!$B$44&gt;0),IF(Inputs!$B$44&lt;=0,0,(INT(Inputs!$B$44/IF(Inputs!$B$39="pvp",15,MAX(0.1,Skills!D20-IF(Skills!E20=TRUE,Inputs!$B$33,0))))+1)),0)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Skills!T18*(1+Inputs!$B$35/100))+MIN((Skills!T18*(1+Inputs!$B$35/100)),MAX(0,Inputs!$B$44-((R217-1)*Skills!D18))))/Inputs!$B$44),IF(Inputs!$B$39="pvp",MIN((Skills!T18*(1+Inputs!$B$35/100)),15)/15,(Skills!T18*(1+Inputs!$B$35/100))/Skills!D18)))</f>
        <v/>
      </c>
    </row>
    <row r="229">
      <c r="A229" t="inlineStr">
        <is>
          <t>Attack Speed Buff Bonus %</t>
        </is>
      </c>
      <c r="B229">
        <f>((C219=TRUE)*F219*IF(AND(Inputs!$B$39&lt;&gt;"pvp",Inputs!$B$44&gt;0),(((R219-1)*(Skills!T20*(1+Inputs!$B$35/100))+MIN((Skills!T20*(1+Inputs!$B$35/100)),MAX(0,Inputs!$B$44-((R219-1)*Skills!D20))))/Inputs!$B$44),IF(Inputs!$B$39="pvp",MIN((Skills!T20*(1+Inputs!$B$35/100)),15)/15,(Skills!T20*(1+Inputs!$B$35/100))/Skills!D20)))</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Skills!T19*(1+Inputs!$B$35/100))+MIN((Skills!T19*(1+Inputs!$B$35/100)),MAX(0,Inputs!$B$44-((R218-1)*Skills!D19))))/Inputs!$B$44),IF(Inputs!$B$39="pvp",MIN((Skills!T19*(1+Inputs!$B$35/100)),15)/15,(Skills!T19*(1+Inputs!$B$35/100))/Skills!D19)))</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IFERROR(1/IF(Inputs!$B$39="pvp",15,MAX(0.1,Skills!D5-IF(Skills!E5=TRUE,Inputs!$B$33,0))),0)</f>
        <v/>
      </c>
      <c r="R246">
        <f>IF(AND(Inputs!$B$39&lt;&gt;"pvp",Inputs!$B$44&gt;0),IF(MAX(0,Inputs!$B$44-B277)&lt;=0,0,(INT(MAX(0,Inputs!$B$44-B277)/IF(Inputs!$B$39="pvp",15,MAX(0.1,Skills!D5-IF(Skills!E5=TRUE,Inputs!$B$33,0))))+1)),0)</f>
        <v/>
      </c>
      <c r="S246">
        <f>IFERROR(O246/N246,0)</f>
        <v/>
      </c>
      <c r="T246">
        <f>IF(C246,(H246*N246*IF(AND(Inputs!$B$39&lt;&gt;"pvp",Inputs!$B$44&gt;0),((Skills!G5*((R246-1)*IF(Skills!H5&gt;0,Skills!I5/Skills!H5,1)+IF(Skills!H5&gt;0,MIN(Skills!I5,MAX(0,MAX(0,Inputs!$B$44-B277)-((R246-1)*IF(Inputs!$B$39="pvp",15,MAX(0.1,Skills!D5-IF(Skills!E5=TRUE,Inputs!$B$33,0))))))/Skills!H5,1)))/Inputs!$B$44),G246*Q246))*IF(Inputs!$B$39="pvp",1,1+(Inputs!$B$21+0+Skills!P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Skills!E5=TRUE,Inputs!$B$33,0))))))/Skills!H5,1)))/Inputs!$B$44),G246*Q246))*IF(Inputs!$B$39="pvp",1,(1+(Inputs!$B$22+Skills!Q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IFERROR(1/IF(Inputs!$B$39="pvp",15,MAX(0.1,Skills!D6-IF(Skills!E6=TRUE,Inputs!$B$33,0))),0)</f>
        <v/>
      </c>
      <c r="R247">
        <f>IF(AND(Inputs!$B$39&lt;&gt;"pvp",Inputs!$B$44&gt;0),IF(MAX(0,Inputs!$B$44-B277)&lt;=0,0,(INT(MAX(0,Inputs!$B$44-B277)/IF(Inputs!$B$39="pvp",15,MAX(0.1,Skills!D6-IF(Skills!E6=TRUE,Inputs!$B$33,0))))+1)),0)</f>
        <v/>
      </c>
      <c r="S247">
        <f>IFERROR(O247/N247,0)</f>
        <v/>
      </c>
      <c r="T247">
        <f>IF(C247,(H247*N247*IF(AND(Inputs!$B$39&lt;&gt;"pvp",Inputs!$B$44&gt;0),((Skills!G6*((R247-1)*IF(Skills!H6&gt;0,Skills!I6/Skills!H6,1)+IF(Skills!H6&gt;0,MIN(Skills!I6,MAX(0,MAX(0,Inputs!$B$44-B277)-((R247-1)*IF(Inputs!$B$39="pvp",15,MAX(0.1,Skills!D6-IF(Skills!E6=TRUE,Inputs!$B$33,0))))))/Skills!H6,1)))/Inputs!$B$44),G247*Q247))*IF(Inputs!$B$39="pvp",1,1+(Inputs!$B$21+0+Skills!P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Skills!E6=TRUE,Inputs!$B$33,0))))))/Skills!H6,1)))/Inputs!$B$44),G247*Q247))*IF(Inputs!$B$39="pvp",1,(1+(Inputs!$B$22+Skills!Q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IFERROR(1/IF(Inputs!$B$39="pvp",15,MAX(0.1,Skills!D7-IF(Skills!E7=TRUE,Inputs!$B$33,0))),0)</f>
        <v/>
      </c>
      <c r="R248">
        <f>IF(AND(Inputs!$B$39&lt;&gt;"pvp",Inputs!$B$44&gt;0),IF(MAX(0,Inputs!$B$44-B277)&lt;=0,0,(INT(MAX(0,Inputs!$B$44-B277)/IF(Inputs!$B$39="pvp",15,MAX(0.1,Skills!D7-IF(Skills!E7=TRUE,Inputs!$B$33,0))))+1)),0)</f>
        <v/>
      </c>
      <c r="S248">
        <f>IFERROR(O248/N248,0)</f>
        <v/>
      </c>
      <c r="T248">
        <f>IF(C248,(H248*N248*IF(AND(Inputs!$B$39&lt;&gt;"pvp",Inputs!$B$44&gt;0),((Skills!G7*((R248-1)*IF(Skills!H7&gt;0,Skills!I7/Skills!H7,1)+IF(Skills!H7&gt;0,MIN(Skills!I7,MAX(0,MAX(0,Inputs!$B$44-B277)-((R248-1)*IF(Inputs!$B$39="pvp",15,MAX(0.1,Skills!D7-IF(Skills!E7=TRUE,Inputs!$B$33,0))))))/Skills!H7,1)))/Inputs!$B$44),G248*Q248))*IF(Inputs!$B$39="pvp",1,1+(Inputs!$B$21+0+Skills!P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Skills!E7=TRUE,Inputs!$B$33,0))))))/Skills!H7,1)))/Inputs!$B$44),G248*Q248))*IF(Inputs!$B$39="pvp",1,(1+(Inputs!$B$22+Skills!Q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IFERROR(1/IF(Inputs!$B$39="pvp",15,MAX(0.1,Skills!D9-IF(Skills!E9=TRUE,Inputs!$B$33,0))),0)</f>
        <v/>
      </c>
      <c r="R250">
        <f>IF(AND(Inputs!$B$39&lt;&gt;"pvp",Inputs!$B$44&gt;0),IF(MAX(0,Inputs!$B$44-B277)&lt;=0,0,(INT(MAX(0,Inputs!$B$44-B277)/IF(Inputs!$B$39="pvp",15,MAX(0.1,Skills!D9-IF(Skills!E9=TRUE,Inputs!$B$33,0))))+1)),0)</f>
        <v/>
      </c>
      <c r="S250">
        <f>IFERROR(O250/N250,0)</f>
        <v/>
      </c>
      <c r="T250">
        <f>IF(C250,(H250*N250*IF(AND(Inputs!$B$39&lt;&gt;"pvp",Inputs!$B$44&gt;0),((Skills!G9*((R250-1)*IF(Skills!H9&gt;0,Skills!I9/Skills!H9,1)+IF(Skills!H9&gt;0,MIN(Skills!I9,MAX(0,MAX(0,Inputs!$B$44-B277)-((R250-1)*IF(Inputs!$B$39="pvp",15,MAX(0.1,Skills!D9-IF(Skills!E9=TRUE,Inputs!$B$33,0))))))/Skills!H9,1)))/Inputs!$B$44),G250*Q250))*IF(Inputs!$B$39="pvp",1,1+(Inputs!$B$21+0+Skills!P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Skills!E9=TRUE,Inputs!$B$33,0))))))/Skills!H9,1)))/Inputs!$B$44),G250*Q250))*IF(Inputs!$B$39="pvp",1,(1+(Inputs!$B$22+Skills!Q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IFERROR(1/IF(Inputs!$B$39="pvp",15,MAX(0.1,Skills!D10-IF(Skills!E10=TRUE,Inputs!$B$33,0))),0)</f>
        <v/>
      </c>
      <c r="R251">
        <f>IF(AND(Inputs!$B$39&lt;&gt;"pvp",Inputs!$B$44&gt;0),IF(MAX(0,Inputs!$B$44-B277)&lt;=0,0,(INT(MAX(0,Inputs!$B$44-B277)/IF(Inputs!$B$39="pvp",15,MAX(0.1,Skills!D10-IF(Skills!E10=TRUE,Inputs!$B$33,0))))+1)),0)</f>
        <v/>
      </c>
      <c r="S251">
        <f>IFERROR(O251/N251,0)</f>
        <v/>
      </c>
      <c r="T251">
        <f>IF(C251,(H251*N251*IF(AND(Inputs!$B$39&lt;&gt;"pvp",Inputs!$B$44&gt;0),((Skills!G10*((R251-1)*IF(Skills!H10&gt;0,Skills!I10/Skills!H10,1)+IF(Skills!H10&gt;0,MIN(Skills!I10,MAX(0,MAX(0,Inputs!$B$44-B277)-((R251-1)*IF(Inputs!$B$39="pvp",15,MAX(0.1,Skills!D10-IF(Skills!E10=TRUE,Inputs!$B$33,0))))))/Skills!H10,1)))/Inputs!$B$44),G251*Q251))*IF(Inputs!$B$39="pvp",1,1+(Inputs!$B$21+0+Skills!P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Skills!E10=TRUE,Inputs!$B$33,0))))))/Skills!H10,1)))/Inputs!$B$44),G251*Q251))*IF(Inputs!$B$39="pvp",1,(1+(Inputs!$B$22+Skills!Q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IFERROR(1/IF(Inputs!$B$39="pvp",15,MAX(0.1,Skills!D12-IF(Skills!E12=TRUE,Inputs!$B$33,0))),0)</f>
        <v/>
      </c>
      <c r="R253">
        <f>IF(AND(Inputs!$B$39&lt;&gt;"pvp",Inputs!$B$44&gt;0),IF(MAX(0,Inputs!$B$44-B277)&lt;=0,0,(INT(MAX(0,Inputs!$B$44-B277)/IF(Inputs!$B$39="pvp",15,MAX(0.1,Skills!D12-IF(Skills!E12=TRUE,Inputs!$B$33,0))))+1)),0)</f>
        <v/>
      </c>
      <c r="S253">
        <f>IFERROR(O253/N253,0)</f>
        <v/>
      </c>
      <c r="T253">
        <f>IF(C253,(H253*N253*IF(AND(Inputs!$B$39&lt;&gt;"pvp",Inputs!$B$44&gt;0),((Skills!G12*((R253-1)*IF(Skills!H12&gt;0,Skills!I12/Skills!H12,1)+IF(Skills!H12&gt;0,MIN(Skills!I12,MAX(0,MAX(0,Inputs!$B$44-B277)-((R253-1)*IF(Inputs!$B$39="pvp",15,MAX(0.1,Skills!D12-IF(Skills!E12=TRUE,Inputs!$B$33,0))))))/Skills!H12,1)))/Inputs!$B$44),G253*Q253))*IF(Inputs!$B$39="pvp",1,1+(Inputs!$B$21+0+Skills!P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Skills!E12=TRUE,Inputs!$B$33,0))))))/Skills!H12,1)))/Inputs!$B$44),G253*Q253))*IF(Inputs!$B$39="pvp",1,(1+(Inputs!$B$22+Skills!Q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IFERROR(1/IF(Inputs!$B$39="pvp",15,MAX(0.1,Skills!D13-IF(Skills!E13=TRUE,Inputs!$B$33,0))),0)</f>
        <v/>
      </c>
      <c r="R254">
        <f>IF(AND(Inputs!$B$39&lt;&gt;"pvp",Inputs!$B$44&gt;0),IF(Inputs!$B$44&lt;=0,0,(INT(Inputs!$B$44/IF(Inputs!$B$39="pvp",15,MAX(0.1,Skills!D13-IF(Skills!E13=TRUE,Inputs!$B$33,0))))+1)),0)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IFERROR(1/IF(Inputs!$B$39="pvp",15,MAX(0.1,Skills!D14-IF(Skills!E14=TRUE,Inputs!$B$33,0))),0)</f>
        <v/>
      </c>
      <c r="R255">
        <f>IF(AND(Inputs!$B$39&lt;&gt;"pvp",Inputs!$B$44&gt;0),IF(Inputs!$B$44&lt;=0,0,(INT(Inputs!$B$44/IF(Inputs!$B$39="pvp",15,MAX(0.1,Skills!D14-IF(Skills!E14=TRUE,Inputs!$B$33,0))))+1)),0)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IFERROR(1/IF(Inputs!$B$39="pvp",15,MAX(0.1,Skills!D15-IF(Skills!E15=TRUE,Inputs!$B$33,0))),0)</f>
        <v/>
      </c>
      <c r="R256">
        <f>IF(AND(Inputs!$B$39&lt;&gt;"pvp",Inputs!$B$44&gt;0),IF(Inputs!$B$44&lt;=0,0,(INT(Inputs!$B$44/IF(Inputs!$B$39="pvp",15,MAX(0.1,Skills!D15-IF(Skills!E15=TRUE,Inputs!$B$33,0))))+1)),0)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IFERROR(1/IF(Inputs!$B$39="pvp",15,MAX(0.1,Skills!D16-IF(Skills!E16=TRUE,Inputs!$B$33,0))),0)</f>
        <v/>
      </c>
      <c r="R257">
        <f>IF(AND(Inputs!$B$39&lt;&gt;"pvp",Inputs!$B$44&gt;0),IF(Inputs!$B$44&lt;=0,0,(INT(Inputs!$B$44/IF(Inputs!$B$39="pvp",15,MAX(0.1,Skills!D16-IF(Skills!E16=TRUE,Inputs!$B$33,0))))+1)),0)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IFERROR(1/IF(Inputs!$B$39="pvp",15,MAX(0.1,Skills!D17-IF(Skills!E17=TRUE,Inputs!$B$33,0))),0)</f>
        <v/>
      </c>
      <c r="R258">
        <f>IF(AND(Inputs!$B$39&lt;&gt;"pvp",Inputs!$B$44&gt;0),IF(Inputs!$B$44&lt;=0,0,(INT(Inputs!$B$44/IF(Inputs!$B$39="pvp",15,MAX(0.1,Skills!D17-IF(Skills!E17=TRUE,Inputs!$B$33,0))))+1)),0)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IFERROR(1/IF(Inputs!$B$39="pvp",15,MAX(0.1,Skills!D18-IF(Skills!E18=TRUE,Inputs!$B$33,0))),0)</f>
        <v/>
      </c>
      <c r="R259">
        <f>IF(AND(Inputs!$B$39&lt;&gt;"pvp",Inputs!$B$44&gt;0),IF(Inputs!$B$44&lt;=0,0,(INT(Inputs!$B$44/IF(Inputs!$B$39="pvp",15,MAX(0.1,Skills!D18-IF(Skills!E18=TRUE,Inputs!$B$33,0))))+1)),0)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IFERROR(1/IF(Inputs!$B$39="pvp",15,MAX(0.1,Skills!D19-IF(Skills!E19=TRUE,Inputs!$B$33,0))),0)</f>
        <v/>
      </c>
      <c r="R260">
        <f>IF(AND(Inputs!$B$39&lt;&gt;"pvp",Inputs!$B$44&gt;0),IF(Inputs!$B$44&lt;=0,0,(INT(Inputs!$B$44/IF(Inputs!$B$39="pvp",15,MAX(0.1,Skills!D19-IF(Skills!E19=TRUE,Inputs!$B$33,0))))+1)),0)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IFERROR(1/IF(Inputs!$B$39="pvp",15,MAX(0.1,Skills!D20-IF(Skills!E20=TRUE,Inputs!$B$33,0))),0)</f>
        <v/>
      </c>
      <c r="R261">
        <f>IF(AND(Inputs!$B$39&lt;&gt;"pvp",Inputs!$B$44&gt;0),IF(Inputs!$B$44&lt;=0,0,(INT(Inputs!$B$44/IF(Inputs!$B$39="pvp",15,MAX(0.1,Skills!D20-IF(Skills!E20=TRUE,Inputs!$B$33,0))))+1)),0)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Skills!T18*(1+Inputs!$B$35/100))+MIN((Skills!T18*(1+Inputs!$B$35/100)),MAX(0,Inputs!$B$44-((R259-1)*Skills!D18))))/Inputs!$B$44),IF(Inputs!$B$39="pvp",MIN((Skills!T18*(1+Inputs!$B$35/100)),15)/15,(Skills!T18*(1+Inputs!$B$35/100))/Skills!D18)))</f>
        <v/>
      </c>
    </row>
    <row r="271">
      <c r="A271" t="inlineStr">
        <is>
          <t>Attack Speed Buff Bonus %</t>
        </is>
      </c>
      <c r="B271">
        <f>((C261=TRUE)*F261*IF(AND(Inputs!$B$39&lt;&gt;"pvp",Inputs!$B$44&gt;0),(((R261-1)*(Skills!T20*(1+Inputs!$B$35/100))+MIN((Skills!T20*(1+Inputs!$B$35/100)),MAX(0,Inputs!$B$44-((R261-1)*Skills!D20))))/Inputs!$B$44),IF(Inputs!$B$39="pvp",MIN((Skills!T20*(1+Inputs!$B$35/100)),15)/15,(Skills!T20*(1+Inputs!$B$35/100))/Skills!D20)))</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Skills!T19*(1+Inputs!$B$35/100))+MIN((Skills!T19*(1+Inputs!$B$35/100)),MAX(0,Inputs!$B$44-((R260-1)*Skills!D19))))/Inputs!$B$44),IF(Inputs!$B$39="pvp",MIN((Skills!T19*(1+Inputs!$B$35/100)),15)/15,(Skills!T19*(1+Inputs!$B$35/100))/Skills!D19)))</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IFERROR(1/IF(Inputs!$B$39="pvp",15,MAX(0.1,Skills!D5-IF(Skills!E5=TRUE,Inputs!$B$33,0))),0)</f>
        <v/>
      </c>
      <c r="R288">
        <f>IF(AND(Inputs!$B$39&lt;&gt;"pvp",Inputs!$B$44&gt;0),IF(MAX(0,Inputs!$B$44-B319)&lt;=0,0,(INT(MAX(0,Inputs!$B$44-B319)/IF(Inputs!$B$39="pvp",15,MAX(0.1,Skills!D5-IF(Skills!E5=TRUE,Inputs!$B$33,0))))+1)),0)</f>
        <v/>
      </c>
      <c r="S288">
        <f>IFERROR(O288/N288,0)</f>
        <v/>
      </c>
      <c r="T288">
        <f>IF(C288,(H288*N288*IF(AND(Inputs!$B$39&lt;&gt;"pvp",Inputs!$B$44&gt;0),((Skills!G5*((R288-1)*IF(Skills!H5&gt;0,Skills!I5/Skills!H5,1)+IF(Skills!H5&gt;0,MIN(Skills!I5,MAX(0,MAX(0,Inputs!$B$44-B319)-((R288-1)*IF(Inputs!$B$39="pvp",15,MAX(0.1,Skills!D5-IF(Skills!E5=TRUE,Inputs!$B$33,0))))))/Skills!H5,1)))/Inputs!$B$44),G288*Q288))*IF(Inputs!$B$39="pvp",1,1+(Inputs!$B$21+0+Skills!P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Skills!E5=TRUE,Inputs!$B$33,0))))))/Skills!H5,1)))/Inputs!$B$44),G288*Q288))*IF(Inputs!$B$39="pvp",1,(1+(Inputs!$B$22+Skills!Q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IFERROR(1/IF(Inputs!$B$39="pvp",15,MAX(0.1,Skills!D6-IF(Skills!E6=TRUE,Inputs!$B$33,0))),0)</f>
        <v/>
      </c>
      <c r="R289">
        <f>IF(AND(Inputs!$B$39&lt;&gt;"pvp",Inputs!$B$44&gt;0),IF(MAX(0,Inputs!$B$44-B319)&lt;=0,0,(INT(MAX(0,Inputs!$B$44-B319)/IF(Inputs!$B$39="pvp",15,MAX(0.1,Skills!D6-IF(Skills!E6=TRUE,Inputs!$B$33,0))))+1)),0)</f>
        <v/>
      </c>
      <c r="S289">
        <f>IFERROR(O289/N289,0)</f>
        <v/>
      </c>
      <c r="T289">
        <f>IF(C289,(H289*N289*IF(AND(Inputs!$B$39&lt;&gt;"pvp",Inputs!$B$44&gt;0),((Skills!G6*((R289-1)*IF(Skills!H6&gt;0,Skills!I6/Skills!H6,1)+IF(Skills!H6&gt;0,MIN(Skills!I6,MAX(0,MAX(0,Inputs!$B$44-B319)-((R289-1)*IF(Inputs!$B$39="pvp",15,MAX(0.1,Skills!D6-IF(Skills!E6=TRUE,Inputs!$B$33,0))))))/Skills!H6,1)))/Inputs!$B$44),G289*Q289))*IF(Inputs!$B$39="pvp",1,1+(Inputs!$B$21+0+Skills!P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Skills!E6=TRUE,Inputs!$B$33,0))))))/Skills!H6,1)))/Inputs!$B$44),G289*Q289))*IF(Inputs!$B$39="pvp",1,(1+(Inputs!$B$22+Skills!Q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IFERROR(1/IF(Inputs!$B$39="pvp",15,MAX(0.1,Skills!D7-IF(Skills!E7=TRUE,Inputs!$B$33,0))),0)</f>
        <v/>
      </c>
      <c r="R290">
        <f>IF(AND(Inputs!$B$39&lt;&gt;"pvp",Inputs!$B$44&gt;0),IF(MAX(0,Inputs!$B$44-B319)&lt;=0,0,(INT(MAX(0,Inputs!$B$44-B319)/IF(Inputs!$B$39="pvp",15,MAX(0.1,Skills!D7-IF(Skills!E7=TRUE,Inputs!$B$33,0))))+1)),0)</f>
        <v/>
      </c>
      <c r="S290">
        <f>IFERROR(O290/N290,0)</f>
        <v/>
      </c>
      <c r="T290">
        <f>IF(C290,(H290*N290*IF(AND(Inputs!$B$39&lt;&gt;"pvp",Inputs!$B$44&gt;0),((Skills!G7*((R290-1)*IF(Skills!H7&gt;0,Skills!I7/Skills!H7,1)+IF(Skills!H7&gt;0,MIN(Skills!I7,MAX(0,MAX(0,Inputs!$B$44-B319)-((R290-1)*IF(Inputs!$B$39="pvp",15,MAX(0.1,Skills!D7-IF(Skills!E7=TRUE,Inputs!$B$33,0))))))/Skills!H7,1)))/Inputs!$B$44),G290*Q290))*IF(Inputs!$B$39="pvp",1,1+(Inputs!$B$21+0+Skills!P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Skills!E7=TRUE,Inputs!$B$33,0))))))/Skills!H7,1)))/Inputs!$B$44),G290*Q290))*IF(Inputs!$B$39="pvp",1,(1+(Inputs!$B$22+Skills!Q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IFERROR(1/IF(Inputs!$B$39="pvp",15,MAX(0.1,Skills!D9-IF(Skills!E9=TRUE,Inputs!$B$33,0))),0)</f>
        <v/>
      </c>
      <c r="R292">
        <f>IF(AND(Inputs!$B$39&lt;&gt;"pvp",Inputs!$B$44&gt;0),IF(MAX(0,Inputs!$B$44-B319)&lt;=0,0,(INT(MAX(0,Inputs!$B$44-B319)/IF(Inputs!$B$39="pvp",15,MAX(0.1,Skills!D9-IF(Skills!E9=TRUE,Inputs!$B$33,0))))+1)),0)</f>
        <v/>
      </c>
      <c r="S292">
        <f>IFERROR(O292/N292,0)</f>
        <v/>
      </c>
      <c r="T292">
        <f>IF(C292,(H292*N292*IF(AND(Inputs!$B$39&lt;&gt;"pvp",Inputs!$B$44&gt;0),((Skills!G9*((R292-1)*IF(Skills!H9&gt;0,Skills!I9/Skills!H9,1)+IF(Skills!H9&gt;0,MIN(Skills!I9,MAX(0,MAX(0,Inputs!$B$44-B319)-((R292-1)*IF(Inputs!$B$39="pvp",15,MAX(0.1,Skills!D9-IF(Skills!E9=TRUE,Inputs!$B$33,0))))))/Skills!H9,1)))/Inputs!$B$44),G292*Q292))*IF(Inputs!$B$39="pvp",1,1+(Inputs!$B$21+0+Skills!P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Skills!E9=TRUE,Inputs!$B$33,0))))))/Skills!H9,1)))/Inputs!$B$44),G292*Q292))*IF(Inputs!$B$39="pvp",1,(1+(Inputs!$B$22+Skills!Q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IFERROR(1/IF(Inputs!$B$39="pvp",15,MAX(0.1,Skills!D10-IF(Skills!E10=TRUE,Inputs!$B$33,0))),0)</f>
        <v/>
      </c>
      <c r="R293">
        <f>IF(AND(Inputs!$B$39&lt;&gt;"pvp",Inputs!$B$44&gt;0),IF(MAX(0,Inputs!$B$44-B319)&lt;=0,0,(INT(MAX(0,Inputs!$B$44-B319)/IF(Inputs!$B$39="pvp",15,MAX(0.1,Skills!D10-IF(Skills!E10=TRUE,Inputs!$B$33,0))))+1)),0)</f>
        <v/>
      </c>
      <c r="S293">
        <f>IFERROR(O293/N293,0)</f>
        <v/>
      </c>
      <c r="T293">
        <f>IF(C293,(H293*N293*IF(AND(Inputs!$B$39&lt;&gt;"pvp",Inputs!$B$44&gt;0),((Skills!G10*((R293-1)*IF(Skills!H10&gt;0,Skills!I10/Skills!H10,1)+IF(Skills!H10&gt;0,MIN(Skills!I10,MAX(0,MAX(0,Inputs!$B$44-B319)-((R293-1)*IF(Inputs!$B$39="pvp",15,MAX(0.1,Skills!D10-IF(Skills!E10=TRUE,Inputs!$B$33,0))))))/Skills!H10,1)))/Inputs!$B$44),G293*Q293))*IF(Inputs!$B$39="pvp",1,1+(Inputs!$B$21+0+Skills!P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Skills!E10=TRUE,Inputs!$B$33,0))))))/Skills!H10,1)))/Inputs!$B$44),G293*Q293))*IF(Inputs!$B$39="pvp",1,(1+(Inputs!$B$22+Skills!Q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IFERROR(1/IF(Inputs!$B$39="pvp",15,MAX(0.1,Skills!D12-IF(Skills!E12=TRUE,Inputs!$B$33,0))),0)</f>
        <v/>
      </c>
      <c r="R295">
        <f>IF(AND(Inputs!$B$39&lt;&gt;"pvp",Inputs!$B$44&gt;0),IF(MAX(0,Inputs!$B$44-B319)&lt;=0,0,(INT(MAX(0,Inputs!$B$44-B319)/IF(Inputs!$B$39="pvp",15,MAX(0.1,Skills!D12-IF(Skills!E12=TRUE,Inputs!$B$33,0))))+1)),0)</f>
        <v/>
      </c>
      <c r="S295">
        <f>IFERROR(O295/N295,0)</f>
        <v/>
      </c>
      <c r="T295">
        <f>IF(C295,(H295*N295*IF(AND(Inputs!$B$39&lt;&gt;"pvp",Inputs!$B$44&gt;0),((Skills!G12*((R295-1)*IF(Skills!H12&gt;0,Skills!I12/Skills!H12,1)+IF(Skills!H12&gt;0,MIN(Skills!I12,MAX(0,MAX(0,Inputs!$B$44-B319)-((R295-1)*IF(Inputs!$B$39="pvp",15,MAX(0.1,Skills!D12-IF(Skills!E12=TRUE,Inputs!$B$33,0))))))/Skills!H12,1)))/Inputs!$B$44),G295*Q295))*IF(Inputs!$B$39="pvp",1,1+(Inputs!$B$21+0+Skills!P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Skills!E12=TRUE,Inputs!$B$33,0))))))/Skills!H12,1)))/Inputs!$B$44),G295*Q295))*IF(Inputs!$B$39="pvp",1,(1+(Inputs!$B$22+Skills!Q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IFERROR(1/IF(Inputs!$B$39="pvp",15,MAX(0.1,Skills!D13-IF(Skills!E13=TRUE,Inputs!$B$33,0))),0)</f>
        <v/>
      </c>
      <c r="R296">
        <f>IF(AND(Inputs!$B$39&lt;&gt;"pvp",Inputs!$B$44&gt;0),IF(Inputs!$B$44&lt;=0,0,(INT(Inputs!$B$44/IF(Inputs!$B$39="pvp",15,MAX(0.1,Skills!D13-IF(Skills!E13=TRUE,Inputs!$B$33,0))))+1)),0)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IFERROR(1/IF(Inputs!$B$39="pvp",15,MAX(0.1,Skills!D14-IF(Skills!E14=TRUE,Inputs!$B$33,0))),0)</f>
        <v/>
      </c>
      <c r="R297">
        <f>IF(AND(Inputs!$B$39&lt;&gt;"pvp",Inputs!$B$44&gt;0),IF(Inputs!$B$44&lt;=0,0,(INT(Inputs!$B$44/IF(Inputs!$B$39="pvp",15,MAX(0.1,Skills!D14-IF(Skills!E14=TRUE,Inputs!$B$33,0))))+1)),0)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IFERROR(1/IF(Inputs!$B$39="pvp",15,MAX(0.1,Skills!D15-IF(Skills!E15=TRUE,Inputs!$B$33,0))),0)</f>
        <v/>
      </c>
      <c r="R298">
        <f>IF(AND(Inputs!$B$39&lt;&gt;"pvp",Inputs!$B$44&gt;0),IF(Inputs!$B$44&lt;=0,0,(INT(Inputs!$B$44/IF(Inputs!$B$39="pvp",15,MAX(0.1,Skills!D15-IF(Skills!E15=TRUE,Inputs!$B$33,0))))+1)),0)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IFERROR(1/IF(Inputs!$B$39="pvp",15,MAX(0.1,Skills!D16-IF(Skills!E16=TRUE,Inputs!$B$33,0))),0)</f>
        <v/>
      </c>
      <c r="R299">
        <f>IF(AND(Inputs!$B$39&lt;&gt;"pvp",Inputs!$B$44&gt;0),IF(Inputs!$B$44&lt;=0,0,(INT(Inputs!$B$44/IF(Inputs!$B$39="pvp",15,MAX(0.1,Skills!D16-IF(Skills!E16=TRUE,Inputs!$B$33,0))))+1)),0)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IFERROR(1/IF(Inputs!$B$39="pvp",15,MAX(0.1,Skills!D17-IF(Skills!E17=TRUE,Inputs!$B$33,0))),0)</f>
        <v/>
      </c>
      <c r="R300">
        <f>IF(AND(Inputs!$B$39&lt;&gt;"pvp",Inputs!$B$44&gt;0),IF(Inputs!$B$44&lt;=0,0,(INT(Inputs!$B$44/IF(Inputs!$B$39="pvp",15,MAX(0.1,Skills!D17-IF(Skills!E17=TRUE,Inputs!$B$33,0))))+1)),0)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IFERROR(1/IF(Inputs!$B$39="pvp",15,MAX(0.1,Skills!D18-IF(Skills!E18=TRUE,Inputs!$B$33,0))),0)</f>
        <v/>
      </c>
      <c r="R301">
        <f>IF(AND(Inputs!$B$39&lt;&gt;"pvp",Inputs!$B$44&gt;0),IF(Inputs!$B$44&lt;=0,0,(INT(Inputs!$B$44/IF(Inputs!$B$39="pvp",15,MAX(0.1,Skills!D18-IF(Skills!E18=TRUE,Inputs!$B$33,0))))+1)),0)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IFERROR(1/IF(Inputs!$B$39="pvp",15,MAX(0.1,Skills!D19-IF(Skills!E19=TRUE,Inputs!$B$33,0))),0)</f>
        <v/>
      </c>
      <c r="R302">
        <f>IF(AND(Inputs!$B$39&lt;&gt;"pvp",Inputs!$B$44&gt;0),IF(Inputs!$B$44&lt;=0,0,(INT(Inputs!$B$44/IF(Inputs!$B$39="pvp",15,MAX(0.1,Skills!D19-IF(Skills!E19=TRUE,Inputs!$B$33,0))))+1)),0)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IFERROR(1/IF(Inputs!$B$39="pvp",15,MAX(0.1,Skills!D20-IF(Skills!E20=TRUE,Inputs!$B$33,0))),0)</f>
        <v/>
      </c>
      <c r="R303">
        <f>IF(AND(Inputs!$B$39&lt;&gt;"pvp",Inputs!$B$44&gt;0),IF(Inputs!$B$44&lt;=0,0,(INT(Inputs!$B$44/IF(Inputs!$B$39="pvp",15,MAX(0.1,Skills!D20-IF(Skills!E20=TRUE,Inputs!$B$33,0))))+1)),0)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Skills!T18*(1+Inputs!$B$35/100))+MIN((Skills!T18*(1+Inputs!$B$35/100)),MAX(0,Inputs!$B$44-((R301-1)*Skills!D18))))/Inputs!$B$44),IF(Inputs!$B$39="pvp",MIN((Skills!T18*(1+Inputs!$B$35/100)),15)/15,(Skills!T18*(1+Inputs!$B$35/100))/Skills!D18)))</f>
        <v/>
      </c>
    </row>
    <row r="313">
      <c r="A313" t="inlineStr">
        <is>
          <t>Attack Speed Buff Bonus %</t>
        </is>
      </c>
      <c r="B313">
        <f>((C303=TRUE)*F303*IF(AND(Inputs!$B$39&lt;&gt;"pvp",Inputs!$B$44&gt;0),(((R303-1)*(Skills!T20*(1+Inputs!$B$35/100))+MIN((Skills!T20*(1+Inputs!$B$35/100)),MAX(0,Inputs!$B$44-((R303-1)*Skills!D20))))/Inputs!$B$44),IF(Inputs!$B$39="pvp",MIN((Skills!T20*(1+Inputs!$B$35/100)),15)/15,(Skills!T20*(1+Inputs!$B$35/100))/Skills!D20)))</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Skills!T19*(1+Inputs!$B$35/100))+MIN((Skills!T19*(1+Inputs!$B$35/100)),MAX(0,Inputs!$B$44-((R302-1)*Skills!D19))))/Inputs!$B$44),IF(Inputs!$B$39="pvp",MIN((Skills!T19*(1+Inputs!$B$35/100)),15)/15,(Skills!T19*(1+Inputs!$B$35/100))/Skills!D19)))</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IFERROR(1/IF(Inputs!$B$39="pvp",15,MAX(0.1,Skills!D5-IF(Skills!E5=TRUE,Inputs!$B$33,0))),0)</f>
        <v/>
      </c>
      <c r="R330">
        <f>IF(AND(Inputs!$B$39&lt;&gt;"pvp",Inputs!$B$44&gt;0),IF(MAX(0,Inputs!$B$44-B361)&lt;=0,0,(INT(MAX(0,Inputs!$B$44-B361)/IF(Inputs!$B$39="pvp",15,MAX(0.1,Skills!D5-IF(Skills!E5=TRUE,Inputs!$B$33,0))))+1)),0)</f>
        <v/>
      </c>
      <c r="S330">
        <f>IFERROR(O330/N330,0)</f>
        <v/>
      </c>
      <c r="T330">
        <f>IF(C330,(H330*N330*IF(AND(Inputs!$B$39&lt;&gt;"pvp",Inputs!$B$44&gt;0),((Skills!G5*((R330-1)*IF(Skills!H5&gt;0,Skills!I5/Skills!H5,1)+IF(Skills!H5&gt;0,MIN(Skills!I5,MAX(0,MAX(0,Inputs!$B$44-B361)-((R330-1)*IF(Inputs!$B$39="pvp",15,MAX(0.1,Skills!D5-IF(Skills!E5=TRUE,Inputs!$B$33,0))))))/Skills!H5,1)))/Inputs!$B$44),G330*Q330))*IF(Inputs!$B$39="pvp",1,1+(Inputs!$B$21+0+Skills!P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Skills!E5=TRUE,Inputs!$B$33,0))))))/Skills!H5,1)))/Inputs!$B$44),G330*Q330))*IF(Inputs!$B$39="pvp",1,(1+(Inputs!$B$22+Skills!Q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IFERROR(1/IF(Inputs!$B$39="pvp",15,MAX(0.1,Skills!D6-IF(Skills!E6=TRUE,Inputs!$B$33,0))),0)</f>
        <v/>
      </c>
      <c r="R331">
        <f>IF(AND(Inputs!$B$39&lt;&gt;"pvp",Inputs!$B$44&gt;0),IF(MAX(0,Inputs!$B$44-B361)&lt;=0,0,(INT(MAX(0,Inputs!$B$44-B361)/IF(Inputs!$B$39="pvp",15,MAX(0.1,Skills!D6-IF(Skills!E6=TRUE,Inputs!$B$33,0))))+1)),0)</f>
        <v/>
      </c>
      <c r="S331">
        <f>IFERROR(O331/N331,0)</f>
        <v/>
      </c>
      <c r="T331">
        <f>IF(C331,(H331*N331*IF(AND(Inputs!$B$39&lt;&gt;"pvp",Inputs!$B$44&gt;0),((Skills!G6*((R331-1)*IF(Skills!H6&gt;0,Skills!I6/Skills!H6,1)+IF(Skills!H6&gt;0,MIN(Skills!I6,MAX(0,MAX(0,Inputs!$B$44-B361)-((R331-1)*IF(Inputs!$B$39="pvp",15,MAX(0.1,Skills!D6-IF(Skills!E6=TRUE,Inputs!$B$33,0))))))/Skills!H6,1)))/Inputs!$B$44),G331*Q331))*IF(Inputs!$B$39="pvp",1,1+(Inputs!$B$21+0+Skills!P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Skills!E6=TRUE,Inputs!$B$33,0))))))/Skills!H6,1)))/Inputs!$B$44),G331*Q331))*IF(Inputs!$B$39="pvp",1,(1+(Inputs!$B$22+Skills!Q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IFERROR(1/IF(Inputs!$B$39="pvp",15,MAX(0.1,Skills!D7-IF(Skills!E7=TRUE,Inputs!$B$33,0))),0)</f>
        <v/>
      </c>
      <c r="R332">
        <f>IF(AND(Inputs!$B$39&lt;&gt;"pvp",Inputs!$B$44&gt;0),IF(MAX(0,Inputs!$B$44-B361)&lt;=0,0,(INT(MAX(0,Inputs!$B$44-B361)/IF(Inputs!$B$39="pvp",15,MAX(0.1,Skills!D7-IF(Skills!E7=TRUE,Inputs!$B$33,0))))+1)),0)</f>
        <v/>
      </c>
      <c r="S332">
        <f>IFERROR(O332/N332,0)</f>
        <v/>
      </c>
      <c r="T332">
        <f>IF(C332,(H332*N332*IF(AND(Inputs!$B$39&lt;&gt;"pvp",Inputs!$B$44&gt;0),((Skills!G7*((R332-1)*IF(Skills!H7&gt;0,Skills!I7/Skills!H7,1)+IF(Skills!H7&gt;0,MIN(Skills!I7,MAX(0,MAX(0,Inputs!$B$44-B361)-((R332-1)*IF(Inputs!$B$39="pvp",15,MAX(0.1,Skills!D7-IF(Skills!E7=TRUE,Inputs!$B$33,0))))))/Skills!H7,1)))/Inputs!$B$44),G332*Q332))*IF(Inputs!$B$39="pvp",1,1+(Inputs!$B$21+0+Skills!P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Skills!E7=TRUE,Inputs!$B$33,0))))))/Skills!H7,1)))/Inputs!$B$44),G332*Q332))*IF(Inputs!$B$39="pvp",1,(1+(Inputs!$B$22+Skills!Q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IFERROR(1/IF(Inputs!$B$39="pvp",15,MAX(0.1,Skills!D9-IF(Skills!E9=TRUE,Inputs!$B$33,0))),0)</f>
        <v/>
      </c>
      <c r="R334">
        <f>IF(AND(Inputs!$B$39&lt;&gt;"pvp",Inputs!$B$44&gt;0),IF(MAX(0,Inputs!$B$44-B361)&lt;=0,0,(INT(MAX(0,Inputs!$B$44-B361)/IF(Inputs!$B$39="pvp",15,MAX(0.1,Skills!D9-IF(Skills!E9=TRUE,Inputs!$B$33,0))))+1)),0)</f>
        <v/>
      </c>
      <c r="S334">
        <f>IFERROR(O334/N334,0)</f>
        <v/>
      </c>
      <c r="T334">
        <f>IF(C334,(H334*N334*IF(AND(Inputs!$B$39&lt;&gt;"pvp",Inputs!$B$44&gt;0),((Skills!G9*((R334-1)*IF(Skills!H9&gt;0,Skills!I9/Skills!H9,1)+IF(Skills!H9&gt;0,MIN(Skills!I9,MAX(0,MAX(0,Inputs!$B$44-B361)-((R334-1)*IF(Inputs!$B$39="pvp",15,MAX(0.1,Skills!D9-IF(Skills!E9=TRUE,Inputs!$B$33,0))))))/Skills!H9,1)))/Inputs!$B$44),G334*Q334))*IF(Inputs!$B$39="pvp",1,1+(Inputs!$B$21+0+Skills!P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Skills!E9=TRUE,Inputs!$B$33,0))))))/Skills!H9,1)))/Inputs!$B$44),G334*Q334))*IF(Inputs!$B$39="pvp",1,(1+(Inputs!$B$22+Skills!Q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IFERROR(1/IF(Inputs!$B$39="pvp",15,MAX(0.1,Skills!D10-IF(Skills!E10=TRUE,Inputs!$B$33,0))),0)</f>
        <v/>
      </c>
      <c r="R335">
        <f>IF(AND(Inputs!$B$39&lt;&gt;"pvp",Inputs!$B$44&gt;0),IF(MAX(0,Inputs!$B$44-B361)&lt;=0,0,(INT(MAX(0,Inputs!$B$44-B361)/IF(Inputs!$B$39="pvp",15,MAX(0.1,Skills!D10-IF(Skills!E10=TRUE,Inputs!$B$33,0))))+1)),0)</f>
        <v/>
      </c>
      <c r="S335">
        <f>IFERROR(O335/N335,0)</f>
        <v/>
      </c>
      <c r="T335">
        <f>IF(C335,(H335*N335*IF(AND(Inputs!$B$39&lt;&gt;"pvp",Inputs!$B$44&gt;0),((Skills!G10*((R335-1)*IF(Skills!H10&gt;0,Skills!I10/Skills!H10,1)+IF(Skills!H10&gt;0,MIN(Skills!I10,MAX(0,MAX(0,Inputs!$B$44-B361)-((R335-1)*IF(Inputs!$B$39="pvp",15,MAX(0.1,Skills!D10-IF(Skills!E10=TRUE,Inputs!$B$33,0))))))/Skills!H10,1)))/Inputs!$B$44),G335*Q335))*IF(Inputs!$B$39="pvp",1,1+(Inputs!$B$21+0+Skills!P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Skills!E10=TRUE,Inputs!$B$33,0))))))/Skills!H10,1)))/Inputs!$B$44),G335*Q335))*IF(Inputs!$B$39="pvp",1,(1+(Inputs!$B$22+Skills!Q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IFERROR(1/IF(Inputs!$B$39="pvp",15,MAX(0.1,Skills!D12-IF(Skills!E12=TRUE,Inputs!$B$33,0))),0)</f>
        <v/>
      </c>
      <c r="R337">
        <f>IF(AND(Inputs!$B$39&lt;&gt;"pvp",Inputs!$B$44&gt;0),IF(MAX(0,Inputs!$B$44-B361)&lt;=0,0,(INT(MAX(0,Inputs!$B$44-B361)/IF(Inputs!$B$39="pvp",15,MAX(0.1,Skills!D12-IF(Skills!E12=TRUE,Inputs!$B$33,0))))+1)),0)</f>
        <v/>
      </c>
      <c r="S337">
        <f>IFERROR(O337/N337,0)</f>
        <v/>
      </c>
      <c r="T337">
        <f>IF(C337,(H337*N337*IF(AND(Inputs!$B$39&lt;&gt;"pvp",Inputs!$B$44&gt;0),((Skills!G12*((R337-1)*IF(Skills!H12&gt;0,Skills!I12/Skills!H12,1)+IF(Skills!H12&gt;0,MIN(Skills!I12,MAX(0,MAX(0,Inputs!$B$44-B361)-((R337-1)*IF(Inputs!$B$39="pvp",15,MAX(0.1,Skills!D12-IF(Skills!E12=TRUE,Inputs!$B$33,0))))))/Skills!H12,1)))/Inputs!$B$44),G337*Q337))*IF(Inputs!$B$39="pvp",1,1+(Inputs!$B$21+0+Skills!P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Skills!E12=TRUE,Inputs!$B$33,0))))))/Skills!H12,1)))/Inputs!$B$44),G337*Q337))*IF(Inputs!$B$39="pvp",1,(1+(Inputs!$B$22+Skills!Q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IFERROR(1/IF(Inputs!$B$39="pvp",15,MAX(0.1,Skills!D13-IF(Skills!E13=TRUE,Inputs!$B$33,0))),0)</f>
        <v/>
      </c>
      <c r="R338">
        <f>IF(AND(Inputs!$B$39&lt;&gt;"pvp",Inputs!$B$44&gt;0),IF(Inputs!$B$44&lt;=0,0,(INT(Inputs!$B$44/IF(Inputs!$B$39="pvp",15,MAX(0.1,Skills!D13-IF(Skills!E13=TRUE,Inputs!$B$33,0))))+1)),0)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IFERROR(1/IF(Inputs!$B$39="pvp",15,MAX(0.1,Skills!D14-IF(Skills!E14=TRUE,Inputs!$B$33,0))),0)</f>
        <v/>
      </c>
      <c r="R339">
        <f>IF(AND(Inputs!$B$39&lt;&gt;"pvp",Inputs!$B$44&gt;0),IF(Inputs!$B$44&lt;=0,0,(INT(Inputs!$B$44/IF(Inputs!$B$39="pvp",15,MAX(0.1,Skills!D14-IF(Skills!E14=TRUE,Inputs!$B$33,0))))+1)),0)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IFERROR(1/IF(Inputs!$B$39="pvp",15,MAX(0.1,Skills!D15-IF(Skills!E15=TRUE,Inputs!$B$33,0))),0)</f>
        <v/>
      </c>
      <c r="R340">
        <f>IF(AND(Inputs!$B$39&lt;&gt;"pvp",Inputs!$B$44&gt;0),IF(Inputs!$B$44&lt;=0,0,(INT(Inputs!$B$44/IF(Inputs!$B$39="pvp",15,MAX(0.1,Skills!D15-IF(Skills!E15=TRUE,Inputs!$B$33,0))))+1)),0)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IFERROR(1/IF(Inputs!$B$39="pvp",15,MAX(0.1,Skills!D16-IF(Skills!E16=TRUE,Inputs!$B$33,0))),0)</f>
        <v/>
      </c>
      <c r="R341">
        <f>IF(AND(Inputs!$B$39&lt;&gt;"pvp",Inputs!$B$44&gt;0),IF(Inputs!$B$44&lt;=0,0,(INT(Inputs!$B$44/IF(Inputs!$B$39="pvp",15,MAX(0.1,Skills!D16-IF(Skills!E16=TRUE,Inputs!$B$33,0))))+1)),0)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IFERROR(1/IF(Inputs!$B$39="pvp",15,MAX(0.1,Skills!D17-IF(Skills!E17=TRUE,Inputs!$B$33,0))),0)</f>
        <v/>
      </c>
      <c r="R342">
        <f>IF(AND(Inputs!$B$39&lt;&gt;"pvp",Inputs!$B$44&gt;0),IF(Inputs!$B$44&lt;=0,0,(INT(Inputs!$B$44/IF(Inputs!$B$39="pvp",15,MAX(0.1,Skills!D17-IF(Skills!E17=TRUE,Inputs!$B$33,0))))+1)),0)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IFERROR(1/IF(Inputs!$B$39="pvp",15,MAX(0.1,Skills!D18-IF(Skills!E18=TRUE,Inputs!$B$33,0))),0)</f>
        <v/>
      </c>
      <c r="R343">
        <f>IF(AND(Inputs!$B$39&lt;&gt;"pvp",Inputs!$B$44&gt;0),IF(Inputs!$B$44&lt;=0,0,(INT(Inputs!$B$44/IF(Inputs!$B$39="pvp",15,MAX(0.1,Skills!D18-IF(Skills!E18=TRUE,Inputs!$B$33,0))))+1)),0)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IFERROR(1/IF(Inputs!$B$39="pvp",15,MAX(0.1,Skills!D19-IF(Skills!E19=TRUE,Inputs!$B$33,0))),0)</f>
        <v/>
      </c>
      <c r="R344">
        <f>IF(AND(Inputs!$B$39&lt;&gt;"pvp",Inputs!$B$44&gt;0),IF(Inputs!$B$44&lt;=0,0,(INT(Inputs!$B$44/IF(Inputs!$B$39="pvp",15,MAX(0.1,Skills!D19-IF(Skills!E19=TRUE,Inputs!$B$33,0))))+1)),0)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IFERROR(1/IF(Inputs!$B$39="pvp",15,MAX(0.1,Skills!D20-IF(Skills!E20=TRUE,Inputs!$B$33,0))),0)</f>
        <v/>
      </c>
      <c r="R345">
        <f>IF(AND(Inputs!$B$39&lt;&gt;"pvp",Inputs!$B$44&gt;0),IF(Inputs!$B$44&lt;=0,0,(INT(Inputs!$B$44/IF(Inputs!$B$39="pvp",15,MAX(0.1,Skills!D20-IF(Skills!E20=TRUE,Inputs!$B$33,0))))+1)),0)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Skills!T18*(1+Inputs!$B$35/100))+MIN((Skills!T18*(1+Inputs!$B$35/100)),MAX(0,Inputs!$B$44-((R343-1)*Skills!D18))))/Inputs!$B$44),IF(Inputs!$B$39="pvp",MIN((Skills!T18*(1+Inputs!$B$35/100)),15)/15,(Skills!T18*(1+Inputs!$B$35/100))/Skills!D18)))</f>
        <v/>
      </c>
    </row>
    <row r="355">
      <c r="A355" t="inlineStr">
        <is>
          <t>Attack Speed Buff Bonus %</t>
        </is>
      </c>
      <c r="B355">
        <f>((C345=TRUE)*F345*IF(AND(Inputs!$B$39&lt;&gt;"pvp",Inputs!$B$44&gt;0),(((R345-1)*(Skills!T20*(1+Inputs!$B$35/100))+MIN((Skills!T20*(1+Inputs!$B$35/100)),MAX(0,Inputs!$B$44-((R345-1)*Skills!D20))))/Inputs!$B$44),IF(Inputs!$B$39="pvp",MIN((Skills!T20*(1+Inputs!$B$35/100)),15)/15,(Skills!T20*(1+Inputs!$B$35/100))/Skills!D20)))</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Skills!T19*(1+Inputs!$B$35/100))+MIN((Skills!T19*(1+Inputs!$B$35/100)),MAX(0,Inputs!$B$44-((R344-1)*Skills!D19))))/Inputs!$B$44),IF(Inputs!$B$39="pvp",MIN((Skills!T19*(1+Inputs!$B$35/100)),15)/15,(Skills!T19*(1+Inputs!$B$35/100))/Skills!D19)))</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IFERROR(1/IF(Inputs!$B$39="pvp",15,MAX(0.1,Skills!D5-IF(Skills!E5=TRUE,Inputs!$B$33,0))),0)</f>
        <v/>
      </c>
      <c r="R372">
        <f>IF(AND(Inputs!$B$39&lt;&gt;"pvp",Inputs!$B$44&gt;0),IF(MAX(0,Inputs!$B$44-B403)&lt;=0,0,(INT(MAX(0,Inputs!$B$44-B403)/IF(Inputs!$B$39="pvp",15,MAX(0.1,Skills!D5-IF(Skills!E5=TRUE,Inputs!$B$33,0))))+1)),0)</f>
        <v/>
      </c>
      <c r="S372">
        <f>IFERROR(O372/N372,0)</f>
        <v/>
      </c>
      <c r="T372">
        <f>IF(C372,(H372*N372*IF(AND(Inputs!$B$39&lt;&gt;"pvp",Inputs!$B$44&gt;0),((Skills!G5*((R372-1)*IF(Skills!H5&gt;0,Skills!I5/Skills!H5,1)+IF(Skills!H5&gt;0,MIN(Skills!I5,MAX(0,MAX(0,Inputs!$B$44-B403)-((R372-1)*IF(Inputs!$B$39="pvp",15,MAX(0.1,Skills!D5-IF(Skills!E5=TRUE,Inputs!$B$33,0))))))/Skills!H5,1)))/Inputs!$B$44),G372*Q372))*IF(Inputs!$B$39="pvp",1,1+((Inputs!$B$21+1)+0+Skills!P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Skills!E5=TRUE,Inputs!$B$33,0))))))/Skills!H5,1)))/Inputs!$B$44),G372*Q372))*IF(Inputs!$B$39="pvp",1,(1+(Inputs!$B$22+Skills!Q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IFERROR(1/IF(Inputs!$B$39="pvp",15,MAX(0.1,Skills!D6-IF(Skills!E6=TRUE,Inputs!$B$33,0))),0)</f>
        <v/>
      </c>
      <c r="R373">
        <f>IF(AND(Inputs!$B$39&lt;&gt;"pvp",Inputs!$B$44&gt;0),IF(MAX(0,Inputs!$B$44-B403)&lt;=0,0,(INT(MAX(0,Inputs!$B$44-B403)/IF(Inputs!$B$39="pvp",15,MAX(0.1,Skills!D6-IF(Skills!E6=TRUE,Inputs!$B$33,0))))+1)),0)</f>
        <v/>
      </c>
      <c r="S373">
        <f>IFERROR(O373/N373,0)</f>
        <v/>
      </c>
      <c r="T373">
        <f>IF(C373,(H373*N373*IF(AND(Inputs!$B$39&lt;&gt;"pvp",Inputs!$B$44&gt;0),((Skills!G6*((R373-1)*IF(Skills!H6&gt;0,Skills!I6/Skills!H6,1)+IF(Skills!H6&gt;0,MIN(Skills!I6,MAX(0,MAX(0,Inputs!$B$44-B403)-((R373-1)*IF(Inputs!$B$39="pvp",15,MAX(0.1,Skills!D6-IF(Skills!E6=TRUE,Inputs!$B$33,0))))))/Skills!H6,1)))/Inputs!$B$44),G373*Q373))*IF(Inputs!$B$39="pvp",1,1+((Inputs!$B$21+1)+0+Skills!P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Skills!E6=TRUE,Inputs!$B$33,0))))))/Skills!H6,1)))/Inputs!$B$44),G373*Q373))*IF(Inputs!$B$39="pvp",1,(1+(Inputs!$B$22+Skills!Q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IFERROR(1/IF(Inputs!$B$39="pvp",15,MAX(0.1,Skills!D7-IF(Skills!E7=TRUE,Inputs!$B$33,0))),0)</f>
        <v/>
      </c>
      <c r="R374">
        <f>IF(AND(Inputs!$B$39&lt;&gt;"pvp",Inputs!$B$44&gt;0),IF(MAX(0,Inputs!$B$44-B403)&lt;=0,0,(INT(MAX(0,Inputs!$B$44-B403)/IF(Inputs!$B$39="pvp",15,MAX(0.1,Skills!D7-IF(Skills!E7=TRUE,Inputs!$B$33,0))))+1)),0)</f>
        <v/>
      </c>
      <c r="S374">
        <f>IFERROR(O374/N374,0)</f>
        <v/>
      </c>
      <c r="T374">
        <f>IF(C374,(H374*N374*IF(AND(Inputs!$B$39&lt;&gt;"pvp",Inputs!$B$44&gt;0),((Skills!G7*((R374-1)*IF(Skills!H7&gt;0,Skills!I7/Skills!H7,1)+IF(Skills!H7&gt;0,MIN(Skills!I7,MAX(0,MAX(0,Inputs!$B$44-B403)-((R374-1)*IF(Inputs!$B$39="pvp",15,MAX(0.1,Skills!D7-IF(Skills!E7=TRUE,Inputs!$B$33,0))))))/Skills!H7,1)))/Inputs!$B$44),G374*Q374))*IF(Inputs!$B$39="pvp",1,1+((Inputs!$B$21+1)+0+Skills!P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Skills!E7=TRUE,Inputs!$B$33,0))))))/Skills!H7,1)))/Inputs!$B$44),G374*Q374))*IF(Inputs!$B$39="pvp",1,(1+(Inputs!$B$22+Skills!Q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IFERROR(1/IF(Inputs!$B$39="pvp",15,MAX(0.1,Skills!D9-IF(Skills!E9=TRUE,Inputs!$B$33,0))),0)</f>
        <v/>
      </c>
      <c r="R376">
        <f>IF(AND(Inputs!$B$39&lt;&gt;"pvp",Inputs!$B$44&gt;0),IF(MAX(0,Inputs!$B$44-B403)&lt;=0,0,(INT(MAX(0,Inputs!$B$44-B403)/IF(Inputs!$B$39="pvp",15,MAX(0.1,Skills!D9-IF(Skills!E9=TRUE,Inputs!$B$33,0))))+1)),0)</f>
        <v/>
      </c>
      <c r="S376">
        <f>IFERROR(O376/N376,0)</f>
        <v/>
      </c>
      <c r="T376">
        <f>IF(C376,(H376*N376*IF(AND(Inputs!$B$39&lt;&gt;"pvp",Inputs!$B$44&gt;0),((Skills!G9*((R376-1)*IF(Skills!H9&gt;0,Skills!I9/Skills!H9,1)+IF(Skills!H9&gt;0,MIN(Skills!I9,MAX(0,MAX(0,Inputs!$B$44-B403)-((R376-1)*IF(Inputs!$B$39="pvp",15,MAX(0.1,Skills!D9-IF(Skills!E9=TRUE,Inputs!$B$33,0))))))/Skills!H9,1)))/Inputs!$B$44),G376*Q376))*IF(Inputs!$B$39="pvp",1,1+((Inputs!$B$21+1)+0+Skills!P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Skills!E9=TRUE,Inputs!$B$33,0))))))/Skills!H9,1)))/Inputs!$B$44),G376*Q376))*IF(Inputs!$B$39="pvp",1,(1+(Inputs!$B$22+Skills!Q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IFERROR(1/IF(Inputs!$B$39="pvp",15,MAX(0.1,Skills!D10-IF(Skills!E10=TRUE,Inputs!$B$33,0))),0)</f>
        <v/>
      </c>
      <c r="R377">
        <f>IF(AND(Inputs!$B$39&lt;&gt;"pvp",Inputs!$B$44&gt;0),IF(MAX(0,Inputs!$B$44-B403)&lt;=0,0,(INT(MAX(0,Inputs!$B$44-B403)/IF(Inputs!$B$39="pvp",15,MAX(0.1,Skills!D10-IF(Skills!E10=TRUE,Inputs!$B$33,0))))+1)),0)</f>
        <v/>
      </c>
      <c r="S377">
        <f>IFERROR(O377/N377,0)</f>
        <v/>
      </c>
      <c r="T377">
        <f>IF(C377,(H377*N377*IF(AND(Inputs!$B$39&lt;&gt;"pvp",Inputs!$B$44&gt;0),((Skills!G10*((R377-1)*IF(Skills!H10&gt;0,Skills!I10/Skills!H10,1)+IF(Skills!H10&gt;0,MIN(Skills!I10,MAX(0,MAX(0,Inputs!$B$44-B403)-((R377-1)*IF(Inputs!$B$39="pvp",15,MAX(0.1,Skills!D10-IF(Skills!E10=TRUE,Inputs!$B$33,0))))))/Skills!H10,1)))/Inputs!$B$44),G377*Q377))*IF(Inputs!$B$39="pvp",1,1+((Inputs!$B$21+1)+0+Skills!P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Skills!E10=TRUE,Inputs!$B$33,0))))))/Skills!H10,1)))/Inputs!$B$44),G377*Q377))*IF(Inputs!$B$39="pvp",1,(1+(Inputs!$B$22+Skills!Q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IFERROR(1/IF(Inputs!$B$39="pvp",15,MAX(0.1,Skills!D12-IF(Skills!E12=TRUE,Inputs!$B$33,0))),0)</f>
        <v/>
      </c>
      <c r="R379">
        <f>IF(AND(Inputs!$B$39&lt;&gt;"pvp",Inputs!$B$44&gt;0),IF(MAX(0,Inputs!$B$44-B403)&lt;=0,0,(INT(MAX(0,Inputs!$B$44-B403)/IF(Inputs!$B$39="pvp",15,MAX(0.1,Skills!D12-IF(Skills!E12=TRUE,Inputs!$B$33,0))))+1)),0)</f>
        <v/>
      </c>
      <c r="S379">
        <f>IFERROR(O379/N379,0)</f>
        <v/>
      </c>
      <c r="T379">
        <f>IF(C379,(H379*N379*IF(AND(Inputs!$B$39&lt;&gt;"pvp",Inputs!$B$44&gt;0),((Skills!G12*((R379-1)*IF(Skills!H12&gt;0,Skills!I12/Skills!H12,1)+IF(Skills!H12&gt;0,MIN(Skills!I12,MAX(0,MAX(0,Inputs!$B$44-B403)-((R379-1)*IF(Inputs!$B$39="pvp",15,MAX(0.1,Skills!D12-IF(Skills!E12=TRUE,Inputs!$B$33,0))))))/Skills!H12,1)))/Inputs!$B$44),G379*Q379))*IF(Inputs!$B$39="pvp",1,1+((Inputs!$B$21+1)+0+Skills!P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Skills!E12=TRUE,Inputs!$B$33,0))))))/Skills!H12,1)))/Inputs!$B$44),G379*Q379))*IF(Inputs!$B$39="pvp",1,(1+(Inputs!$B$22+Skills!Q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IFERROR(1/IF(Inputs!$B$39="pvp",15,MAX(0.1,Skills!D13-IF(Skills!E13=TRUE,Inputs!$B$33,0))),0)</f>
        <v/>
      </c>
      <c r="R380">
        <f>IF(AND(Inputs!$B$39&lt;&gt;"pvp",Inputs!$B$44&gt;0),IF(Inputs!$B$44&lt;=0,0,(INT(Inputs!$B$44/IF(Inputs!$B$39="pvp",15,MAX(0.1,Skills!D13-IF(Skills!E13=TRUE,Inputs!$B$33,0))))+1)),0)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IFERROR(1/IF(Inputs!$B$39="pvp",15,MAX(0.1,Skills!D14-IF(Skills!E14=TRUE,Inputs!$B$33,0))),0)</f>
        <v/>
      </c>
      <c r="R381">
        <f>IF(AND(Inputs!$B$39&lt;&gt;"pvp",Inputs!$B$44&gt;0),IF(Inputs!$B$44&lt;=0,0,(INT(Inputs!$B$44/IF(Inputs!$B$39="pvp",15,MAX(0.1,Skills!D14-IF(Skills!E14=TRUE,Inputs!$B$33,0))))+1)),0)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IFERROR(1/IF(Inputs!$B$39="pvp",15,MAX(0.1,Skills!D15-IF(Skills!E15=TRUE,Inputs!$B$33,0))),0)</f>
        <v/>
      </c>
      <c r="R382">
        <f>IF(AND(Inputs!$B$39&lt;&gt;"pvp",Inputs!$B$44&gt;0),IF(Inputs!$B$44&lt;=0,0,(INT(Inputs!$B$44/IF(Inputs!$B$39="pvp",15,MAX(0.1,Skills!D15-IF(Skills!E15=TRUE,Inputs!$B$33,0))))+1)),0)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IFERROR(1/IF(Inputs!$B$39="pvp",15,MAX(0.1,Skills!D16-IF(Skills!E16=TRUE,Inputs!$B$33,0))),0)</f>
        <v/>
      </c>
      <c r="R383">
        <f>IF(AND(Inputs!$B$39&lt;&gt;"pvp",Inputs!$B$44&gt;0),IF(Inputs!$B$44&lt;=0,0,(INT(Inputs!$B$44/IF(Inputs!$B$39="pvp",15,MAX(0.1,Skills!D16-IF(Skills!E16=TRUE,Inputs!$B$33,0))))+1)),0)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IFERROR(1/IF(Inputs!$B$39="pvp",15,MAX(0.1,Skills!D17-IF(Skills!E17=TRUE,Inputs!$B$33,0))),0)</f>
        <v/>
      </c>
      <c r="R384">
        <f>IF(AND(Inputs!$B$39&lt;&gt;"pvp",Inputs!$B$44&gt;0),IF(Inputs!$B$44&lt;=0,0,(INT(Inputs!$B$44/IF(Inputs!$B$39="pvp",15,MAX(0.1,Skills!D17-IF(Skills!E17=TRUE,Inputs!$B$33,0))))+1)),0)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IFERROR(1/IF(Inputs!$B$39="pvp",15,MAX(0.1,Skills!D18-IF(Skills!E18=TRUE,Inputs!$B$33,0))),0)</f>
        <v/>
      </c>
      <c r="R385">
        <f>IF(AND(Inputs!$B$39&lt;&gt;"pvp",Inputs!$B$44&gt;0),IF(Inputs!$B$44&lt;=0,0,(INT(Inputs!$B$44/IF(Inputs!$B$39="pvp",15,MAX(0.1,Skills!D18-IF(Skills!E18=TRUE,Inputs!$B$33,0))))+1)),0)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IFERROR(1/IF(Inputs!$B$39="pvp",15,MAX(0.1,Skills!D19-IF(Skills!E19=TRUE,Inputs!$B$33,0))),0)</f>
        <v/>
      </c>
      <c r="R386">
        <f>IF(AND(Inputs!$B$39&lt;&gt;"pvp",Inputs!$B$44&gt;0),IF(Inputs!$B$44&lt;=0,0,(INT(Inputs!$B$44/IF(Inputs!$B$39="pvp",15,MAX(0.1,Skills!D19-IF(Skills!E19=TRUE,Inputs!$B$33,0))))+1)),0)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IFERROR(1/IF(Inputs!$B$39="pvp",15,MAX(0.1,Skills!D20-IF(Skills!E20=TRUE,Inputs!$B$33,0))),0)</f>
        <v/>
      </c>
      <c r="R387">
        <f>IF(AND(Inputs!$B$39&lt;&gt;"pvp",Inputs!$B$44&gt;0),IF(Inputs!$B$44&lt;=0,0,(INT(Inputs!$B$44/IF(Inputs!$B$39="pvp",15,MAX(0.1,Skills!D20-IF(Skills!E20=TRUE,Inputs!$B$33,0))))+1)),0)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Skills!T18*(1+Inputs!$B$35/100))+MIN((Skills!T18*(1+Inputs!$B$35/100)),MAX(0,Inputs!$B$44-((R385-1)*Skills!D18))))/Inputs!$B$44),IF(Inputs!$B$39="pvp",MIN((Skills!T18*(1+Inputs!$B$35/100)),15)/15,(Skills!T18*(1+Inputs!$B$35/100))/Skills!D18)))</f>
        <v/>
      </c>
    </row>
    <row r="397">
      <c r="A397" t="inlineStr">
        <is>
          <t>Attack Speed Buff Bonus %</t>
        </is>
      </c>
      <c r="B397">
        <f>((C387=TRUE)*F387*IF(AND(Inputs!$B$39&lt;&gt;"pvp",Inputs!$B$44&gt;0),(((R387-1)*(Skills!T20*(1+Inputs!$B$35/100))+MIN((Skills!T20*(1+Inputs!$B$35/100)),MAX(0,Inputs!$B$44-((R387-1)*Skills!D20))))/Inputs!$B$44),IF(Inputs!$B$39="pvp",MIN((Skills!T20*(1+Inputs!$B$35/100)),15)/15,(Skills!T20*(1+Inputs!$B$35/100))/Skills!D20)))</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Skills!T19*(1+Inputs!$B$35/100))+MIN((Skills!T19*(1+Inputs!$B$35/100)),MAX(0,Inputs!$B$44-((R386-1)*Skills!D19))))/Inputs!$B$44),IF(Inputs!$B$39="pvp",MIN((Skills!T19*(1+Inputs!$B$35/100)),15)/15,(Skills!T19*(1+Inputs!$B$35/100))/Skills!D19)))</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IFERROR(1/IF(Inputs!$B$39="pvp",15,MAX(0.1,Skills!D5-IF(Skills!E5=TRUE,Inputs!$B$33,0))),0)</f>
        <v/>
      </c>
      <c r="R414">
        <f>IF(AND(Inputs!$B$39&lt;&gt;"pvp",Inputs!$B$44&gt;0),IF(MAX(0,Inputs!$B$44-B445)&lt;=0,0,(INT(MAX(0,Inputs!$B$44-B445)/IF(Inputs!$B$39="pvp",15,MAX(0.1,Skills!D5-IF(Skills!E5=TRUE,Inputs!$B$33,0))))+1)),0)</f>
        <v/>
      </c>
      <c r="S414">
        <f>IFERROR(O414/N414,0)</f>
        <v/>
      </c>
      <c r="T414">
        <f>IF(C414,(H414*N414*IF(AND(Inputs!$B$39&lt;&gt;"pvp",Inputs!$B$44&gt;0),((Skills!G5*((R414-1)*IF(Skills!H5&gt;0,Skills!I5/Skills!H5,1)+IF(Skills!H5&gt;0,MIN(Skills!I5,MAX(0,MAX(0,Inputs!$B$44-B445)-((R414-1)*IF(Inputs!$B$39="pvp",15,MAX(0.1,Skills!D5-IF(Skills!E5=TRUE,Inputs!$B$33,0))))))/Skills!H5,1)))/Inputs!$B$44),G414*Q414))*IF(Inputs!$B$39="pvp",1,1+(Inputs!$B$21+0+Skills!P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Skills!E5=TRUE,Inputs!$B$33,0))))))/Skills!H5,1)))/Inputs!$B$44),G414*Q414))*IF(Inputs!$B$39="pvp",1,(1+((Inputs!$B$22+1)+Skills!Q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IFERROR(1/IF(Inputs!$B$39="pvp",15,MAX(0.1,Skills!D6-IF(Skills!E6=TRUE,Inputs!$B$33,0))),0)</f>
        <v/>
      </c>
      <c r="R415">
        <f>IF(AND(Inputs!$B$39&lt;&gt;"pvp",Inputs!$B$44&gt;0),IF(MAX(0,Inputs!$B$44-B445)&lt;=0,0,(INT(MAX(0,Inputs!$B$44-B445)/IF(Inputs!$B$39="pvp",15,MAX(0.1,Skills!D6-IF(Skills!E6=TRUE,Inputs!$B$33,0))))+1)),0)</f>
        <v/>
      </c>
      <c r="S415">
        <f>IFERROR(O415/N415,0)</f>
        <v/>
      </c>
      <c r="T415">
        <f>IF(C415,(H415*N415*IF(AND(Inputs!$B$39&lt;&gt;"pvp",Inputs!$B$44&gt;0),((Skills!G6*((R415-1)*IF(Skills!H6&gt;0,Skills!I6/Skills!H6,1)+IF(Skills!H6&gt;0,MIN(Skills!I6,MAX(0,MAX(0,Inputs!$B$44-B445)-((R415-1)*IF(Inputs!$B$39="pvp",15,MAX(0.1,Skills!D6-IF(Skills!E6=TRUE,Inputs!$B$33,0))))))/Skills!H6,1)))/Inputs!$B$44),G415*Q415))*IF(Inputs!$B$39="pvp",1,1+(Inputs!$B$21+0+Skills!P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Skills!E6=TRUE,Inputs!$B$33,0))))))/Skills!H6,1)))/Inputs!$B$44),G415*Q415))*IF(Inputs!$B$39="pvp",1,(1+((Inputs!$B$22+1)+Skills!Q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IFERROR(1/IF(Inputs!$B$39="pvp",15,MAX(0.1,Skills!D7-IF(Skills!E7=TRUE,Inputs!$B$33,0))),0)</f>
        <v/>
      </c>
      <c r="R416">
        <f>IF(AND(Inputs!$B$39&lt;&gt;"pvp",Inputs!$B$44&gt;0),IF(MAX(0,Inputs!$B$44-B445)&lt;=0,0,(INT(MAX(0,Inputs!$B$44-B445)/IF(Inputs!$B$39="pvp",15,MAX(0.1,Skills!D7-IF(Skills!E7=TRUE,Inputs!$B$33,0))))+1)),0)</f>
        <v/>
      </c>
      <c r="S416">
        <f>IFERROR(O416/N416,0)</f>
        <v/>
      </c>
      <c r="T416">
        <f>IF(C416,(H416*N416*IF(AND(Inputs!$B$39&lt;&gt;"pvp",Inputs!$B$44&gt;0),((Skills!G7*((R416-1)*IF(Skills!H7&gt;0,Skills!I7/Skills!H7,1)+IF(Skills!H7&gt;0,MIN(Skills!I7,MAX(0,MAX(0,Inputs!$B$44-B445)-((R416-1)*IF(Inputs!$B$39="pvp",15,MAX(0.1,Skills!D7-IF(Skills!E7=TRUE,Inputs!$B$33,0))))))/Skills!H7,1)))/Inputs!$B$44),G416*Q416))*IF(Inputs!$B$39="pvp",1,1+(Inputs!$B$21+0+Skills!P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Skills!E7=TRUE,Inputs!$B$33,0))))))/Skills!H7,1)))/Inputs!$B$44),G416*Q416))*IF(Inputs!$B$39="pvp",1,(1+((Inputs!$B$22+1)+Skills!Q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IFERROR(1/IF(Inputs!$B$39="pvp",15,MAX(0.1,Skills!D9-IF(Skills!E9=TRUE,Inputs!$B$33,0))),0)</f>
        <v/>
      </c>
      <c r="R418">
        <f>IF(AND(Inputs!$B$39&lt;&gt;"pvp",Inputs!$B$44&gt;0),IF(MAX(0,Inputs!$B$44-B445)&lt;=0,0,(INT(MAX(0,Inputs!$B$44-B445)/IF(Inputs!$B$39="pvp",15,MAX(0.1,Skills!D9-IF(Skills!E9=TRUE,Inputs!$B$33,0))))+1)),0)</f>
        <v/>
      </c>
      <c r="S418">
        <f>IFERROR(O418/N418,0)</f>
        <v/>
      </c>
      <c r="T418">
        <f>IF(C418,(H418*N418*IF(AND(Inputs!$B$39&lt;&gt;"pvp",Inputs!$B$44&gt;0),((Skills!G9*((R418-1)*IF(Skills!H9&gt;0,Skills!I9/Skills!H9,1)+IF(Skills!H9&gt;0,MIN(Skills!I9,MAX(0,MAX(0,Inputs!$B$44-B445)-((R418-1)*IF(Inputs!$B$39="pvp",15,MAX(0.1,Skills!D9-IF(Skills!E9=TRUE,Inputs!$B$33,0))))))/Skills!H9,1)))/Inputs!$B$44),G418*Q418))*IF(Inputs!$B$39="pvp",1,1+(Inputs!$B$21+0+Skills!P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Skills!E9=TRUE,Inputs!$B$33,0))))))/Skills!H9,1)))/Inputs!$B$44),G418*Q418))*IF(Inputs!$B$39="pvp",1,(1+((Inputs!$B$22+1)+Skills!Q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IFERROR(1/IF(Inputs!$B$39="pvp",15,MAX(0.1,Skills!D10-IF(Skills!E10=TRUE,Inputs!$B$33,0))),0)</f>
        <v/>
      </c>
      <c r="R419">
        <f>IF(AND(Inputs!$B$39&lt;&gt;"pvp",Inputs!$B$44&gt;0),IF(MAX(0,Inputs!$B$44-B445)&lt;=0,0,(INT(MAX(0,Inputs!$B$44-B445)/IF(Inputs!$B$39="pvp",15,MAX(0.1,Skills!D10-IF(Skills!E10=TRUE,Inputs!$B$33,0))))+1)),0)</f>
        <v/>
      </c>
      <c r="S419">
        <f>IFERROR(O419/N419,0)</f>
        <v/>
      </c>
      <c r="T419">
        <f>IF(C419,(H419*N419*IF(AND(Inputs!$B$39&lt;&gt;"pvp",Inputs!$B$44&gt;0),((Skills!G10*((R419-1)*IF(Skills!H10&gt;0,Skills!I10/Skills!H10,1)+IF(Skills!H10&gt;0,MIN(Skills!I10,MAX(0,MAX(0,Inputs!$B$44-B445)-((R419-1)*IF(Inputs!$B$39="pvp",15,MAX(0.1,Skills!D10-IF(Skills!E10=TRUE,Inputs!$B$33,0))))))/Skills!H10,1)))/Inputs!$B$44),G419*Q419))*IF(Inputs!$B$39="pvp",1,1+(Inputs!$B$21+0+Skills!P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Skills!E10=TRUE,Inputs!$B$33,0))))))/Skills!H10,1)))/Inputs!$B$44),G419*Q419))*IF(Inputs!$B$39="pvp",1,(1+((Inputs!$B$22+1)+Skills!Q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IFERROR(1/IF(Inputs!$B$39="pvp",15,MAX(0.1,Skills!D12-IF(Skills!E12=TRUE,Inputs!$B$33,0))),0)</f>
        <v/>
      </c>
      <c r="R421">
        <f>IF(AND(Inputs!$B$39&lt;&gt;"pvp",Inputs!$B$44&gt;0),IF(MAX(0,Inputs!$B$44-B445)&lt;=0,0,(INT(MAX(0,Inputs!$B$44-B445)/IF(Inputs!$B$39="pvp",15,MAX(0.1,Skills!D12-IF(Skills!E12=TRUE,Inputs!$B$33,0))))+1)),0)</f>
        <v/>
      </c>
      <c r="S421">
        <f>IFERROR(O421/N421,0)</f>
        <v/>
      </c>
      <c r="T421">
        <f>IF(C421,(H421*N421*IF(AND(Inputs!$B$39&lt;&gt;"pvp",Inputs!$B$44&gt;0),((Skills!G12*((R421-1)*IF(Skills!H12&gt;0,Skills!I12/Skills!H12,1)+IF(Skills!H12&gt;0,MIN(Skills!I12,MAX(0,MAX(0,Inputs!$B$44-B445)-((R421-1)*IF(Inputs!$B$39="pvp",15,MAX(0.1,Skills!D12-IF(Skills!E12=TRUE,Inputs!$B$33,0))))))/Skills!H12,1)))/Inputs!$B$44),G421*Q421))*IF(Inputs!$B$39="pvp",1,1+(Inputs!$B$21+0+Skills!P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Skills!E12=TRUE,Inputs!$B$33,0))))))/Skills!H12,1)))/Inputs!$B$44),G421*Q421))*IF(Inputs!$B$39="pvp",1,(1+((Inputs!$B$22+1)+Skills!Q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IFERROR(1/IF(Inputs!$B$39="pvp",15,MAX(0.1,Skills!D13-IF(Skills!E13=TRUE,Inputs!$B$33,0))),0)</f>
        <v/>
      </c>
      <c r="R422">
        <f>IF(AND(Inputs!$B$39&lt;&gt;"pvp",Inputs!$B$44&gt;0),IF(Inputs!$B$44&lt;=0,0,(INT(Inputs!$B$44/IF(Inputs!$B$39="pvp",15,MAX(0.1,Skills!D13-IF(Skills!E13=TRUE,Inputs!$B$33,0))))+1)),0)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IFERROR(1/IF(Inputs!$B$39="pvp",15,MAX(0.1,Skills!D14-IF(Skills!E14=TRUE,Inputs!$B$33,0))),0)</f>
        <v/>
      </c>
      <c r="R423">
        <f>IF(AND(Inputs!$B$39&lt;&gt;"pvp",Inputs!$B$44&gt;0),IF(Inputs!$B$44&lt;=0,0,(INT(Inputs!$B$44/IF(Inputs!$B$39="pvp",15,MAX(0.1,Skills!D14-IF(Skills!E14=TRUE,Inputs!$B$33,0))))+1)),0)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IFERROR(1/IF(Inputs!$B$39="pvp",15,MAX(0.1,Skills!D15-IF(Skills!E15=TRUE,Inputs!$B$33,0))),0)</f>
        <v/>
      </c>
      <c r="R424">
        <f>IF(AND(Inputs!$B$39&lt;&gt;"pvp",Inputs!$B$44&gt;0),IF(Inputs!$B$44&lt;=0,0,(INT(Inputs!$B$44/IF(Inputs!$B$39="pvp",15,MAX(0.1,Skills!D15-IF(Skills!E15=TRUE,Inputs!$B$33,0))))+1)),0)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IFERROR(1/IF(Inputs!$B$39="pvp",15,MAX(0.1,Skills!D16-IF(Skills!E16=TRUE,Inputs!$B$33,0))),0)</f>
        <v/>
      </c>
      <c r="R425">
        <f>IF(AND(Inputs!$B$39&lt;&gt;"pvp",Inputs!$B$44&gt;0),IF(Inputs!$B$44&lt;=0,0,(INT(Inputs!$B$44/IF(Inputs!$B$39="pvp",15,MAX(0.1,Skills!D16-IF(Skills!E16=TRUE,Inputs!$B$33,0))))+1)),0)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IFERROR(1/IF(Inputs!$B$39="pvp",15,MAX(0.1,Skills!D17-IF(Skills!E17=TRUE,Inputs!$B$33,0))),0)</f>
        <v/>
      </c>
      <c r="R426">
        <f>IF(AND(Inputs!$B$39&lt;&gt;"pvp",Inputs!$B$44&gt;0),IF(Inputs!$B$44&lt;=0,0,(INT(Inputs!$B$44/IF(Inputs!$B$39="pvp",15,MAX(0.1,Skills!D17-IF(Skills!E17=TRUE,Inputs!$B$33,0))))+1)),0)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IFERROR(1/IF(Inputs!$B$39="pvp",15,MAX(0.1,Skills!D18-IF(Skills!E18=TRUE,Inputs!$B$33,0))),0)</f>
        <v/>
      </c>
      <c r="R427">
        <f>IF(AND(Inputs!$B$39&lt;&gt;"pvp",Inputs!$B$44&gt;0),IF(Inputs!$B$44&lt;=0,0,(INT(Inputs!$B$44/IF(Inputs!$B$39="pvp",15,MAX(0.1,Skills!D18-IF(Skills!E18=TRUE,Inputs!$B$33,0))))+1)),0)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IFERROR(1/IF(Inputs!$B$39="pvp",15,MAX(0.1,Skills!D19-IF(Skills!E19=TRUE,Inputs!$B$33,0))),0)</f>
        <v/>
      </c>
      <c r="R428">
        <f>IF(AND(Inputs!$B$39&lt;&gt;"pvp",Inputs!$B$44&gt;0),IF(Inputs!$B$44&lt;=0,0,(INT(Inputs!$B$44/IF(Inputs!$B$39="pvp",15,MAX(0.1,Skills!D19-IF(Skills!E19=TRUE,Inputs!$B$33,0))))+1)),0)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IFERROR(1/IF(Inputs!$B$39="pvp",15,MAX(0.1,Skills!D20-IF(Skills!E20=TRUE,Inputs!$B$33,0))),0)</f>
        <v/>
      </c>
      <c r="R429">
        <f>IF(AND(Inputs!$B$39&lt;&gt;"pvp",Inputs!$B$44&gt;0),IF(Inputs!$B$44&lt;=0,0,(INT(Inputs!$B$44/IF(Inputs!$B$39="pvp",15,MAX(0.1,Skills!D20-IF(Skills!E20=TRUE,Inputs!$B$33,0))))+1)),0)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Skills!T18*(1+Inputs!$B$35/100))+MIN((Skills!T18*(1+Inputs!$B$35/100)),MAX(0,Inputs!$B$44-((R427-1)*Skills!D18))))/Inputs!$B$44),IF(Inputs!$B$39="pvp",MIN((Skills!T18*(1+Inputs!$B$35/100)),15)/15,(Skills!T18*(1+Inputs!$B$35/100))/Skills!D18)))</f>
        <v/>
      </c>
    </row>
    <row r="439">
      <c r="A439" t="inlineStr">
        <is>
          <t>Attack Speed Buff Bonus %</t>
        </is>
      </c>
      <c r="B439">
        <f>((C429=TRUE)*F429*IF(AND(Inputs!$B$39&lt;&gt;"pvp",Inputs!$B$44&gt;0),(((R429-1)*(Skills!T20*(1+Inputs!$B$35/100))+MIN((Skills!T20*(1+Inputs!$B$35/100)),MAX(0,Inputs!$B$44-((R429-1)*Skills!D20))))/Inputs!$B$44),IF(Inputs!$B$39="pvp",MIN((Skills!T20*(1+Inputs!$B$35/100)),15)/15,(Skills!T20*(1+Inputs!$B$35/100))/Skills!D20)))</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Skills!T19*(1+Inputs!$B$35/100))+MIN((Skills!T19*(1+Inputs!$B$35/100)),MAX(0,Inputs!$B$44-((R428-1)*Skills!D19))))/Inputs!$B$44),IF(Inputs!$B$39="pvp",MIN((Skills!T19*(1+Inputs!$B$35/100)),15)/15,(Skills!T19*(1+Inputs!$B$35/100))/Skills!D19)))</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IFERROR(1/IF(Inputs!$B$39="pvp",15,MAX(0.1,Skills!D5-IF(Skills!E5=TRUE,Inputs!$B$33,0))),0)</f>
        <v/>
      </c>
      <c r="R456">
        <f>IF(AND(Inputs!$B$39&lt;&gt;"pvp",Inputs!$B$44&gt;0),IF(MAX(0,Inputs!$B$44-B487)&lt;=0,0,(INT(MAX(0,Inputs!$B$44-B487)/IF(Inputs!$B$39="pvp",15,MAX(0.1,Skills!D5-IF(Skills!E5=TRUE,Inputs!$B$33,0))))+1)),0)</f>
        <v/>
      </c>
      <c r="S456">
        <f>IFERROR(O456/N456,0)</f>
        <v/>
      </c>
      <c r="T456">
        <f>IF(C456,(H456*N456*IF(AND(Inputs!$B$39&lt;&gt;"pvp",Inputs!$B$44&gt;0),((Skills!G5*((R456-1)*IF(Skills!H5&gt;0,Skills!I5/Skills!H5,1)+IF(Skills!H5&gt;0,MIN(Skills!I5,MAX(0,MAX(0,Inputs!$B$44-B487)-((R456-1)*IF(Inputs!$B$39="pvp",15,MAX(0.1,Skills!D5-IF(Skills!E5=TRUE,Inputs!$B$33,0))))))/Skills!H5,1)))/Inputs!$B$44),G456*Q456))*IF(Inputs!$B$39="pvp",1,1+(Inputs!$B$21+0+Skills!P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Skills!E5=TRUE,Inputs!$B$33,0))))))/Skills!H5,1)))/Inputs!$B$44),G456*Q456))*IF(Inputs!$B$39="pvp",1,(1+(Inputs!$B$22+Skills!Q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IFERROR(1/IF(Inputs!$B$39="pvp",15,MAX(0.1,Skills!D6-IF(Skills!E6=TRUE,Inputs!$B$33,0))),0)</f>
        <v/>
      </c>
      <c r="R457">
        <f>IF(AND(Inputs!$B$39&lt;&gt;"pvp",Inputs!$B$44&gt;0),IF(MAX(0,Inputs!$B$44-B487)&lt;=0,0,(INT(MAX(0,Inputs!$B$44-B487)/IF(Inputs!$B$39="pvp",15,MAX(0.1,Skills!D6-IF(Skills!E6=TRUE,Inputs!$B$33,0))))+1)),0)</f>
        <v/>
      </c>
      <c r="S457">
        <f>IFERROR(O457/N457,0)</f>
        <v/>
      </c>
      <c r="T457">
        <f>IF(C457,(H457*N457*IF(AND(Inputs!$B$39&lt;&gt;"pvp",Inputs!$B$44&gt;0),((Skills!G6*((R457-1)*IF(Skills!H6&gt;0,Skills!I6/Skills!H6,1)+IF(Skills!H6&gt;0,MIN(Skills!I6,MAX(0,MAX(0,Inputs!$B$44-B487)-((R457-1)*IF(Inputs!$B$39="pvp",15,MAX(0.1,Skills!D6-IF(Skills!E6=TRUE,Inputs!$B$33,0))))))/Skills!H6,1)))/Inputs!$B$44),G457*Q457))*IF(Inputs!$B$39="pvp",1,1+(Inputs!$B$21+0+Skills!P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Skills!E6=TRUE,Inputs!$B$33,0))))))/Skills!H6,1)))/Inputs!$B$44),G457*Q457))*IF(Inputs!$B$39="pvp",1,(1+(Inputs!$B$22+Skills!Q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IFERROR(1/IF(Inputs!$B$39="pvp",15,MAX(0.1,Skills!D7-IF(Skills!E7=TRUE,Inputs!$B$33,0))),0)</f>
        <v/>
      </c>
      <c r="R458">
        <f>IF(AND(Inputs!$B$39&lt;&gt;"pvp",Inputs!$B$44&gt;0),IF(MAX(0,Inputs!$B$44-B487)&lt;=0,0,(INT(MAX(0,Inputs!$B$44-B487)/IF(Inputs!$B$39="pvp",15,MAX(0.1,Skills!D7-IF(Skills!E7=TRUE,Inputs!$B$33,0))))+1)),0)</f>
        <v/>
      </c>
      <c r="S458">
        <f>IFERROR(O458/N458,0)</f>
        <v/>
      </c>
      <c r="T458">
        <f>IF(C458,(H458*N458*IF(AND(Inputs!$B$39&lt;&gt;"pvp",Inputs!$B$44&gt;0),((Skills!G7*((R458-1)*IF(Skills!H7&gt;0,Skills!I7/Skills!H7,1)+IF(Skills!H7&gt;0,MIN(Skills!I7,MAX(0,MAX(0,Inputs!$B$44-B487)-((R458-1)*IF(Inputs!$B$39="pvp",15,MAX(0.1,Skills!D7-IF(Skills!E7=TRUE,Inputs!$B$33,0))))))/Skills!H7,1)))/Inputs!$B$44),G458*Q458))*IF(Inputs!$B$39="pvp",1,1+(Inputs!$B$21+0+Skills!P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Skills!E7=TRUE,Inputs!$B$33,0))))))/Skills!H7,1)))/Inputs!$B$44),G458*Q458))*IF(Inputs!$B$39="pvp",1,(1+(Inputs!$B$22+Skills!Q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IFERROR(1/IF(Inputs!$B$39="pvp",15,MAX(0.1,Skills!D9-IF(Skills!E9=TRUE,Inputs!$B$33,0))),0)</f>
        <v/>
      </c>
      <c r="R460">
        <f>IF(AND(Inputs!$B$39&lt;&gt;"pvp",Inputs!$B$44&gt;0),IF(MAX(0,Inputs!$B$44-B487)&lt;=0,0,(INT(MAX(0,Inputs!$B$44-B487)/IF(Inputs!$B$39="pvp",15,MAX(0.1,Skills!D9-IF(Skills!E9=TRUE,Inputs!$B$33,0))))+1)),0)</f>
        <v/>
      </c>
      <c r="S460">
        <f>IFERROR(O460/N460,0)</f>
        <v/>
      </c>
      <c r="T460">
        <f>IF(C460,(H460*N460*IF(AND(Inputs!$B$39&lt;&gt;"pvp",Inputs!$B$44&gt;0),((Skills!G9*((R460-1)*IF(Skills!H9&gt;0,Skills!I9/Skills!H9,1)+IF(Skills!H9&gt;0,MIN(Skills!I9,MAX(0,MAX(0,Inputs!$B$44-B487)-((R460-1)*IF(Inputs!$B$39="pvp",15,MAX(0.1,Skills!D9-IF(Skills!E9=TRUE,Inputs!$B$33,0))))))/Skills!H9,1)))/Inputs!$B$44),G460*Q460))*IF(Inputs!$B$39="pvp",1,1+(Inputs!$B$21+0+Skills!P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Skills!E9=TRUE,Inputs!$B$33,0))))))/Skills!H9,1)))/Inputs!$B$44),G460*Q460))*IF(Inputs!$B$39="pvp",1,(1+(Inputs!$B$22+Skills!Q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IFERROR(1/IF(Inputs!$B$39="pvp",15,MAX(0.1,Skills!D10-IF(Skills!E10=TRUE,Inputs!$B$33,0))),0)</f>
        <v/>
      </c>
      <c r="R461">
        <f>IF(AND(Inputs!$B$39&lt;&gt;"pvp",Inputs!$B$44&gt;0),IF(MAX(0,Inputs!$B$44-B487)&lt;=0,0,(INT(MAX(0,Inputs!$B$44-B487)/IF(Inputs!$B$39="pvp",15,MAX(0.1,Skills!D10-IF(Skills!E10=TRUE,Inputs!$B$33,0))))+1)),0)</f>
        <v/>
      </c>
      <c r="S461">
        <f>IFERROR(O461/N461,0)</f>
        <v/>
      </c>
      <c r="T461">
        <f>IF(C461,(H461*N461*IF(AND(Inputs!$B$39&lt;&gt;"pvp",Inputs!$B$44&gt;0),((Skills!G10*((R461-1)*IF(Skills!H10&gt;0,Skills!I10/Skills!H10,1)+IF(Skills!H10&gt;0,MIN(Skills!I10,MAX(0,MAX(0,Inputs!$B$44-B487)-((R461-1)*IF(Inputs!$B$39="pvp",15,MAX(0.1,Skills!D10-IF(Skills!E10=TRUE,Inputs!$B$33,0))))))/Skills!H10,1)))/Inputs!$B$44),G461*Q461))*IF(Inputs!$B$39="pvp",1,1+(Inputs!$B$21+0+Skills!P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Skills!E10=TRUE,Inputs!$B$33,0))))))/Skills!H10,1)))/Inputs!$B$44),G461*Q461))*IF(Inputs!$B$39="pvp",1,(1+(Inputs!$B$22+Skills!Q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IFERROR(1/IF(Inputs!$B$39="pvp",15,MAX(0.1,Skills!D12-IF(Skills!E12=TRUE,Inputs!$B$33,0))),0)</f>
        <v/>
      </c>
      <c r="R463">
        <f>IF(AND(Inputs!$B$39&lt;&gt;"pvp",Inputs!$B$44&gt;0),IF(MAX(0,Inputs!$B$44-B487)&lt;=0,0,(INT(MAX(0,Inputs!$B$44-B487)/IF(Inputs!$B$39="pvp",15,MAX(0.1,Skills!D12-IF(Skills!E12=TRUE,Inputs!$B$33,0))))+1)),0)</f>
        <v/>
      </c>
      <c r="S463">
        <f>IFERROR(O463/N463,0)</f>
        <v/>
      </c>
      <c r="T463">
        <f>IF(C463,(H463*N463*IF(AND(Inputs!$B$39&lt;&gt;"pvp",Inputs!$B$44&gt;0),((Skills!G12*((R463-1)*IF(Skills!H12&gt;0,Skills!I12/Skills!H12,1)+IF(Skills!H12&gt;0,MIN(Skills!I12,MAX(0,MAX(0,Inputs!$B$44-B487)-((R463-1)*IF(Inputs!$B$39="pvp",15,MAX(0.1,Skills!D12-IF(Skills!E12=TRUE,Inputs!$B$33,0))))))/Skills!H12,1)))/Inputs!$B$44),G463*Q463))*IF(Inputs!$B$39="pvp",1,1+(Inputs!$B$21+0+Skills!P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Skills!E12=TRUE,Inputs!$B$33,0))))))/Skills!H12,1)))/Inputs!$B$44),G463*Q463))*IF(Inputs!$B$39="pvp",1,(1+(Inputs!$B$22+Skills!Q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IFERROR(1/IF(Inputs!$B$39="pvp",15,MAX(0.1,Skills!D13-IF(Skills!E13=TRUE,Inputs!$B$33,0))),0)</f>
        <v/>
      </c>
      <c r="R464">
        <f>IF(AND(Inputs!$B$39&lt;&gt;"pvp",Inputs!$B$44&gt;0),IF(Inputs!$B$44&lt;=0,0,(INT(Inputs!$B$44/IF(Inputs!$B$39="pvp",15,MAX(0.1,Skills!D13-IF(Skills!E13=TRUE,Inputs!$B$33,0))))+1)),0)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IFERROR(1/IF(Inputs!$B$39="pvp",15,MAX(0.1,Skills!D14-IF(Skills!E14=TRUE,Inputs!$B$33,0))),0)</f>
        <v/>
      </c>
      <c r="R465">
        <f>IF(AND(Inputs!$B$39&lt;&gt;"pvp",Inputs!$B$44&gt;0),IF(Inputs!$B$44&lt;=0,0,(INT(Inputs!$B$44/IF(Inputs!$B$39="pvp",15,MAX(0.1,Skills!D14-IF(Skills!E14=TRUE,Inputs!$B$33,0))))+1)),0)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IFERROR(1/IF(Inputs!$B$39="pvp",15,MAX(0.1,Skills!D15-IF(Skills!E15=TRUE,Inputs!$B$33,0))),0)</f>
        <v/>
      </c>
      <c r="R466">
        <f>IF(AND(Inputs!$B$39&lt;&gt;"pvp",Inputs!$B$44&gt;0),IF(Inputs!$B$44&lt;=0,0,(INT(Inputs!$B$44/IF(Inputs!$B$39="pvp",15,MAX(0.1,Skills!D15-IF(Skills!E15=TRUE,Inputs!$B$33,0))))+1)),0)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IFERROR(1/IF(Inputs!$B$39="pvp",15,MAX(0.1,Skills!D16-IF(Skills!E16=TRUE,Inputs!$B$33,0))),0)</f>
        <v/>
      </c>
      <c r="R467">
        <f>IF(AND(Inputs!$B$39&lt;&gt;"pvp",Inputs!$B$44&gt;0),IF(Inputs!$B$44&lt;=0,0,(INT(Inputs!$B$44/IF(Inputs!$B$39="pvp",15,MAX(0.1,Skills!D16-IF(Skills!E16=TRUE,Inputs!$B$33,0))))+1)),0)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IFERROR(1/IF(Inputs!$B$39="pvp",15,MAX(0.1,Skills!D17-IF(Skills!E17=TRUE,Inputs!$B$33,0))),0)</f>
        <v/>
      </c>
      <c r="R468">
        <f>IF(AND(Inputs!$B$39&lt;&gt;"pvp",Inputs!$B$44&gt;0),IF(Inputs!$B$44&lt;=0,0,(INT(Inputs!$B$44/IF(Inputs!$B$39="pvp",15,MAX(0.1,Skills!D17-IF(Skills!E17=TRUE,Inputs!$B$33,0))))+1)),0)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IFERROR(1/IF(Inputs!$B$39="pvp",15,MAX(0.1,Skills!D18-IF(Skills!E18=TRUE,Inputs!$B$33,0))),0)</f>
        <v/>
      </c>
      <c r="R469">
        <f>IF(AND(Inputs!$B$39&lt;&gt;"pvp",Inputs!$B$44&gt;0),IF(Inputs!$B$44&lt;=0,0,(INT(Inputs!$B$44/IF(Inputs!$B$39="pvp",15,MAX(0.1,Skills!D18-IF(Skills!E18=TRUE,Inputs!$B$33,0))))+1)),0)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IFERROR(1/IF(Inputs!$B$39="pvp",15,MAX(0.1,Skills!D19-IF(Skills!E19=TRUE,Inputs!$B$33,0))),0)</f>
        <v/>
      </c>
      <c r="R470">
        <f>IF(AND(Inputs!$B$39&lt;&gt;"pvp",Inputs!$B$44&gt;0),IF(Inputs!$B$44&lt;=0,0,(INT(Inputs!$B$44/IF(Inputs!$B$39="pvp",15,MAX(0.1,Skills!D19-IF(Skills!E19=TRUE,Inputs!$B$33,0))))+1)),0)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IFERROR(1/IF(Inputs!$B$39="pvp",15,MAX(0.1,Skills!D20-IF(Skills!E20=TRUE,Inputs!$B$33,0))),0)</f>
        <v/>
      </c>
      <c r="R471">
        <f>IF(AND(Inputs!$B$39&lt;&gt;"pvp",Inputs!$B$44&gt;0),IF(Inputs!$B$44&lt;=0,0,(INT(Inputs!$B$44/IF(Inputs!$B$39="pvp",15,MAX(0.1,Skills!D20-IF(Skills!E20=TRUE,Inputs!$B$33,0))))+1)),0)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Skills!T18*(1+Inputs!$B$35/100))+MIN((Skills!T18*(1+Inputs!$B$35/100)),MAX(0,Inputs!$B$44-((R469-1)*Skills!D18))))/Inputs!$B$44),IF(Inputs!$B$39="pvp",MIN((Skills!T18*(1+Inputs!$B$35/100)),15)/15,(Skills!T18*(1+Inputs!$B$35/100))/Skills!D18)))</f>
        <v/>
      </c>
    </row>
    <row r="481">
      <c r="A481" t="inlineStr">
        <is>
          <t>Attack Speed Buff Bonus %</t>
        </is>
      </c>
      <c r="B481">
        <f>((C471=TRUE)*F471*IF(AND(Inputs!$B$39&lt;&gt;"pvp",Inputs!$B$44&gt;0),(((R471-1)*(Skills!T20*(1+Inputs!$B$35/100))+MIN((Skills!T20*(1+Inputs!$B$35/100)),MAX(0,Inputs!$B$44-((R471-1)*Skills!D20))))/Inputs!$B$44),IF(Inputs!$B$39="pvp",MIN((Skills!T20*(1+Inputs!$B$35/100)),15)/15,(Skills!T20*(1+Inputs!$B$35/100))/Skills!D20)))</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Skills!T19*(1+Inputs!$B$35/100))+MIN((Skills!T19*(1+Inputs!$B$35/100)),MAX(0,Inputs!$B$44-((R470-1)*Skills!D19))))/Inputs!$B$44),IF(Inputs!$B$39="pvp",MIN((Skills!T19*(1+Inputs!$B$35/100)),15)/15,(Skills!T19*(1+Inputs!$B$35/100))/Skills!D19)))</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IFERROR(1/IF(Inputs!$B$39="pvp",15,MAX(0.1,Skills!D5-IF(Skills!E5=TRUE,Inputs!$B$33,0))),0)</f>
        <v/>
      </c>
      <c r="R498">
        <f>IF(AND(Inputs!$B$39&lt;&gt;"pvp",Inputs!$B$44&gt;0),IF(MAX(0,Inputs!$B$44-B529)&lt;=0,0,(INT(MAX(0,Inputs!$B$44-B529)/IF(Inputs!$B$39="pvp",15,MAX(0.1,Skills!D5-IF(Skills!E5=TRUE,Inputs!$B$33,0))))+1)),0)</f>
        <v/>
      </c>
      <c r="S498">
        <f>IFERROR(O498/N498,0)</f>
        <v/>
      </c>
      <c r="T498">
        <f>IF(C498,(H498*N498*IF(AND(Inputs!$B$39&lt;&gt;"pvp",Inputs!$B$44&gt;0),((Skills!G5*((R498-1)*IF(Skills!H5&gt;0,Skills!I5/Skills!H5,1)+IF(Skills!H5&gt;0,MIN(Skills!I5,MAX(0,MAX(0,Inputs!$B$44-B529)-((R498-1)*IF(Inputs!$B$39="pvp",15,MAX(0.1,Skills!D5-IF(Skills!E5=TRUE,Inputs!$B$33,0))))))/Skills!H5,1)))/Inputs!$B$44),G498*Q498))*IF(Inputs!$B$39="pvp",1,1+(Inputs!$B$21+0+Skills!P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Skills!E5=TRUE,Inputs!$B$33,0))))))/Skills!H5,1)))/Inputs!$B$44),G498*Q498))*IF(Inputs!$B$39="pvp",1,(1+(Inputs!$B$22+Skills!Q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IFERROR(1/IF(Inputs!$B$39="pvp",15,MAX(0.1,Skills!D6-IF(Skills!E6=TRUE,Inputs!$B$33,0))),0)</f>
        <v/>
      </c>
      <c r="R499">
        <f>IF(AND(Inputs!$B$39&lt;&gt;"pvp",Inputs!$B$44&gt;0),IF(MAX(0,Inputs!$B$44-B529)&lt;=0,0,(INT(MAX(0,Inputs!$B$44-B529)/IF(Inputs!$B$39="pvp",15,MAX(0.1,Skills!D6-IF(Skills!E6=TRUE,Inputs!$B$33,0))))+1)),0)</f>
        <v/>
      </c>
      <c r="S499">
        <f>IFERROR(O499/N499,0)</f>
        <v/>
      </c>
      <c r="T499">
        <f>IF(C499,(H499*N499*IF(AND(Inputs!$B$39&lt;&gt;"pvp",Inputs!$B$44&gt;0),((Skills!G6*((R499-1)*IF(Skills!H6&gt;0,Skills!I6/Skills!H6,1)+IF(Skills!H6&gt;0,MIN(Skills!I6,MAX(0,MAX(0,Inputs!$B$44-B529)-((R499-1)*IF(Inputs!$B$39="pvp",15,MAX(0.1,Skills!D6-IF(Skills!E6=TRUE,Inputs!$B$33,0))))))/Skills!H6,1)))/Inputs!$B$44),G499*Q499))*IF(Inputs!$B$39="pvp",1,1+(Inputs!$B$21+0+Skills!P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Skills!E6=TRUE,Inputs!$B$33,0))))))/Skills!H6,1)))/Inputs!$B$44),G499*Q499))*IF(Inputs!$B$39="pvp",1,(1+(Inputs!$B$22+Skills!Q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IFERROR(1/IF(Inputs!$B$39="pvp",15,MAX(0.1,Skills!D7-IF(Skills!E7=TRUE,Inputs!$B$33,0))),0)</f>
        <v/>
      </c>
      <c r="R500">
        <f>IF(AND(Inputs!$B$39&lt;&gt;"pvp",Inputs!$B$44&gt;0),IF(MAX(0,Inputs!$B$44-B529)&lt;=0,0,(INT(MAX(0,Inputs!$B$44-B529)/IF(Inputs!$B$39="pvp",15,MAX(0.1,Skills!D7-IF(Skills!E7=TRUE,Inputs!$B$33,0))))+1)),0)</f>
        <v/>
      </c>
      <c r="S500">
        <f>IFERROR(O500/N500,0)</f>
        <v/>
      </c>
      <c r="T500">
        <f>IF(C500,(H500*N500*IF(AND(Inputs!$B$39&lt;&gt;"pvp",Inputs!$B$44&gt;0),((Skills!G7*((R500-1)*IF(Skills!H7&gt;0,Skills!I7/Skills!H7,1)+IF(Skills!H7&gt;0,MIN(Skills!I7,MAX(0,MAX(0,Inputs!$B$44-B529)-((R500-1)*IF(Inputs!$B$39="pvp",15,MAX(0.1,Skills!D7-IF(Skills!E7=TRUE,Inputs!$B$33,0))))))/Skills!H7,1)))/Inputs!$B$44),G500*Q500))*IF(Inputs!$B$39="pvp",1,1+(Inputs!$B$21+0+Skills!P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Skills!E7=TRUE,Inputs!$B$33,0))))))/Skills!H7,1)))/Inputs!$B$44),G500*Q500))*IF(Inputs!$B$39="pvp",1,(1+(Inputs!$B$22+Skills!Q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IFERROR(1/IF(Inputs!$B$39="pvp",15,MAX(0.1,Skills!D9-IF(Skills!E9=TRUE,Inputs!$B$33,0))),0)</f>
        <v/>
      </c>
      <c r="R502">
        <f>IF(AND(Inputs!$B$39&lt;&gt;"pvp",Inputs!$B$44&gt;0),IF(MAX(0,Inputs!$B$44-B529)&lt;=0,0,(INT(MAX(0,Inputs!$B$44-B529)/IF(Inputs!$B$39="pvp",15,MAX(0.1,Skills!D9-IF(Skills!E9=TRUE,Inputs!$B$33,0))))+1)),0)</f>
        <v/>
      </c>
      <c r="S502">
        <f>IFERROR(O502/N502,0)</f>
        <v/>
      </c>
      <c r="T502">
        <f>IF(C502,(H502*N502*IF(AND(Inputs!$B$39&lt;&gt;"pvp",Inputs!$B$44&gt;0),((Skills!G9*((R502-1)*IF(Skills!H9&gt;0,Skills!I9/Skills!H9,1)+IF(Skills!H9&gt;0,MIN(Skills!I9,MAX(0,MAX(0,Inputs!$B$44-B529)-((R502-1)*IF(Inputs!$B$39="pvp",15,MAX(0.1,Skills!D9-IF(Skills!E9=TRUE,Inputs!$B$33,0))))))/Skills!H9,1)))/Inputs!$B$44),G502*Q502))*IF(Inputs!$B$39="pvp",1,1+(Inputs!$B$21+0+Skills!P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Skills!E9=TRUE,Inputs!$B$33,0))))))/Skills!H9,1)))/Inputs!$B$44),G502*Q502))*IF(Inputs!$B$39="pvp",1,(1+(Inputs!$B$22+Skills!Q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IFERROR(1/IF(Inputs!$B$39="pvp",15,MAX(0.1,Skills!D10-IF(Skills!E10=TRUE,Inputs!$B$33,0))),0)</f>
        <v/>
      </c>
      <c r="R503">
        <f>IF(AND(Inputs!$B$39&lt;&gt;"pvp",Inputs!$B$44&gt;0),IF(MAX(0,Inputs!$B$44-B529)&lt;=0,0,(INT(MAX(0,Inputs!$B$44-B529)/IF(Inputs!$B$39="pvp",15,MAX(0.1,Skills!D10-IF(Skills!E10=TRUE,Inputs!$B$33,0))))+1)),0)</f>
        <v/>
      </c>
      <c r="S503">
        <f>IFERROR(O503/N503,0)</f>
        <v/>
      </c>
      <c r="T503">
        <f>IF(C503,(H503*N503*IF(AND(Inputs!$B$39&lt;&gt;"pvp",Inputs!$B$44&gt;0),((Skills!G10*((R503-1)*IF(Skills!H10&gt;0,Skills!I10/Skills!H10,1)+IF(Skills!H10&gt;0,MIN(Skills!I10,MAX(0,MAX(0,Inputs!$B$44-B529)-((R503-1)*IF(Inputs!$B$39="pvp",15,MAX(0.1,Skills!D10-IF(Skills!E10=TRUE,Inputs!$B$33,0))))))/Skills!H10,1)))/Inputs!$B$44),G503*Q503))*IF(Inputs!$B$39="pvp",1,1+(Inputs!$B$21+0+Skills!P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Skills!E10=TRUE,Inputs!$B$33,0))))))/Skills!H10,1)))/Inputs!$B$44),G503*Q503))*IF(Inputs!$B$39="pvp",1,(1+(Inputs!$B$22+Skills!Q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IFERROR(1/IF(Inputs!$B$39="pvp",15,MAX(0.1,Skills!D12-IF(Skills!E12=TRUE,Inputs!$B$33,0))),0)</f>
        <v/>
      </c>
      <c r="R505">
        <f>IF(AND(Inputs!$B$39&lt;&gt;"pvp",Inputs!$B$44&gt;0),IF(MAX(0,Inputs!$B$44-B529)&lt;=0,0,(INT(MAX(0,Inputs!$B$44-B529)/IF(Inputs!$B$39="pvp",15,MAX(0.1,Skills!D12-IF(Skills!E12=TRUE,Inputs!$B$33,0))))+1)),0)</f>
        <v/>
      </c>
      <c r="S505">
        <f>IFERROR(O505/N505,0)</f>
        <v/>
      </c>
      <c r="T505">
        <f>IF(C505,(H505*N505*IF(AND(Inputs!$B$39&lt;&gt;"pvp",Inputs!$B$44&gt;0),((Skills!G12*((R505-1)*IF(Skills!H12&gt;0,Skills!I12/Skills!H12,1)+IF(Skills!H12&gt;0,MIN(Skills!I12,MAX(0,MAX(0,Inputs!$B$44-B529)-((R505-1)*IF(Inputs!$B$39="pvp",15,MAX(0.1,Skills!D12-IF(Skills!E12=TRUE,Inputs!$B$33,0))))))/Skills!H12,1)))/Inputs!$B$44),G505*Q505))*IF(Inputs!$B$39="pvp",1,1+(Inputs!$B$21+0+Skills!P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Skills!E12=TRUE,Inputs!$B$33,0))))))/Skills!H12,1)))/Inputs!$B$44),G505*Q505))*IF(Inputs!$B$39="pvp",1,(1+(Inputs!$B$22+Skills!Q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IFERROR(1/IF(Inputs!$B$39="pvp",15,MAX(0.1,Skills!D13-IF(Skills!E13=TRUE,Inputs!$B$33,0))),0)</f>
        <v/>
      </c>
      <c r="R506">
        <f>IF(AND(Inputs!$B$39&lt;&gt;"pvp",Inputs!$B$44&gt;0),IF(Inputs!$B$44&lt;=0,0,(INT(Inputs!$B$44/IF(Inputs!$B$39="pvp",15,MAX(0.1,Skills!D13-IF(Skills!E13=TRUE,Inputs!$B$33,0))))+1)),0)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IFERROR(1/IF(Inputs!$B$39="pvp",15,MAX(0.1,Skills!D14-IF(Skills!E14=TRUE,Inputs!$B$33,0))),0)</f>
        <v/>
      </c>
      <c r="R507">
        <f>IF(AND(Inputs!$B$39&lt;&gt;"pvp",Inputs!$B$44&gt;0),IF(Inputs!$B$44&lt;=0,0,(INT(Inputs!$B$44/IF(Inputs!$B$39="pvp",15,MAX(0.1,Skills!D14-IF(Skills!E14=TRUE,Inputs!$B$33,0))))+1)),0)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IFERROR(1/IF(Inputs!$B$39="pvp",15,MAX(0.1,Skills!D15-IF(Skills!E15=TRUE,Inputs!$B$33,0))),0)</f>
        <v/>
      </c>
      <c r="R508">
        <f>IF(AND(Inputs!$B$39&lt;&gt;"pvp",Inputs!$B$44&gt;0),IF(Inputs!$B$44&lt;=0,0,(INT(Inputs!$B$44/IF(Inputs!$B$39="pvp",15,MAX(0.1,Skills!D15-IF(Skills!E15=TRUE,Inputs!$B$33,0))))+1)),0)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IFERROR(1/IF(Inputs!$B$39="pvp",15,MAX(0.1,Skills!D16-IF(Skills!E16=TRUE,Inputs!$B$33,0))),0)</f>
        <v/>
      </c>
      <c r="R509">
        <f>IF(AND(Inputs!$B$39&lt;&gt;"pvp",Inputs!$B$44&gt;0),IF(Inputs!$B$44&lt;=0,0,(INT(Inputs!$B$44/IF(Inputs!$B$39="pvp",15,MAX(0.1,Skills!D16-IF(Skills!E16=TRUE,Inputs!$B$33,0))))+1)),0)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IFERROR(1/IF(Inputs!$B$39="pvp",15,MAX(0.1,Skills!D17-IF(Skills!E17=TRUE,Inputs!$B$33,0))),0)</f>
        <v/>
      </c>
      <c r="R510">
        <f>IF(AND(Inputs!$B$39&lt;&gt;"pvp",Inputs!$B$44&gt;0),IF(Inputs!$B$44&lt;=0,0,(INT(Inputs!$B$44/IF(Inputs!$B$39="pvp",15,MAX(0.1,Skills!D17-IF(Skills!E17=TRUE,Inputs!$B$33,0))))+1)),0)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IFERROR(1/IF(Inputs!$B$39="pvp",15,MAX(0.1,Skills!D18-IF(Skills!E18=TRUE,Inputs!$B$33,0))),0)</f>
        <v/>
      </c>
      <c r="R511">
        <f>IF(AND(Inputs!$B$39&lt;&gt;"pvp",Inputs!$B$44&gt;0),IF(Inputs!$B$44&lt;=0,0,(INT(Inputs!$B$44/IF(Inputs!$B$39="pvp",15,MAX(0.1,Skills!D18-IF(Skills!E18=TRUE,Inputs!$B$33,0))))+1)),0)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IFERROR(1/IF(Inputs!$B$39="pvp",15,MAX(0.1,Skills!D19-IF(Skills!E19=TRUE,Inputs!$B$33,0))),0)</f>
        <v/>
      </c>
      <c r="R512">
        <f>IF(AND(Inputs!$B$39&lt;&gt;"pvp",Inputs!$B$44&gt;0),IF(Inputs!$B$44&lt;=0,0,(INT(Inputs!$B$44/IF(Inputs!$B$39="pvp",15,MAX(0.1,Skills!D19-IF(Skills!E19=TRUE,Inputs!$B$33,0))))+1)),0)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IFERROR(1/IF(Inputs!$B$39="pvp",15,MAX(0.1,Skills!D20-IF(Skills!E20=TRUE,Inputs!$B$33,0))),0)</f>
        <v/>
      </c>
      <c r="R513">
        <f>IF(AND(Inputs!$B$39&lt;&gt;"pvp",Inputs!$B$44&gt;0),IF(Inputs!$B$44&lt;=0,0,(INT(Inputs!$B$44/IF(Inputs!$B$39="pvp",15,MAX(0.1,Skills!D20-IF(Skills!E20=TRUE,Inputs!$B$33,0))))+1)),0)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Skills!T18*(1+Inputs!$B$35/100))+MIN((Skills!T18*(1+Inputs!$B$35/100)),MAX(0,Inputs!$B$44-((R511-1)*Skills!D18))))/Inputs!$B$44),IF(Inputs!$B$39="pvp",MIN((Skills!T18*(1+Inputs!$B$35/100)),15)/15,(Skills!T18*(1+Inputs!$B$35/100))/Skills!D18)))</f>
        <v/>
      </c>
    </row>
    <row r="523">
      <c r="A523" t="inlineStr">
        <is>
          <t>Attack Speed Buff Bonus %</t>
        </is>
      </c>
      <c r="B523">
        <f>((C513=TRUE)*F513*IF(AND(Inputs!$B$39&lt;&gt;"pvp",Inputs!$B$44&gt;0),(((R513-1)*(Skills!T20*(1+Inputs!$B$35/100))+MIN((Skills!T20*(1+Inputs!$B$35/100)),MAX(0,Inputs!$B$44-((R513-1)*Skills!D20))))/Inputs!$B$44),IF(Inputs!$B$39="pvp",MIN((Skills!T20*(1+Inputs!$B$35/100)),15)/15,(Skills!T20*(1+Inputs!$B$35/100))/Skills!D20)))</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Skills!T19*(1+Inputs!$B$35/100))+MIN((Skills!T19*(1+Inputs!$B$35/100)),MAX(0,Inputs!$B$44-((R512-1)*Skills!D19))))/Inputs!$B$44),IF(Inputs!$B$39="pvp",MIN((Skills!T19*(1+Inputs!$B$35/100)),15)/15,(Skills!T19*(1+Inputs!$B$35/100))/Skills!D19)))</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IFERROR(1/IF(Inputs!$B$39="pvp",15,MAX(0.1,Skills!D5-IF(Skills!E5=TRUE,Inputs!$B$33,0))),0)</f>
        <v/>
      </c>
      <c r="R540">
        <f>IF(AND(Inputs!$B$39&lt;&gt;"pvp",Inputs!$B$44&gt;0),IF(MAX(0,Inputs!$B$44-B571)&lt;=0,0,(INT(MAX(0,Inputs!$B$44-B571)/IF(Inputs!$B$39="pvp",15,MAX(0.1,Skills!D5-IF(Skills!E5=TRUE,Inputs!$B$33,0))))+1)),0)</f>
        <v/>
      </c>
      <c r="S540">
        <f>IFERROR(O540/N540,0)</f>
        <v/>
      </c>
      <c r="T540">
        <f>IF(C540,(H540*N540*IF(AND(Inputs!$B$39&lt;&gt;"pvp",Inputs!$B$44&gt;0),((Skills!G5*((R540-1)*IF(Skills!H5&gt;0,Skills!I5/Skills!H5,1)+IF(Skills!H5&gt;0,MIN(Skills!I5,MAX(0,MAX(0,Inputs!$B$44-B571)-((R540-1)*IF(Inputs!$B$39="pvp",15,MAX(0.1,Skills!D5-IF(Skills!E5=TRUE,Inputs!$B$33,0))))))/Skills!H5,1)))/Inputs!$B$44),G540*Q540))*IF(Inputs!$B$39="pvp",1,1+(Inputs!$B$21+0+Skills!P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Skills!E5=TRUE,Inputs!$B$33,0))))))/Skills!H5,1)))/Inputs!$B$44),G540*Q540))*IF(Inputs!$B$39="pvp",1,(1+(Inputs!$B$22+Skills!Q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IFERROR(1/IF(Inputs!$B$39="pvp",15,MAX(0.1,Skills!D6-IF(Skills!E6=TRUE,Inputs!$B$33,0))),0)</f>
        <v/>
      </c>
      <c r="R541">
        <f>IF(AND(Inputs!$B$39&lt;&gt;"pvp",Inputs!$B$44&gt;0),IF(MAX(0,Inputs!$B$44-B571)&lt;=0,0,(INT(MAX(0,Inputs!$B$44-B571)/IF(Inputs!$B$39="pvp",15,MAX(0.1,Skills!D6-IF(Skills!E6=TRUE,Inputs!$B$33,0))))+1)),0)</f>
        <v/>
      </c>
      <c r="S541">
        <f>IFERROR(O541/N541,0)</f>
        <v/>
      </c>
      <c r="T541">
        <f>IF(C541,(H541*N541*IF(AND(Inputs!$B$39&lt;&gt;"pvp",Inputs!$B$44&gt;0),((Skills!G6*((R541-1)*IF(Skills!H6&gt;0,Skills!I6/Skills!H6,1)+IF(Skills!H6&gt;0,MIN(Skills!I6,MAX(0,MAX(0,Inputs!$B$44-B571)-((R541-1)*IF(Inputs!$B$39="pvp",15,MAX(0.1,Skills!D6-IF(Skills!E6=TRUE,Inputs!$B$33,0))))))/Skills!H6,1)))/Inputs!$B$44),G541*Q541))*IF(Inputs!$B$39="pvp",1,1+(Inputs!$B$21+0+Skills!P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Skills!E6=TRUE,Inputs!$B$33,0))))))/Skills!H6,1)))/Inputs!$B$44),G541*Q541))*IF(Inputs!$B$39="pvp",1,(1+(Inputs!$B$22+Skills!Q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IFERROR(1/IF(Inputs!$B$39="pvp",15,MAX(0.1,Skills!D7-IF(Skills!E7=TRUE,Inputs!$B$33,0))),0)</f>
        <v/>
      </c>
      <c r="R542">
        <f>IF(AND(Inputs!$B$39&lt;&gt;"pvp",Inputs!$B$44&gt;0),IF(MAX(0,Inputs!$B$44-B571)&lt;=0,0,(INT(MAX(0,Inputs!$B$44-B571)/IF(Inputs!$B$39="pvp",15,MAX(0.1,Skills!D7-IF(Skills!E7=TRUE,Inputs!$B$33,0))))+1)),0)</f>
        <v/>
      </c>
      <c r="S542">
        <f>IFERROR(O542/N542,0)</f>
        <v/>
      </c>
      <c r="T542">
        <f>IF(C542,(H542*N542*IF(AND(Inputs!$B$39&lt;&gt;"pvp",Inputs!$B$44&gt;0),((Skills!G7*((R542-1)*IF(Skills!H7&gt;0,Skills!I7/Skills!H7,1)+IF(Skills!H7&gt;0,MIN(Skills!I7,MAX(0,MAX(0,Inputs!$B$44-B571)-((R542-1)*IF(Inputs!$B$39="pvp",15,MAX(0.1,Skills!D7-IF(Skills!E7=TRUE,Inputs!$B$33,0))))))/Skills!H7,1)))/Inputs!$B$44),G542*Q542))*IF(Inputs!$B$39="pvp",1,1+(Inputs!$B$21+0+Skills!P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Skills!E7=TRUE,Inputs!$B$33,0))))))/Skills!H7,1)))/Inputs!$B$44),G542*Q542))*IF(Inputs!$B$39="pvp",1,(1+(Inputs!$B$22+Skills!Q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IFERROR(1/IF(Inputs!$B$39="pvp",15,MAX(0.1,Skills!D9-IF(Skills!E9=TRUE,Inputs!$B$33,0))),0)</f>
        <v/>
      </c>
      <c r="R544">
        <f>IF(AND(Inputs!$B$39&lt;&gt;"pvp",Inputs!$B$44&gt;0),IF(MAX(0,Inputs!$B$44-B571)&lt;=0,0,(INT(MAX(0,Inputs!$B$44-B571)/IF(Inputs!$B$39="pvp",15,MAX(0.1,Skills!D9-IF(Skills!E9=TRUE,Inputs!$B$33,0))))+1)),0)</f>
        <v/>
      </c>
      <c r="S544">
        <f>IFERROR(O544/N544,0)</f>
        <v/>
      </c>
      <c r="T544">
        <f>IF(C544,(H544*N544*IF(AND(Inputs!$B$39&lt;&gt;"pvp",Inputs!$B$44&gt;0),((Skills!G9*((R544-1)*IF(Skills!H9&gt;0,Skills!I9/Skills!H9,1)+IF(Skills!H9&gt;0,MIN(Skills!I9,MAX(0,MAX(0,Inputs!$B$44-B571)-((R544-1)*IF(Inputs!$B$39="pvp",15,MAX(0.1,Skills!D9-IF(Skills!E9=TRUE,Inputs!$B$33,0))))))/Skills!H9,1)))/Inputs!$B$44),G544*Q544))*IF(Inputs!$B$39="pvp",1,1+(Inputs!$B$21+0+Skills!P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Skills!E9=TRUE,Inputs!$B$33,0))))))/Skills!H9,1)))/Inputs!$B$44),G544*Q544))*IF(Inputs!$B$39="pvp",1,(1+(Inputs!$B$22+Skills!Q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IFERROR(1/IF(Inputs!$B$39="pvp",15,MAX(0.1,Skills!D10-IF(Skills!E10=TRUE,Inputs!$B$33,0))),0)</f>
        <v/>
      </c>
      <c r="R545">
        <f>IF(AND(Inputs!$B$39&lt;&gt;"pvp",Inputs!$B$44&gt;0),IF(MAX(0,Inputs!$B$44-B571)&lt;=0,0,(INT(MAX(0,Inputs!$B$44-B571)/IF(Inputs!$B$39="pvp",15,MAX(0.1,Skills!D10-IF(Skills!E10=TRUE,Inputs!$B$33,0))))+1)),0)</f>
        <v/>
      </c>
      <c r="S545">
        <f>IFERROR(O545/N545,0)</f>
        <v/>
      </c>
      <c r="T545">
        <f>IF(C545,(H545*N545*IF(AND(Inputs!$B$39&lt;&gt;"pvp",Inputs!$B$44&gt;0),((Skills!G10*((R545-1)*IF(Skills!H10&gt;0,Skills!I10/Skills!H10,1)+IF(Skills!H10&gt;0,MIN(Skills!I10,MAX(0,MAX(0,Inputs!$B$44-B571)-((R545-1)*IF(Inputs!$B$39="pvp",15,MAX(0.1,Skills!D10-IF(Skills!E10=TRUE,Inputs!$B$33,0))))))/Skills!H10,1)))/Inputs!$B$44),G545*Q545))*IF(Inputs!$B$39="pvp",1,1+(Inputs!$B$21+0+Skills!P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Skills!E10=TRUE,Inputs!$B$33,0))))))/Skills!H10,1)))/Inputs!$B$44),G545*Q545))*IF(Inputs!$B$39="pvp",1,(1+(Inputs!$B$22+Skills!Q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IFERROR(1/IF(Inputs!$B$39="pvp",15,MAX(0.1,Skills!D12-IF(Skills!E12=TRUE,Inputs!$B$33,0))),0)</f>
        <v/>
      </c>
      <c r="R547">
        <f>IF(AND(Inputs!$B$39&lt;&gt;"pvp",Inputs!$B$44&gt;0),IF(MAX(0,Inputs!$B$44-B571)&lt;=0,0,(INT(MAX(0,Inputs!$B$44-B571)/IF(Inputs!$B$39="pvp",15,MAX(0.1,Skills!D12-IF(Skills!E12=TRUE,Inputs!$B$33,0))))+1)),0)</f>
        <v/>
      </c>
      <c r="S547">
        <f>IFERROR(O547/N547,0)</f>
        <v/>
      </c>
      <c r="T547">
        <f>IF(C547,(H547*N547*IF(AND(Inputs!$B$39&lt;&gt;"pvp",Inputs!$B$44&gt;0),((Skills!G12*((R547-1)*IF(Skills!H12&gt;0,Skills!I12/Skills!H12,1)+IF(Skills!H12&gt;0,MIN(Skills!I12,MAX(0,MAX(0,Inputs!$B$44-B571)-((R547-1)*IF(Inputs!$B$39="pvp",15,MAX(0.1,Skills!D12-IF(Skills!E12=TRUE,Inputs!$B$33,0))))))/Skills!H12,1)))/Inputs!$B$44),G547*Q547))*IF(Inputs!$B$39="pvp",1,1+(Inputs!$B$21+0+Skills!P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Skills!E12=TRUE,Inputs!$B$33,0))))))/Skills!H12,1)))/Inputs!$B$44),G547*Q547))*IF(Inputs!$B$39="pvp",1,(1+(Inputs!$B$22+Skills!Q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IFERROR(1/IF(Inputs!$B$39="pvp",15,MAX(0.1,Skills!D13-IF(Skills!E13=TRUE,Inputs!$B$33,0))),0)</f>
        <v/>
      </c>
      <c r="R548">
        <f>IF(AND(Inputs!$B$39&lt;&gt;"pvp",Inputs!$B$44&gt;0),IF(Inputs!$B$44&lt;=0,0,(INT(Inputs!$B$44/IF(Inputs!$B$39="pvp",15,MAX(0.1,Skills!D13-IF(Skills!E13=TRUE,Inputs!$B$33,0))))+1)),0)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IFERROR(1/IF(Inputs!$B$39="pvp",15,MAX(0.1,Skills!D14-IF(Skills!E14=TRUE,Inputs!$B$33,0))),0)</f>
        <v/>
      </c>
      <c r="R549">
        <f>IF(AND(Inputs!$B$39&lt;&gt;"pvp",Inputs!$B$44&gt;0),IF(Inputs!$B$44&lt;=0,0,(INT(Inputs!$B$44/IF(Inputs!$B$39="pvp",15,MAX(0.1,Skills!D14-IF(Skills!E14=TRUE,Inputs!$B$33,0))))+1)),0)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IFERROR(1/IF(Inputs!$B$39="pvp",15,MAX(0.1,Skills!D15-IF(Skills!E15=TRUE,Inputs!$B$33,0))),0)</f>
        <v/>
      </c>
      <c r="R550">
        <f>IF(AND(Inputs!$B$39&lt;&gt;"pvp",Inputs!$B$44&gt;0),IF(Inputs!$B$44&lt;=0,0,(INT(Inputs!$B$44/IF(Inputs!$B$39="pvp",15,MAX(0.1,Skills!D15-IF(Skills!E15=TRUE,Inputs!$B$33,0))))+1)),0)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IFERROR(1/IF(Inputs!$B$39="pvp",15,MAX(0.1,Skills!D16-IF(Skills!E16=TRUE,Inputs!$B$33,0))),0)</f>
        <v/>
      </c>
      <c r="R551">
        <f>IF(AND(Inputs!$B$39&lt;&gt;"pvp",Inputs!$B$44&gt;0),IF(Inputs!$B$44&lt;=0,0,(INT(Inputs!$B$44/IF(Inputs!$B$39="pvp",15,MAX(0.1,Skills!D16-IF(Skills!E16=TRUE,Inputs!$B$33,0))))+1)),0)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IFERROR(1/IF(Inputs!$B$39="pvp",15,MAX(0.1,Skills!D17-IF(Skills!E17=TRUE,Inputs!$B$33,0))),0)</f>
        <v/>
      </c>
      <c r="R552">
        <f>IF(AND(Inputs!$B$39&lt;&gt;"pvp",Inputs!$B$44&gt;0),IF(Inputs!$B$44&lt;=0,0,(INT(Inputs!$B$44/IF(Inputs!$B$39="pvp",15,MAX(0.1,Skills!D17-IF(Skills!E17=TRUE,Inputs!$B$33,0))))+1)),0)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IFERROR(1/IF(Inputs!$B$39="pvp",15,MAX(0.1,Skills!D18-IF(Skills!E18=TRUE,Inputs!$B$33,0))),0)</f>
        <v/>
      </c>
      <c r="R553">
        <f>IF(AND(Inputs!$B$39&lt;&gt;"pvp",Inputs!$B$44&gt;0),IF(Inputs!$B$44&lt;=0,0,(INT(Inputs!$B$44/IF(Inputs!$B$39="pvp",15,MAX(0.1,Skills!D18-IF(Skills!E18=TRUE,Inputs!$B$33,0))))+1)),0)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IFERROR(1/IF(Inputs!$B$39="pvp",15,MAX(0.1,Skills!D19-IF(Skills!E19=TRUE,Inputs!$B$33,0))),0)</f>
        <v/>
      </c>
      <c r="R554">
        <f>IF(AND(Inputs!$B$39&lt;&gt;"pvp",Inputs!$B$44&gt;0),IF(Inputs!$B$44&lt;=0,0,(INT(Inputs!$B$44/IF(Inputs!$B$39="pvp",15,MAX(0.1,Skills!D19-IF(Skills!E19=TRUE,Inputs!$B$33,0))))+1)),0)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IFERROR(1/IF(Inputs!$B$39="pvp",15,MAX(0.1,Skills!D20-IF(Skills!E20=TRUE,Inputs!$B$33,0))),0)</f>
        <v/>
      </c>
      <c r="R555">
        <f>IF(AND(Inputs!$B$39&lt;&gt;"pvp",Inputs!$B$44&gt;0),IF(Inputs!$B$44&lt;=0,0,(INT(Inputs!$B$44/IF(Inputs!$B$39="pvp",15,MAX(0.1,Skills!D20-IF(Skills!E20=TRUE,Inputs!$B$33,0))))+1)),0)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Skills!T18*(1+Inputs!$B$35/100))+MIN((Skills!T18*(1+Inputs!$B$35/100)),MAX(0,Inputs!$B$44-((R553-1)*Skills!D18))))/Inputs!$B$44),IF(Inputs!$B$39="pvp",MIN((Skills!T18*(1+Inputs!$B$35/100)),15)/15,(Skills!T18*(1+Inputs!$B$35/100))/Skills!D18)))</f>
        <v/>
      </c>
    </row>
    <row r="565">
      <c r="A565" t="inlineStr">
        <is>
          <t>Attack Speed Buff Bonus %</t>
        </is>
      </c>
      <c r="B565">
        <f>((C555=TRUE)*F555*IF(AND(Inputs!$B$39&lt;&gt;"pvp",Inputs!$B$44&gt;0),(((R555-1)*(Skills!T20*(1+Inputs!$B$35/100))+MIN((Skills!T20*(1+Inputs!$B$35/100)),MAX(0,Inputs!$B$44-((R555-1)*Skills!D20))))/Inputs!$B$44),IF(Inputs!$B$39="pvp",MIN((Skills!T20*(1+Inputs!$B$35/100)),15)/15,(Skills!T20*(1+Inputs!$B$35/100))/Skills!D20)))</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Skills!T19*(1+Inputs!$B$35/100))+MIN((Skills!T19*(1+Inputs!$B$35/100)),MAX(0,Inputs!$B$44-((R554-1)*Skills!D19))))/Inputs!$B$44),IF(Inputs!$B$39="pvp",MIN((Skills!T19*(1+Inputs!$B$35/100)),15)/15,(Skills!T19*(1+Inputs!$B$35/100))/Skills!D19)))</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IFERROR(1/IF(Inputs!$B$39="pvp",15,MAX(0.1,Skills!D5-IF(Skills!E5=TRUE,Inputs!$B$33,0))),0)</f>
        <v/>
      </c>
      <c r="R582">
        <f>IF(AND(Inputs!$B$39&lt;&gt;"pvp",Inputs!$B$44&gt;0),IF(MAX(0,Inputs!$B$44-B613)&lt;=0,0,(INT(MAX(0,Inputs!$B$44-B613)/IF(Inputs!$B$39="pvp",15,MAX(0.1,Skills!D5-IF(Skills!E5=TRUE,Inputs!$B$33,0))))+1)),0)</f>
        <v/>
      </c>
      <c r="S582">
        <f>IFERROR(O582/N582,0)</f>
        <v/>
      </c>
      <c r="T582">
        <f>IF(C582,(H582*N582*IF(AND(Inputs!$B$39&lt;&gt;"pvp",Inputs!$B$44&gt;0),((Skills!G5*((R582-1)*IF(Skills!H5&gt;0,Skills!I5/Skills!H5,1)+IF(Skills!H5&gt;0,MIN(Skills!I5,MAX(0,MAX(0,Inputs!$B$44-B613)-((R582-1)*IF(Inputs!$B$39="pvp",15,MAX(0.1,Skills!D5-IF(Skills!E5=TRUE,Inputs!$B$33,0))))))/Skills!H5,1)))/Inputs!$B$44),G582*Q582))*IF(Inputs!$B$39="pvp",1,1+(Inputs!$B$21+0+Skills!P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Skills!E5=TRUE,Inputs!$B$33,0))))))/Skills!H5,1)))/Inputs!$B$44),G582*Q582))*IF(Inputs!$B$39="pvp",1,(1+(Inputs!$B$22+Skills!Q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IFERROR(1/IF(Inputs!$B$39="pvp",15,MAX(0.1,Skills!D6-IF(Skills!E6=TRUE,Inputs!$B$33,0))),0)</f>
        <v/>
      </c>
      <c r="R583">
        <f>IF(AND(Inputs!$B$39&lt;&gt;"pvp",Inputs!$B$44&gt;0),IF(MAX(0,Inputs!$B$44-B613)&lt;=0,0,(INT(MAX(0,Inputs!$B$44-B613)/IF(Inputs!$B$39="pvp",15,MAX(0.1,Skills!D6-IF(Skills!E6=TRUE,Inputs!$B$33,0))))+1)),0)</f>
        <v/>
      </c>
      <c r="S583">
        <f>IFERROR(O583/N583,0)</f>
        <v/>
      </c>
      <c r="T583">
        <f>IF(C583,(H583*N583*IF(AND(Inputs!$B$39&lt;&gt;"pvp",Inputs!$B$44&gt;0),((Skills!G6*((R583-1)*IF(Skills!H6&gt;0,Skills!I6/Skills!H6,1)+IF(Skills!H6&gt;0,MIN(Skills!I6,MAX(0,MAX(0,Inputs!$B$44-B613)-((R583-1)*IF(Inputs!$B$39="pvp",15,MAX(0.1,Skills!D6-IF(Skills!E6=TRUE,Inputs!$B$33,0))))))/Skills!H6,1)))/Inputs!$B$44),G583*Q583))*IF(Inputs!$B$39="pvp",1,1+(Inputs!$B$21+0+Skills!P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Skills!E6=TRUE,Inputs!$B$33,0))))))/Skills!H6,1)))/Inputs!$B$44),G583*Q583))*IF(Inputs!$B$39="pvp",1,(1+(Inputs!$B$22+Skills!Q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IFERROR(1/IF(Inputs!$B$39="pvp",15,MAX(0.1,Skills!D7-IF(Skills!E7=TRUE,Inputs!$B$33,0))),0)</f>
        <v/>
      </c>
      <c r="R584">
        <f>IF(AND(Inputs!$B$39&lt;&gt;"pvp",Inputs!$B$44&gt;0),IF(MAX(0,Inputs!$B$44-B613)&lt;=0,0,(INT(MAX(0,Inputs!$B$44-B613)/IF(Inputs!$B$39="pvp",15,MAX(0.1,Skills!D7-IF(Skills!E7=TRUE,Inputs!$B$33,0))))+1)),0)</f>
        <v/>
      </c>
      <c r="S584">
        <f>IFERROR(O584/N584,0)</f>
        <v/>
      </c>
      <c r="T584">
        <f>IF(C584,(H584*N584*IF(AND(Inputs!$B$39&lt;&gt;"pvp",Inputs!$B$44&gt;0),((Skills!G7*((R584-1)*IF(Skills!H7&gt;0,Skills!I7/Skills!H7,1)+IF(Skills!H7&gt;0,MIN(Skills!I7,MAX(0,MAX(0,Inputs!$B$44-B613)-((R584-1)*IF(Inputs!$B$39="pvp",15,MAX(0.1,Skills!D7-IF(Skills!E7=TRUE,Inputs!$B$33,0))))))/Skills!H7,1)))/Inputs!$B$44),G584*Q584))*IF(Inputs!$B$39="pvp",1,1+(Inputs!$B$21+0+Skills!P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Skills!E7=TRUE,Inputs!$B$33,0))))))/Skills!H7,1)))/Inputs!$B$44),G584*Q584))*IF(Inputs!$B$39="pvp",1,(1+(Inputs!$B$22+Skills!Q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IFERROR(1/IF(Inputs!$B$39="pvp",15,MAX(0.1,Skills!D9-IF(Skills!E9=TRUE,Inputs!$B$33,0))),0)</f>
        <v/>
      </c>
      <c r="R586">
        <f>IF(AND(Inputs!$B$39&lt;&gt;"pvp",Inputs!$B$44&gt;0),IF(MAX(0,Inputs!$B$44-B613)&lt;=0,0,(INT(MAX(0,Inputs!$B$44-B613)/IF(Inputs!$B$39="pvp",15,MAX(0.1,Skills!D9-IF(Skills!E9=TRUE,Inputs!$B$33,0))))+1)),0)</f>
        <v/>
      </c>
      <c r="S586">
        <f>IFERROR(O586/N586,0)</f>
        <v/>
      </c>
      <c r="T586">
        <f>IF(C586,(H586*N586*IF(AND(Inputs!$B$39&lt;&gt;"pvp",Inputs!$B$44&gt;0),((Skills!G9*((R586-1)*IF(Skills!H9&gt;0,Skills!I9/Skills!H9,1)+IF(Skills!H9&gt;0,MIN(Skills!I9,MAX(0,MAX(0,Inputs!$B$44-B613)-((R586-1)*IF(Inputs!$B$39="pvp",15,MAX(0.1,Skills!D9-IF(Skills!E9=TRUE,Inputs!$B$33,0))))))/Skills!H9,1)))/Inputs!$B$44),G586*Q586))*IF(Inputs!$B$39="pvp",1,1+(Inputs!$B$21+0+Skills!P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Skills!E9=TRUE,Inputs!$B$33,0))))))/Skills!H9,1)))/Inputs!$B$44),G586*Q586))*IF(Inputs!$B$39="pvp",1,(1+(Inputs!$B$22+Skills!Q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IFERROR(1/IF(Inputs!$B$39="pvp",15,MAX(0.1,Skills!D10-IF(Skills!E10=TRUE,Inputs!$B$33,0))),0)</f>
        <v/>
      </c>
      <c r="R587">
        <f>IF(AND(Inputs!$B$39&lt;&gt;"pvp",Inputs!$B$44&gt;0),IF(MAX(0,Inputs!$B$44-B613)&lt;=0,0,(INT(MAX(0,Inputs!$B$44-B613)/IF(Inputs!$B$39="pvp",15,MAX(0.1,Skills!D10-IF(Skills!E10=TRUE,Inputs!$B$33,0))))+1)),0)</f>
        <v/>
      </c>
      <c r="S587">
        <f>IFERROR(O587/N587,0)</f>
        <v/>
      </c>
      <c r="T587">
        <f>IF(C587,(H587*N587*IF(AND(Inputs!$B$39&lt;&gt;"pvp",Inputs!$B$44&gt;0),((Skills!G10*((R587-1)*IF(Skills!H10&gt;0,Skills!I10/Skills!H10,1)+IF(Skills!H10&gt;0,MIN(Skills!I10,MAX(0,MAX(0,Inputs!$B$44-B613)-((R587-1)*IF(Inputs!$B$39="pvp",15,MAX(0.1,Skills!D10-IF(Skills!E10=TRUE,Inputs!$B$33,0))))))/Skills!H10,1)))/Inputs!$B$44),G587*Q587))*IF(Inputs!$B$39="pvp",1,1+(Inputs!$B$21+0+Skills!P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Skills!E10=TRUE,Inputs!$B$33,0))))))/Skills!H10,1)))/Inputs!$B$44),G587*Q587))*IF(Inputs!$B$39="pvp",1,(1+(Inputs!$B$22+Skills!Q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IFERROR(1/IF(Inputs!$B$39="pvp",15,MAX(0.1,Skills!D12-IF(Skills!E12=TRUE,Inputs!$B$33,0))),0)</f>
        <v/>
      </c>
      <c r="R589">
        <f>IF(AND(Inputs!$B$39&lt;&gt;"pvp",Inputs!$B$44&gt;0),IF(MAX(0,Inputs!$B$44-B613)&lt;=0,0,(INT(MAX(0,Inputs!$B$44-B613)/IF(Inputs!$B$39="pvp",15,MAX(0.1,Skills!D12-IF(Skills!E12=TRUE,Inputs!$B$33,0))))+1)),0)</f>
        <v/>
      </c>
      <c r="S589">
        <f>IFERROR(O589/N589,0)</f>
        <v/>
      </c>
      <c r="T589">
        <f>IF(C589,(H589*N589*IF(AND(Inputs!$B$39&lt;&gt;"pvp",Inputs!$B$44&gt;0),((Skills!G12*((R589-1)*IF(Skills!H12&gt;0,Skills!I12/Skills!H12,1)+IF(Skills!H12&gt;0,MIN(Skills!I12,MAX(0,MAX(0,Inputs!$B$44-B613)-((R589-1)*IF(Inputs!$B$39="pvp",15,MAX(0.1,Skills!D12-IF(Skills!E12=TRUE,Inputs!$B$33,0))))))/Skills!H12,1)))/Inputs!$B$44),G589*Q589))*IF(Inputs!$B$39="pvp",1,1+(Inputs!$B$21+0+Skills!P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Skills!E12=TRUE,Inputs!$B$33,0))))))/Skills!H12,1)))/Inputs!$B$44),G589*Q589))*IF(Inputs!$B$39="pvp",1,(1+(Inputs!$B$22+Skills!Q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IFERROR(1/IF(Inputs!$B$39="pvp",15,MAX(0.1,Skills!D13-IF(Skills!E13=TRUE,Inputs!$B$33,0))),0)</f>
        <v/>
      </c>
      <c r="R590">
        <f>IF(AND(Inputs!$B$39&lt;&gt;"pvp",Inputs!$B$44&gt;0),IF(Inputs!$B$44&lt;=0,0,(INT(Inputs!$B$44/IF(Inputs!$B$39="pvp",15,MAX(0.1,Skills!D13-IF(Skills!E13=TRUE,Inputs!$B$33,0))))+1)),0)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IFERROR(1/IF(Inputs!$B$39="pvp",15,MAX(0.1,Skills!D14-IF(Skills!E14=TRUE,Inputs!$B$33,0))),0)</f>
        <v/>
      </c>
      <c r="R591">
        <f>IF(AND(Inputs!$B$39&lt;&gt;"pvp",Inputs!$B$44&gt;0),IF(Inputs!$B$44&lt;=0,0,(INT(Inputs!$B$44/IF(Inputs!$B$39="pvp",15,MAX(0.1,Skills!D14-IF(Skills!E14=TRUE,Inputs!$B$33,0))))+1)),0)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IFERROR(1/IF(Inputs!$B$39="pvp",15,MAX(0.1,Skills!D15-IF(Skills!E15=TRUE,Inputs!$B$33,0))),0)</f>
        <v/>
      </c>
      <c r="R592">
        <f>IF(AND(Inputs!$B$39&lt;&gt;"pvp",Inputs!$B$44&gt;0),IF(Inputs!$B$44&lt;=0,0,(INT(Inputs!$B$44/IF(Inputs!$B$39="pvp",15,MAX(0.1,Skills!D15-IF(Skills!E15=TRUE,Inputs!$B$33,0))))+1)),0)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IFERROR(1/IF(Inputs!$B$39="pvp",15,MAX(0.1,Skills!D16-IF(Skills!E16=TRUE,Inputs!$B$33,0))),0)</f>
        <v/>
      </c>
      <c r="R593">
        <f>IF(AND(Inputs!$B$39&lt;&gt;"pvp",Inputs!$B$44&gt;0),IF(Inputs!$B$44&lt;=0,0,(INT(Inputs!$B$44/IF(Inputs!$B$39="pvp",15,MAX(0.1,Skills!D16-IF(Skills!E16=TRUE,Inputs!$B$33,0))))+1)),0)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IFERROR(1/IF(Inputs!$B$39="pvp",15,MAX(0.1,Skills!D17-IF(Skills!E17=TRUE,Inputs!$B$33,0))),0)</f>
        <v/>
      </c>
      <c r="R594">
        <f>IF(AND(Inputs!$B$39&lt;&gt;"pvp",Inputs!$B$44&gt;0),IF(Inputs!$B$44&lt;=0,0,(INT(Inputs!$B$44/IF(Inputs!$B$39="pvp",15,MAX(0.1,Skills!D17-IF(Skills!E17=TRUE,Inputs!$B$33,0))))+1)),0)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IFERROR(1/IF(Inputs!$B$39="pvp",15,MAX(0.1,Skills!D18-IF(Skills!E18=TRUE,Inputs!$B$33,0))),0)</f>
        <v/>
      </c>
      <c r="R595">
        <f>IF(AND(Inputs!$B$39&lt;&gt;"pvp",Inputs!$B$44&gt;0),IF(Inputs!$B$44&lt;=0,0,(INT(Inputs!$B$44/IF(Inputs!$B$39="pvp",15,MAX(0.1,Skills!D18-IF(Skills!E18=TRUE,Inputs!$B$33,0))))+1)),0)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IFERROR(1/IF(Inputs!$B$39="pvp",15,MAX(0.1,Skills!D19-IF(Skills!E19=TRUE,Inputs!$B$33,0))),0)</f>
        <v/>
      </c>
      <c r="R596">
        <f>IF(AND(Inputs!$B$39&lt;&gt;"pvp",Inputs!$B$44&gt;0),IF(Inputs!$B$44&lt;=0,0,(INT(Inputs!$B$44/IF(Inputs!$B$39="pvp",15,MAX(0.1,Skills!D19-IF(Skills!E19=TRUE,Inputs!$B$33,0))))+1)),0)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IFERROR(1/IF(Inputs!$B$39="pvp",15,MAX(0.1,Skills!D20-IF(Skills!E20=TRUE,Inputs!$B$33,0))),0)</f>
        <v/>
      </c>
      <c r="R597">
        <f>IF(AND(Inputs!$B$39&lt;&gt;"pvp",Inputs!$B$44&gt;0),IF(Inputs!$B$44&lt;=0,0,(INT(Inputs!$B$44/IF(Inputs!$B$39="pvp",15,MAX(0.1,Skills!D20-IF(Skills!E20=TRUE,Inputs!$B$33,0))))+1)),0)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Skills!T18*(1+Inputs!$B$35/100))+MIN((Skills!T18*(1+Inputs!$B$35/100)),MAX(0,Inputs!$B$44-((R595-1)*Skills!D18))))/Inputs!$B$44),IF(Inputs!$B$39="pvp",MIN((Skills!T18*(1+Inputs!$B$35/100)),15)/15,(Skills!T18*(1+Inputs!$B$35/100))/Skills!D18)))</f>
        <v/>
      </c>
    </row>
    <row r="607">
      <c r="A607" t="inlineStr">
        <is>
          <t>Attack Speed Buff Bonus %</t>
        </is>
      </c>
      <c r="B607">
        <f>((C597=TRUE)*F597*IF(AND(Inputs!$B$39&lt;&gt;"pvp",Inputs!$B$44&gt;0),(((R597-1)*(Skills!T20*(1+Inputs!$B$35/100))+MIN((Skills!T20*(1+Inputs!$B$35/100)),MAX(0,Inputs!$B$44-((R597-1)*Skills!D20))))/Inputs!$B$44),IF(Inputs!$B$39="pvp",MIN((Skills!T20*(1+Inputs!$B$35/100)),15)/15,(Skills!T20*(1+Inputs!$B$35/100))/Skills!D20)))</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Skills!T19*(1+Inputs!$B$35/100))+MIN((Skills!T19*(1+Inputs!$B$35/100)),MAX(0,Inputs!$B$44-((R596-1)*Skills!D19))))/Inputs!$B$44),IF(Inputs!$B$39="pvp",MIN((Skills!T19*(1+Inputs!$B$35/100)),15)/15,(Skills!T19*(1+Inputs!$B$35/100))/Skills!D19)))</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IFERROR(1/IF(Inputs!$B$39="pvp",15,MAX(0.1,Skills!D5-IF(Skills!E5=TRUE,Inputs!$B$33,0))),0)</f>
        <v/>
      </c>
      <c r="R624">
        <f>IF(AND(Inputs!$B$39&lt;&gt;"pvp",Inputs!$B$44&gt;0),IF(MAX(0,Inputs!$B$44-B655)&lt;=0,0,(INT(MAX(0,Inputs!$B$44-B655)/IF(Inputs!$B$39="pvp",15,MAX(0.1,Skills!D5-IF(Skills!E5=TRUE,Inputs!$B$33,0))))+1)),0)</f>
        <v/>
      </c>
      <c r="S624">
        <f>IFERROR(O624/N624,0)</f>
        <v/>
      </c>
      <c r="T624">
        <f>IF(C624,(H624*N624*IF(AND(Inputs!$B$39&lt;&gt;"pvp",Inputs!$B$44&gt;0),((Skills!G5*((R624-1)*IF(Skills!H5&gt;0,Skills!I5/Skills!H5,1)+IF(Skills!H5&gt;0,MIN(Skills!I5,MAX(0,MAX(0,Inputs!$B$44-B655)-((R624-1)*IF(Inputs!$B$39="pvp",15,MAX(0.1,Skills!D5-IF(Skills!E5=TRUE,Inputs!$B$33,0))))))/Skills!H5,1)))/Inputs!$B$44),G624*Q624))*IF(Inputs!$B$39="pvp",1,1+(Inputs!$B$21+0+Skills!P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Skills!E5=TRUE,Inputs!$B$33,0))))))/Skills!H5,1)))/Inputs!$B$44),G624*Q624))*IF(Inputs!$B$39="pvp",1,(1+(Inputs!$B$22+Skills!Q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IFERROR(1/IF(Inputs!$B$39="pvp",15,MAX(0.1,Skills!D6-IF(Skills!E6=TRUE,Inputs!$B$33,0))),0)</f>
        <v/>
      </c>
      <c r="R625">
        <f>IF(AND(Inputs!$B$39&lt;&gt;"pvp",Inputs!$B$44&gt;0),IF(MAX(0,Inputs!$B$44-B655)&lt;=0,0,(INT(MAX(0,Inputs!$B$44-B655)/IF(Inputs!$B$39="pvp",15,MAX(0.1,Skills!D6-IF(Skills!E6=TRUE,Inputs!$B$33,0))))+1)),0)</f>
        <v/>
      </c>
      <c r="S625">
        <f>IFERROR(O625/N625,0)</f>
        <v/>
      </c>
      <c r="T625">
        <f>IF(C625,(H625*N625*IF(AND(Inputs!$B$39&lt;&gt;"pvp",Inputs!$B$44&gt;0),((Skills!G6*((R625-1)*IF(Skills!H6&gt;0,Skills!I6/Skills!H6,1)+IF(Skills!H6&gt;0,MIN(Skills!I6,MAX(0,MAX(0,Inputs!$B$44-B655)-((R625-1)*IF(Inputs!$B$39="pvp",15,MAX(0.1,Skills!D6-IF(Skills!E6=TRUE,Inputs!$B$33,0))))))/Skills!H6,1)))/Inputs!$B$44),G625*Q625))*IF(Inputs!$B$39="pvp",1,1+(Inputs!$B$21+0+Skills!P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Skills!E6=TRUE,Inputs!$B$33,0))))))/Skills!H6,1)))/Inputs!$B$44),G625*Q625))*IF(Inputs!$B$39="pvp",1,(1+(Inputs!$B$22+Skills!Q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IFERROR(1/IF(Inputs!$B$39="pvp",15,MAX(0.1,Skills!D7-IF(Skills!E7=TRUE,Inputs!$B$33,0))),0)</f>
        <v/>
      </c>
      <c r="R626">
        <f>IF(AND(Inputs!$B$39&lt;&gt;"pvp",Inputs!$B$44&gt;0),IF(MAX(0,Inputs!$B$44-B655)&lt;=0,0,(INT(MAX(0,Inputs!$B$44-B655)/IF(Inputs!$B$39="pvp",15,MAX(0.1,Skills!D7-IF(Skills!E7=TRUE,Inputs!$B$33,0))))+1)),0)</f>
        <v/>
      </c>
      <c r="S626">
        <f>IFERROR(O626/N626,0)</f>
        <v/>
      </c>
      <c r="T626">
        <f>IF(C626,(H626*N626*IF(AND(Inputs!$B$39&lt;&gt;"pvp",Inputs!$B$44&gt;0),((Skills!G7*((R626-1)*IF(Skills!H7&gt;0,Skills!I7/Skills!H7,1)+IF(Skills!H7&gt;0,MIN(Skills!I7,MAX(0,MAX(0,Inputs!$B$44-B655)-((R626-1)*IF(Inputs!$B$39="pvp",15,MAX(0.1,Skills!D7-IF(Skills!E7=TRUE,Inputs!$B$33,0))))))/Skills!H7,1)))/Inputs!$B$44),G626*Q626))*IF(Inputs!$B$39="pvp",1,1+(Inputs!$B$21+0+Skills!P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Skills!E7=TRUE,Inputs!$B$33,0))))))/Skills!H7,1)))/Inputs!$B$44),G626*Q626))*IF(Inputs!$B$39="pvp",1,(1+(Inputs!$B$22+Skills!Q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IFERROR(1/IF(Inputs!$B$39="pvp",15,MAX(0.1,Skills!D9-IF(Skills!E9=TRUE,Inputs!$B$33,0))),0)</f>
        <v/>
      </c>
      <c r="R628">
        <f>IF(AND(Inputs!$B$39&lt;&gt;"pvp",Inputs!$B$44&gt;0),IF(MAX(0,Inputs!$B$44-B655)&lt;=0,0,(INT(MAX(0,Inputs!$B$44-B655)/IF(Inputs!$B$39="pvp",15,MAX(0.1,Skills!D9-IF(Skills!E9=TRUE,Inputs!$B$33,0))))+1)),0)</f>
        <v/>
      </c>
      <c r="S628">
        <f>IFERROR(O628/N628,0)</f>
        <v/>
      </c>
      <c r="T628">
        <f>IF(C628,(H628*N628*IF(AND(Inputs!$B$39&lt;&gt;"pvp",Inputs!$B$44&gt;0),((Skills!G9*((R628-1)*IF(Skills!H9&gt;0,Skills!I9/Skills!H9,1)+IF(Skills!H9&gt;0,MIN(Skills!I9,MAX(0,MAX(0,Inputs!$B$44-B655)-((R628-1)*IF(Inputs!$B$39="pvp",15,MAX(0.1,Skills!D9-IF(Skills!E9=TRUE,Inputs!$B$33,0))))))/Skills!H9,1)))/Inputs!$B$44),G628*Q628))*IF(Inputs!$B$39="pvp",1,1+(Inputs!$B$21+0+Skills!P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Skills!E9=TRUE,Inputs!$B$33,0))))))/Skills!H9,1)))/Inputs!$B$44),G628*Q628))*IF(Inputs!$B$39="pvp",1,(1+(Inputs!$B$22+Skills!Q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IFERROR(1/IF(Inputs!$B$39="pvp",15,MAX(0.1,Skills!D10-IF(Skills!E10=TRUE,Inputs!$B$33,0))),0)</f>
        <v/>
      </c>
      <c r="R629">
        <f>IF(AND(Inputs!$B$39&lt;&gt;"pvp",Inputs!$B$44&gt;0),IF(MAX(0,Inputs!$B$44-B655)&lt;=0,0,(INT(MAX(0,Inputs!$B$44-B655)/IF(Inputs!$B$39="pvp",15,MAX(0.1,Skills!D10-IF(Skills!E10=TRUE,Inputs!$B$33,0))))+1)),0)</f>
        <v/>
      </c>
      <c r="S629">
        <f>IFERROR(O629/N629,0)</f>
        <v/>
      </c>
      <c r="T629">
        <f>IF(C629,(H629*N629*IF(AND(Inputs!$B$39&lt;&gt;"pvp",Inputs!$B$44&gt;0),((Skills!G10*((R629-1)*IF(Skills!H10&gt;0,Skills!I10/Skills!H10,1)+IF(Skills!H10&gt;0,MIN(Skills!I10,MAX(0,MAX(0,Inputs!$B$44-B655)-((R629-1)*IF(Inputs!$B$39="pvp",15,MAX(0.1,Skills!D10-IF(Skills!E10=TRUE,Inputs!$B$33,0))))))/Skills!H10,1)))/Inputs!$B$44),G629*Q629))*IF(Inputs!$B$39="pvp",1,1+(Inputs!$B$21+0+Skills!P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Skills!E10=TRUE,Inputs!$B$33,0))))))/Skills!H10,1)))/Inputs!$B$44),G629*Q629))*IF(Inputs!$B$39="pvp",1,(1+(Inputs!$B$22+Skills!Q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IFERROR(1/IF(Inputs!$B$39="pvp",15,MAX(0.1,Skills!D12-IF(Skills!E12=TRUE,Inputs!$B$33,0))),0)</f>
        <v/>
      </c>
      <c r="R631">
        <f>IF(AND(Inputs!$B$39&lt;&gt;"pvp",Inputs!$B$44&gt;0),IF(MAX(0,Inputs!$B$44-B655)&lt;=0,0,(INT(MAX(0,Inputs!$B$44-B655)/IF(Inputs!$B$39="pvp",15,MAX(0.1,Skills!D12-IF(Skills!E12=TRUE,Inputs!$B$33,0))))+1)),0)</f>
        <v/>
      </c>
      <c r="S631">
        <f>IFERROR(O631/N631,0)</f>
        <v/>
      </c>
      <c r="T631">
        <f>IF(C631,(H631*N631*IF(AND(Inputs!$B$39&lt;&gt;"pvp",Inputs!$B$44&gt;0),((Skills!G12*((R631-1)*IF(Skills!H12&gt;0,Skills!I12/Skills!H12,1)+IF(Skills!H12&gt;0,MIN(Skills!I12,MAX(0,MAX(0,Inputs!$B$44-B655)-((R631-1)*IF(Inputs!$B$39="pvp",15,MAX(0.1,Skills!D12-IF(Skills!E12=TRUE,Inputs!$B$33,0))))))/Skills!H12,1)))/Inputs!$B$44),G631*Q631))*IF(Inputs!$B$39="pvp",1,1+(Inputs!$B$21+0+Skills!P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Skills!E12=TRUE,Inputs!$B$33,0))))))/Skills!H12,1)))/Inputs!$B$44),G631*Q631))*IF(Inputs!$B$39="pvp",1,(1+(Inputs!$B$22+Skills!Q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IFERROR(1/IF(Inputs!$B$39="pvp",15,MAX(0.1,Skills!D13-IF(Skills!E13=TRUE,Inputs!$B$33,0))),0)</f>
        <v/>
      </c>
      <c r="R632">
        <f>IF(AND(Inputs!$B$39&lt;&gt;"pvp",Inputs!$B$44&gt;0),IF(Inputs!$B$44&lt;=0,0,(INT(Inputs!$B$44/IF(Inputs!$B$39="pvp",15,MAX(0.1,Skills!D13-IF(Skills!E13=TRUE,Inputs!$B$33,0))))+1)),0)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IFERROR(1/IF(Inputs!$B$39="pvp",15,MAX(0.1,Skills!D14-IF(Skills!E14=TRUE,Inputs!$B$33,0))),0)</f>
        <v/>
      </c>
      <c r="R633">
        <f>IF(AND(Inputs!$B$39&lt;&gt;"pvp",Inputs!$B$44&gt;0),IF(Inputs!$B$44&lt;=0,0,(INT(Inputs!$B$44/IF(Inputs!$B$39="pvp",15,MAX(0.1,Skills!D14-IF(Skills!E14=TRUE,Inputs!$B$33,0))))+1)),0)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IFERROR(1/IF(Inputs!$B$39="pvp",15,MAX(0.1,Skills!D15-IF(Skills!E15=TRUE,Inputs!$B$33,0))),0)</f>
        <v/>
      </c>
      <c r="R634">
        <f>IF(AND(Inputs!$B$39&lt;&gt;"pvp",Inputs!$B$44&gt;0),IF(Inputs!$B$44&lt;=0,0,(INT(Inputs!$B$44/IF(Inputs!$B$39="pvp",15,MAX(0.1,Skills!D15-IF(Skills!E15=TRUE,Inputs!$B$33,0))))+1)),0)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IFERROR(1/IF(Inputs!$B$39="pvp",15,MAX(0.1,Skills!D16-IF(Skills!E16=TRUE,Inputs!$B$33,0))),0)</f>
        <v/>
      </c>
      <c r="R635">
        <f>IF(AND(Inputs!$B$39&lt;&gt;"pvp",Inputs!$B$44&gt;0),IF(Inputs!$B$44&lt;=0,0,(INT(Inputs!$B$44/IF(Inputs!$B$39="pvp",15,MAX(0.1,Skills!D16-IF(Skills!E16=TRUE,Inputs!$B$33,0))))+1)),0)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IFERROR(1/IF(Inputs!$B$39="pvp",15,MAX(0.1,Skills!D17-IF(Skills!E17=TRUE,Inputs!$B$33,0))),0)</f>
        <v/>
      </c>
      <c r="R636">
        <f>IF(AND(Inputs!$B$39&lt;&gt;"pvp",Inputs!$B$44&gt;0),IF(Inputs!$B$44&lt;=0,0,(INT(Inputs!$B$44/IF(Inputs!$B$39="pvp",15,MAX(0.1,Skills!D17-IF(Skills!E17=TRUE,Inputs!$B$33,0))))+1)),0)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IFERROR(1/IF(Inputs!$B$39="pvp",15,MAX(0.1,Skills!D18-IF(Skills!E18=TRUE,Inputs!$B$33,0))),0)</f>
        <v/>
      </c>
      <c r="R637">
        <f>IF(AND(Inputs!$B$39&lt;&gt;"pvp",Inputs!$B$44&gt;0),IF(Inputs!$B$44&lt;=0,0,(INT(Inputs!$B$44/IF(Inputs!$B$39="pvp",15,MAX(0.1,Skills!D18-IF(Skills!E18=TRUE,Inputs!$B$33,0))))+1)),0)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IFERROR(1/IF(Inputs!$B$39="pvp",15,MAX(0.1,Skills!D19-IF(Skills!E19=TRUE,Inputs!$B$33,0))),0)</f>
        <v/>
      </c>
      <c r="R638">
        <f>IF(AND(Inputs!$B$39&lt;&gt;"pvp",Inputs!$B$44&gt;0),IF(Inputs!$B$44&lt;=0,0,(INT(Inputs!$B$44/IF(Inputs!$B$39="pvp",15,MAX(0.1,Skills!D19-IF(Skills!E19=TRUE,Inputs!$B$33,0))))+1)),0)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IFERROR(1/IF(Inputs!$B$39="pvp",15,MAX(0.1,Skills!D20-IF(Skills!E20=TRUE,Inputs!$B$33,0))),0)</f>
        <v/>
      </c>
      <c r="R639">
        <f>IF(AND(Inputs!$B$39&lt;&gt;"pvp",Inputs!$B$44&gt;0),IF(Inputs!$B$44&lt;=0,0,(INT(Inputs!$B$44/IF(Inputs!$B$39="pvp",15,MAX(0.1,Skills!D20-IF(Skills!E20=TRUE,Inputs!$B$33,0))))+1)),0)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Skills!T18*(1+Inputs!$B$35/100))+MIN((Skills!T18*(1+Inputs!$B$35/100)),MAX(0,Inputs!$B$44-((R637-1)*Skills!D18))))/Inputs!$B$44),IF(Inputs!$B$39="pvp",MIN((Skills!T18*(1+Inputs!$B$35/100)),15)/15,(Skills!T18*(1+Inputs!$B$35/100))/Skills!D18)))</f>
        <v/>
      </c>
    </row>
    <row r="649">
      <c r="A649" t="inlineStr">
        <is>
          <t>Attack Speed Buff Bonus %</t>
        </is>
      </c>
      <c r="B649">
        <f>((C639=TRUE)*F639*IF(AND(Inputs!$B$39&lt;&gt;"pvp",Inputs!$B$44&gt;0),(((R639-1)*(Skills!T20*(1+Inputs!$B$35/100))+MIN((Skills!T20*(1+Inputs!$B$35/100)),MAX(0,Inputs!$B$44-((R639-1)*Skills!D20))))/Inputs!$B$44),IF(Inputs!$B$39="pvp",MIN((Skills!T20*(1+Inputs!$B$35/100)),15)/15,(Skills!T20*(1+Inputs!$B$35/100))/Skills!D20)))</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Skills!T19*(1+Inputs!$B$35/100))+MIN((Skills!T19*(1+Inputs!$B$35/100)),MAX(0,Inputs!$B$44-((R638-1)*Skills!D19))))/Inputs!$B$44),IF(Inputs!$B$39="pvp",MIN((Skills!T19*(1+Inputs!$B$35/100)),15)/15,(Skills!T19*(1+Inputs!$B$35/100))/Skills!D19)))</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IFERROR(1/IF(Inputs!$B$39="pvp",15,MAX(0.1,Skills!D5-IF(Skills!E5=TRUE,Inputs!$B$33,0))),0)</f>
        <v/>
      </c>
      <c r="R666">
        <f>IF(AND(Inputs!$B$39&lt;&gt;"pvp",Inputs!$B$44&gt;0),IF(MAX(0,Inputs!$B$44-B697)&lt;=0,0,(INT(MAX(0,Inputs!$B$44-B697)/IF(Inputs!$B$39="pvp",15,MAX(0.1,Skills!D5-IF(Skills!E5=TRUE,Inputs!$B$33,0))))+1)),0)</f>
        <v/>
      </c>
      <c r="S666">
        <f>IFERROR(O666/N666,0)</f>
        <v/>
      </c>
      <c r="T666">
        <f>IF(C666,(H666*N666*IF(AND(Inputs!$B$39&lt;&gt;"pvp",Inputs!$B$44&gt;0),((Skills!G5*((R666-1)*IF(Skills!H5&gt;0,Skills!I5/Skills!H5,1)+IF(Skills!H5&gt;0,MIN(Skills!I5,MAX(0,MAX(0,Inputs!$B$44-B697)-((R666-1)*IF(Inputs!$B$39="pvp",15,MAX(0.1,Skills!D5-IF(Skills!E5=TRUE,Inputs!$B$33,0))))))/Skills!H5,1)))/Inputs!$B$44),G666*Q666))*IF(Inputs!$B$39="pvp",1,1+(Inputs!$B$21+0+Skills!P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Skills!E5=TRUE,Inputs!$B$33,0))))))/Skills!H5,1)))/Inputs!$B$44),G666*Q666))*IF(Inputs!$B$39="pvp",1,(1+(Inputs!$B$22+Skills!Q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IFERROR(1/IF(Inputs!$B$39="pvp",15,MAX(0.1,Skills!D6-IF(Skills!E6=TRUE,Inputs!$B$33,0))),0)</f>
        <v/>
      </c>
      <c r="R667">
        <f>IF(AND(Inputs!$B$39&lt;&gt;"pvp",Inputs!$B$44&gt;0),IF(MAX(0,Inputs!$B$44-B697)&lt;=0,0,(INT(MAX(0,Inputs!$B$44-B697)/IF(Inputs!$B$39="pvp",15,MAX(0.1,Skills!D6-IF(Skills!E6=TRUE,Inputs!$B$33,0))))+1)),0)</f>
        <v/>
      </c>
      <c r="S667">
        <f>IFERROR(O667/N667,0)</f>
        <v/>
      </c>
      <c r="T667">
        <f>IF(C667,(H667*N667*IF(AND(Inputs!$B$39&lt;&gt;"pvp",Inputs!$B$44&gt;0),((Skills!G6*((R667-1)*IF(Skills!H6&gt;0,Skills!I6/Skills!H6,1)+IF(Skills!H6&gt;0,MIN(Skills!I6,MAX(0,MAX(0,Inputs!$B$44-B697)-((R667-1)*IF(Inputs!$B$39="pvp",15,MAX(0.1,Skills!D6-IF(Skills!E6=TRUE,Inputs!$B$33,0))))))/Skills!H6,1)))/Inputs!$B$44),G667*Q667))*IF(Inputs!$B$39="pvp",1,1+(Inputs!$B$21+0+Skills!P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Skills!E6=TRUE,Inputs!$B$33,0))))))/Skills!H6,1)))/Inputs!$B$44),G667*Q667))*IF(Inputs!$B$39="pvp",1,(1+(Inputs!$B$22+Skills!Q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IFERROR(1/IF(Inputs!$B$39="pvp",15,MAX(0.1,Skills!D7-IF(Skills!E7=TRUE,Inputs!$B$33,0))),0)</f>
        <v/>
      </c>
      <c r="R668">
        <f>IF(AND(Inputs!$B$39&lt;&gt;"pvp",Inputs!$B$44&gt;0),IF(MAX(0,Inputs!$B$44-B697)&lt;=0,0,(INT(MAX(0,Inputs!$B$44-B697)/IF(Inputs!$B$39="pvp",15,MAX(0.1,Skills!D7-IF(Skills!E7=TRUE,Inputs!$B$33,0))))+1)),0)</f>
        <v/>
      </c>
      <c r="S668">
        <f>IFERROR(O668/N668,0)</f>
        <v/>
      </c>
      <c r="T668">
        <f>IF(C668,(H668*N668*IF(AND(Inputs!$B$39&lt;&gt;"pvp",Inputs!$B$44&gt;0),((Skills!G7*((R668-1)*IF(Skills!H7&gt;0,Skills!I7/Skills!H7,1)+IF(Skills!H7&gt;0,MIN(Skills!I7,MAX(0,MAX(0,Inputs!$B$44-B697)-((R668-1)*IF(Inputs!$B$39="pvp",15,MAX(0.1,Skills!D7-IF(Skills!E7=TRUE,Inputs!$B$33,0))))))/Skills!H7,1)))/Inputs!$B$44),G668*Q668))*IF(Inputs!$B$39="pvp",1,1+(Inputs!$B$21+0+Skills!P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Skills!E7=TRUE,Inputs!$B$33,0))))))/Skills!H7,1)))/Inputs!$B$44),G668*Q668))*IF(Inputs!$B$39="pvp",1,(1+(Inputs!$B$22+Skills!Q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IFERROR(1/IF(Inputs!$B$39="pvp",15,MAX(0.1,Skills!D9-IF(Skills!E9=TRUE,Inputs!$B$33,0))),0)</f>
        <v/>
      </c>
      <c r="R670">
        <f>IF(AND(Inputs!$B$39&lt;&gt;"pvp",Inputs!$B$44&gt;0),IF(MAX(0,Inputs!$B$44-B697)&lt;=0,0,(INT(MAX(0,Inputs!$B$44-B697)/IF(Inputs!$B$39="pvp",15,MAX(0.1,Skills!D9-IF(Skills!E9=TRUE,Inputs!$B$33,0))))+1)),0)</f>
        <v/>
      </c>
      <c r="S670">
        <f>IFERROR(O670/N670,0)</f>
        <v/>
      </c>
      <c r="T670">
        <f>IF(C670,(H670*N670*IF(AND(Inputs!$B$39&lt;&gt;"pvp",Inputs!$B$44&gt;0),((Skills!G9*((R670-1)*IF(Skills!H9&gt;0,Skills!I9/Skills!H9,1)+IF(Skills!H9&gt;0,MIN(Skills!I9,MAX(0,MAX(0,Inputs!$B$44-B697)-((R670-1)*IF(Inputs!$B$39="pvp",15,MAX(0.1,Skills!D9-IF(Skills!E9=TRUE,Inputs!$B$33,0))))))/Skills!H9,1)))/Inputs!$B$44),G670*Q670))*IF(Inputs!$B$39="pvp",1,1+(Inputs!$B$21+0+Skills!P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Skills!E9=TRUE,Inputs!$B$33,0))))))/Skills!H9,1)))/Inputs!$B$44),G670*Q670))*IF(Inputs!$B$39="pvp",1,(1+(Inputs!$B$22+Skills!Q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IFERROR(1/IF(Inputs!$B$39="pvp",15,MAX(0.1,Skills!D10-IF(Skills!E10=TRUE,Inputs!$B$33,0))),0)</f>
        <v/>
      </c>
      <c r="R671">
        <f>IF(AND(Inputs!$B$39&lt;&gt;"pvp",Inputs!$B$44&gt;0),IF(MAX(0,Inputs!$B$44-B697)&lt;=0,0,(INT(MAX(0,Inputs!$B$44-B697)/IF(Inputs!$B$39="pvp",15,MAX(0.1,Skills!D10-IF(Skills!E10=TRUE,Inputs!$B$33,0))))+1)),0)</f>
        <v/>
      </c>
      <c r="S671">
        <f>IFERROR(O671/N671,0)</f>
        <v/>
      </c>
      <c r="T671">
        <f>IF(C671,(H671*N671*IF(AND(Inputs!$B$39&lt;&gt;"pvp",Inputs!$B$44&gt;0),((Skills!G10*((R671-1)*IF(Skills!H10&gt;0,Skills!I10/Skills!H10,1)+IF(Skills!H10&gt;0,MIN(Skills!I10,MAX(0,MAX(0,Inputs!$B$44-B697)-((R671-1)*IF(Inputs!$B$39="pvp",15,MAX(0.1,Skills!D10-IF(Skills!E10=TRUE,Inputs!$B$33,0))))))/Skills!H10,1)))/Inputs!$B$44),G671*Q671))*IF(Inputs!$B$39="pvp",1,1+(Inputs!$B$21+0+Skills!P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Skills!E10=TRUE,Inputs!$B$33,0))))))/Skills!H10,1)))/Inputs!$B$44),G671*Q671))*IF(Inputs!$B$39="pvp",1,(1+(Inputs!$B$22+Skills!Q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IFERROR(1/IF(Inputs!$B$39="pvp",15,MAX(0.1,Skills!D12-IF(Skills!E12=TRUE,Inputs!$B$33,0))),0)</f>
        <v/>
      </c>
      <c r="R673">
        <f>IF(AND(Inputs!$B$39&lt;&gt;"pvp",Inputs!$B$44&gt;0),IF(MAX(0,Inputs!$B$44-B697)&lt;=0,0,(INT(MAX(0,Inputs!$B$44-B697)/IF(Inputs!$B$39="pvp",15,MAX(0.1,Skills!D12-IF(Skills!E12=TRUE,Inputs!$B$33,0))))+1)),0)</f>
        <v/>
      </c>
      <c r="S673">
        <f>IFERROR(O673/N673,0)</f>
        <v/>
      </c>
      <c r="T673">
        <f>IF(C673,(H673*N673*IF(AND(Inputs!$B$39&lt;&gt;"pvp",Inputs!$B$44&gt;0),((Skills!G12*((R673-1)*IF(Skills!H12&gt;0,Skills!I12/Skills!H12,1)+IF(Skills!H12&gt;0,MIN(Skills!I12,MAX(0,MAX(0,Inputs!$B$44-B697)-((R673-1)*IF(Inputs!$B$39="pvp",15,MAX(0.1,Skills!D12-IF(Skills!E12=TRUE,Inputs!$B$33,0))))))/Skills!H12,1)))/Inputs!$B$44),G673*Q673))*IF(Inputs!$B$39="pvp",1,1+(Inputs!$B$21+0+Skills!P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Skills!E12=TRUE,Inputs!$B$33,0))))))/Skills!H12,1)))/Inputs!$B$44),G673*Q673))*IF(Inputs!$B$39="pvp",1,(1+(Inputs!$B$22+Skills!Q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IFERROR(1/IF(Inputs!$B$39="pvp",15,MAX(0.1,Skills!D13-IF(Skills!E13=TRUE,Inputs!$B$33,0))),0)</f>
        <v/>
      </c>
      <c r="R674">
        <f>IF(AND(Inputs!$B$39&lt;&gt;"pvp",Inputs!$B$44&gt;0),IF(Inputs!$B$44&lt;=0,0,(INT(Inputs!$B$44/IF(Inputs!$B$39="pvp",15,MAX(0.1,Skills!D13-IF(Skills!E13=TRUE,Inputs!$B$33,0))))+1)),0)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IFERROR(1/IF(Inputs!$B$39="pvp",15,MAX(0.1,Skills!D14-IF(Skills!E14=TRUE,Inputs!$B$33,0))),0)</f>
        <v/>
      </c>
      <c r="R675">
        <f>IF(AND(Inputs!$B$39&lt;&gt;"pvp",Inputs!$B$44&gt;0),IF(Inputs!$B$44&lt;=0,0,(INT(Inputs!$B$44/IF(Inputs!$B$39="pvp",15,MAX(0.1,Skills!D14-IF(Skills!E14=TRUE,Inputs!$B$33,0))))+1)),0)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IFERROR(1/IF(Inputs!$B$39="pvp",15,MAX(0.1,Skills!D15-IF(Skills!E15=TRUE,Inputs!$B$33,0))),0)</f>
        <v/>
      </c>
      <c r="R676">
        <f>IF(AND(Inputs!$B$39&lt;&gt;"pvp",Inputs!$B$44&gt;0),IF(Inputs!$B$44&lt;=0,0,(INT(Inputs!$B$44/IF(Inputs!$B$39="pvp",15,MAX(0.1,Skills!D15-IF(Skills!E15=TRUE,Inputs!$B$33,0))))+1)),0)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IFERROR(1/IF(Inputs!$B$39="pvp",15,MAX(0.1,Skills!D16-IF(Skills!E16=TRUE,Inputs!$B$33,0))),0)</f>
        <v/>
      </c>
      <c r="R677">
        <f>IF(AND(Inputs!$B$39&lt;&gt;"pvp",Inputs!$B$44&gt;0),IF(Inputs!$B$44&lt;=0,0,(INT(Inputs!$B$44/IF(Inputs!$B$39="pvp",15,MAX(0.1,Skills!D16-IF(Skills!E16=TRUE,Inputs!$B$33,0))))+1)),0)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IFERROR(1/IF(Inputs!$B$39="pvp",15,MAX(0.1,Skills!D17-IF(Skills!E17=TRUE,Inputs!$B$33,0))),0)</f>
        <v/>
      </c>
      <c r="R678">
        <f>IF(AND(Inputs!$B$39&lt;&gt;"pvp",Inputs!$B$44&gt;0),IF(Inputs!$B$44&lt;=0,0,(INT(Inputs!$B$44/IF(Inputs!$B$39="pvp",15,MAX(0.1,Skills!D17-IF(Skills!E17=TRUE,Inputs!$B$33,0))))+1)),0)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IFERROR(1/IF(Inputs!$B$39="pvp",15,MAX(0.1,Skills!D18-IF(Skills!E18=TRUE,Inputs!$B$33,0))),0)</f>
        <v/>
      </c>
      <c r="R679">
        <f>IF(AND(Inputs!$B$39&lt;&gt;"pvp",Inputs!$B$44&gt;0),IF(Inputs!$B$44&lt;=0,0,(INT(Inputs!$B$44/IF(Inputs!$B$39="pvp",15,MAX(0.1,Skills!D18-IF(Skills!E18=TRUE,Inputs!$B$33,0))))+1)),0)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IFERROR(1/IF(Inputs!$B$39="pvp",15,MAX(0.1,Skills!D19-IF(Skills!E19=TRUE,Inputs!$B$33,0))),0)</f>
        <v/>
      </c>
      <c r="R680">
        <f>IF(AND(Inputs!$B$39&lt;&gt;"pvp",Inputs!$B$44&gt;0),IF(Inputs!$B$44&lt;=0,0,(INT(Inputs!$B$44/IF(Inputs!$B$39="pvp",15,MAX(0.1,Skills!D19-IF(Skills!E19=TRUE,Inputs!$B$33,0))))+1)),0)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IFERROR(1/IF(Inputs!$B$39="pvp",15,MAX(0.1,Skills!D20-IF(Skills!E20=TRUE,Inputs!$B$33,0))),0)</f>
        <v/>
      </c>
      <c r="R681">
        <f>IF(AND(Inputs!$B$39&lt;&gt;"pvp",Inputs!$B$44&gt;0),IF(Inputs!$B$44&lt;=0,0,(INT(Inputs!$B$44/IF(Inputs!$B$39="pvp",15,MAX(0.1,Skills!D20-IF(Skills!E20=TRUE,Inputs!$B$33,0))))+1)),0)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Skills!T18*(1+Inputs!$B$35/100))+MIN((Skills!T18*(1+Inputs!$B$35/100)),MAX(0,Inputs!$B$44-((R679-1)*Skills!D18))))/Inputs!$B$44),IF(Inputs!$B$39="pvp",MIN((Skills!T18*(1+Inputs!$B$35/100)),15)/15,(Skills!T18*(1+Inputs!$B$35/100))/Skills!D18)))</f>
        <v/>
      </c>
    </row>
    <row r="691">
      <c r="A691" t="inlineStr">
        <is>
          <t>Attack Speed Buff Bonus %</t>
        </is>
      </c>
      <c r="B691">
        <f>((C681=TRUE)*F681*IF(AND(Inputs!$B$39&lt;&gt;"pvp",Inputs!$B$44&gt;0),(((R681-1)*(Skills!T20*(1+Inputs!$B$35/100))+MIN((Skills!T20*(1+Inputs!$B$35/100)),MAX(0,Inputs!$B$44-((R681-1)*Skills!D20))))/Inputs!$B$44),IF(Inputs!$B$39="pvp",MIN((Skills!T20*(1+Inputs!$B$35/100)),15)/15,(Skills!T20*(1+Inputs!$B$35/100))/Skills!D20)))</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Skills!T19*(1+Inputs!$B$35/100))+MIN((Skills!T19*(1+Inputs!$B$35/100)),MAX(0,Inputs!$B$44-((R680-1)*Skills!D19))))/Inputs!$B$44),IF(Inputs!$B$39="pvp",MIN((Skills!T19*(1+Inputs!$B$35/100)),15)/15,(Skills!T19*(1+Inputs!$B$35/100))/Skills!D19)))</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IFERROR(1/IF(Inputs!$B$39="pvp",15,MAX(0.1,Skills!D5-IF(Skills!E5=TRUE,Inputs!$B$33,0))),0)</f>
        <v/>
      </c>
      <c r="R708">
        <f>IF(AND(Inputs!$B$39&lt;&gt;"pvp",Inputs!$B$44&gt;0),IF(MAX(0,Inputs!$B$44-B739)&lt;=0,0,(INT(MAX(0,Inputs!$B$44-B739)/IF(Inputs!$B$39="pvp",15,MAX(0.1,Skills!D5-IF(Skills!E5=TRUE,Inputs!$B$33,0))))+1)),0)</f>
        <v/>
      </c>
      <c r="S708">
        <f>IFERROR(O708/N708,0)</f>
        <v/>
      </c>
      <c r="T708">
        <f>IF(C708,(H708*N708*IF(AND(Inputs!$B$39&lt;&gt;"pvp",Inputs!$B$44&gt;0),((Skills!G5*((R708-1)*IF(Skills!H5&gt;0,Skills!I5/Skills!H5,1)+IF(Skills!H5&gt;0,MIN(Skills!I5,MAX(0,MAX(0,Inputs!$B$44-B739)-((R708-1)*IF(Inputs!$B$39="pvp",15,MAX(0.1,Skills!D5-IF(Skills!E5=TRUE,Inputs!$B$33,0))))))/Skills!H5,1)))/Inputs!$B$44),G708*Q708))*IF(Inputs!$B$39="pvp",1,1+(Inputs!$B$21+0+Skills!P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Skills!E5=TRUE,Inputs!$B$33,0))))))/Skills!H5,1)))/Inputs!$B$44),G708*Q708))*IF(Inputs!$B$39="pvp",1,(1+(Inputs!$B$22+Skills!Q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IFERROR(1/IF(Inputs!$B$39="pvp",15,MAX(0.1,Skills!D6-IF(Skills!E6=TRUE,Inputs!$B$33,0))),0)</f>
        <v/>
      </c>
      <c r="R709">
        <f>IF(AND(Inputs!$B$39&lt;&gt;"pvp",Inputs!$B$44&gt;0),IF(MAX(0,Inputs!$B$44-B739)&lt;=0,0,(INT(MAX(0,Inputs!$B$44-B739)/IF(Inputs!$B$39="pvp",15,MAX(0.1,Skills!D6-IF(Skills!E6=TRUE,Inputs!$B$33,0))))+1)),0)</f>
        <v/>
      </c>
      <c r="S709">
        <f>IFERROR(O709/N709,0)</f>
        <v/>
      </c>
      <c r="T709">
        <f>IF(C709,(H709*N709*IF(AND(Inputs!$B$39&lt;&gt;"pvp",Inputs!$B$44&gt;0),((Skills!G6*((R709-1)*IF(Skills!H6&gt;0,Skills!I6/Skills!H6,1)+IF(Skills!H6&gt;0,MIN(Skills!I6,MAX(0,MAX(0,Inputs!$B$44-B739)-((R709-1)*IF(Inputs!$B$39="pvp",15,MAX(0.1,Skills!D6-IF(Skills!E6=TRUE,Inputs!$B$33,0))))))/Skills!H6,1)))/Inputs!$B$44),G709*Q709))*IF(Inputs!$B$39="pvp",1,1+(Inputs!$B$21+0+Skills!P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Skills!E6=TRUE,Inputs!$B$33,0))))))/Skills!H6,1)))/Inputs!$B$44),G709*Q709))*IF(Inputs!$B$39="pvp",1,(1+(Inputs!$B$22+Skills!Q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IFERROR(1/IF(Inputs!$B$39="pvp",15,MAX(0.1,Skills!D7-IF(Skills!E7=TRUE,Inputs!$B$33,0))),0)</f>
        <v/>
      </c>
      <c r="R710">
        <f>IF(AND(Inputs!$B$39&lt;&gt;"pvp",Inputs!$B$44&gt;0),IF(MAX(0,Inputs!$B$44-B739)&lt;=0,0,(INT(MAX(0,Inputs!$B$44-B739)/IF(Inputs!$B$39="pvp",15,MAX(0.1,Skills!D7-IF(Skills!E7=TRUE,Inputs!$B$33,0))))+1)),0)</f>
        <v/>
      </c>
      <c r="S710">
        <f>IFERROR(O710/N710,0)</f>
        <v/>
      </c>
      <c r="T710">
        <f>IF(C710,(H710*N710*IF(AND(Inputs!$B$39&lt;&gt;"pvp",Inputs!$B$44&gt;0),((Skills!G7*((R710-1)*IF(Skills!H7&gt;0,Skills!I7/Skills!H7,1)+IF(Skills!H7&gt;0,MIN(Skills!I7,MAX(0,MAX(0,Inputs!$B$44-B739)-((R710-1)*IF(Inputs!$B$39="pvp",15,MAX(0.1,Skills!D7-IF(Skills!E7=TRUE,Inputs!$B$33,0))))))/Skills!H7,1)))/Inputs!$B$44),G710*Q710))*IF(Inputs!$B$39="pvp",1,1+(Inputs!$B$21+0+Skills!P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Skills!E7=TRUE,Inputs!$B$33,0))))))/Skills!H7,1)))/Inputs!$B$44),G710*Q710))*IF(Inputs!$B$39="pvp",1,(1+(Inputs!$B$22+Skills!Q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IFERROR(1/IF(Inputs!$B$39="pvp",15,MAX(0.1,Skills!D9-IF(Skills!E9=TRUE,Inputs!$B$33,0))),0)</f>
        <v/>
      </c>
      <c r="R712">
        <f>IF(AND(Inputs!$B$39&lt;&gt;"pvp",Inputs!$B$44&gt;0),IF(MAX(0,Inputs!$B$44-B739)&lt;=0,0,(INT(MAX(0,Inputs!$B$44-B739)/IF(Inputs!$B$39="pvp",15,MAX(0.1,Skills!D9-IF(Skills!E9=TRUE,Inputs!$B$33,0))))+1)),0)</f>
        <v/>
      </c>
      <c r="S712">
        <f>IFERROR(O712/N712,0)</f>
        <v/>
      </c>
      <c r="T712">
        <f>IF(C712,(H712*N712*IF(AND(Inputs!$B$39&lt;&gt;"pvp",Inputs!$B$44&gt;0),((Skills!G9*((R712-1)*IF(Skills!H9&gt;0,Skills!I9/Skills!H9,1)+IF(Skills!H9&gt;0,MIN(Skills!I9,MAX(0,MAX(0,Inputs!$B$44-B739)-((R712-1)*IF(Inputs!$B$39="pvp",15,MAX(0.1,Skills!D9-IF(Skills!E9=TRUE,Inputs!$B$33,0))))))/Skills!H9,1)))/Inputs!$B$44),G712*Q712))*IF(Inputs!$B$39="pvp",1,1+(Inputs!$B$21+0+Skills!P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Skills!E9=TRUE,Inputs!$B$33,0))))))/Skills!H9,1)))/Inputs!$B$44),G712*Q712))*IF(Inputs!$B$39="pvp",1,(1+(Inputs!$B$22+Skills!Q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IFERROR(1/IF(Inputs!$B$39="pvp",15,MAX(0.1,Skills!D10-IF(Skills!E10=TRUE,Inputs!$B$33,0))),0)</f>
        <v/>
      </c>
      <c r="R713">
        <f>IF(AND(Inputs!$B$39&lt;&gt;"pvp",Inputs!$B$44&gt;0),IF(MAX(0,Inputs!$B$44-B739)&lt;=0,0,(INT(MAX(0,Inputs!$B$44-B739)/IF(Inputs!$B$39="pvp",15,MAX(0.1,Skills!D10-IF(Skills!E10=TRUE,Inputs!$B$33,0))))+1)),0)</f>
        <v/>
      </c>
      <c r="S713">
        <f>IFERROR(O713/N713,0)</f>
        <v/>
      </c>
      <c r="T713">
        <f>IF(C713,(H713*N713*IF(AND(Inputs!$B$39&lt;&gt;"pvp",Inputs!$B$44&gt;0),((Skills!G10*((R713-1)*IF(Skills!H10&gt;0,Skills!I10/Skills!H10,1)+IF(Skills!H10&gt;0,MIN(Skills!I10,MAX(0,MAX(0,Inputs!$B$44-B739)-((R713-1)*IF(Inputs!$B$39="pvp",15,MAX(0.1,Skills!D10-IF(Skills!E10=TRUE,Inputs!$B$33,0))))))/Skills!H10,1)))/Inputs!$B$44),G713*Q713))*IF(Inputs!$B$39="pvp",1,1+(Inputs!$B$21+0+Skills!P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Skills!E10=TRUE,Inputs!$B$33,0))))))/Skills!H10,1)))/Inputs!$B$44),G713*Q713))*IF(Inputs!$B$39="pvp",1,(1+(Inputs!$B$22+Skills!Q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IFERROR(1/IF(Inputs!$B$39="pvp",15,MAX(0.1,Skills!D12-IF(Skills!E12=TRUE,Inputs!$B$33,0))),0)</f>
        <v/>
      </c>
      <c r="R715">
        <f>IF(AND(Inputs!$B$39&lt;&gt;"pvp",Inputs!$B$44&gt;0),IF(MAX(0,Inputs!$B$44-B739)&lt;=0,0,(INT(MAX(0,Inputs!$B$44-B739)/IF(Inputs!$B$39="pvp",15,MAX(0.1,Skills!D12-IF(Skills!E12=TRUE,Inputs!$B$33,0))))+1)),0)</f>
        <v/>
      </c>
      <c r="S715">
        <f>IFERROR(O715/N715,0)</f>
        <v/>
      </c>
      <c r="T715">
        <f>IF(C715,(H715*N715*IF(AND(Inputs!$B$39&lt;&gt;"pvp",Inputs!$B$44&gt;0),((Skills!G12*((R715-1)*IF(Skills!H12&gt;0,Skills!I12/Skills!H12,1)+IF(Skills!H12&gt;0,MIN(Skills!I12,MAX(0,MAX(0,Inputs!$B$44-B739)-((R715-1)*IF(Inputs!$B$39="pvp",15,MAX(0.1,Skills!D12-IF(Skills!E12=TRUE,Inputs!$B$33,0))))))/Skills!H12,1)))/Inputs!$B$44),G715*Q715))*IF(Inputs!$B$39="pvp",1,1+(Inputs!$B$21+0+Skills!P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Skills!E12=TRUE,Inputs!$B$33,0))))))/Skills!H12,1)))/Inputs!$B$44),G715*Q715))*IF(Inputs!$B$39="pvp",1,(1+(Inputs!$B$22+Skills!Q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IFERROR(1/IF(Inputs!$B$39="pvp",15,MAX(0.1,Skills!D13-IF(Skills!E13=TRUE,Inputs!$B$33,0))),0)</f>
        <v/>
      </c>
      <c r="R716">
        <f>IF(AND(Inputs!$B$39&lt;&gt;"pvp",Inputs!$B$44&gt;0),IF(Inputs!$B$44&lt;=0,0,(INT(Inputs!$B$44/IF(Inputs!$B$39="pvp",15,MAX(0.1,Skills!D13-IF(Skills!E13=TRUE,Inputs!$B$33,0))))+1)),0)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IFERROR(1/IF(Inputs!$B$39="pvp",15,MAX(0.1,Skills!D14-IF(Skills!E14=TRUE,Inputs!$B$33,0))),0)</f>
        <v/>
      </c>
      <c r="R717">
        <f>IF(AND(Inputs!$B$39&lt;&gt;"pvp",Inputs!$B$44&gt;0),IF(Inputs!$B$44&lt;=0,0,(INT(Inputs!$B$44/IF(Inputs!$B$39="pvp",15,MAX(0.1,Skills!D14-IF(Skills!E14=TRUE,Inputs!$B$33,0))))+1)),0)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IFERROR(1/IF(Inputs!$B$39="pvp",15,MAX(0.1,Skills!D15-IF(Skills!E15=TRUE,Inputs!$B$33,0))),0)</f>
        <v/>
      </c>
      <c r="R718">
        <f>IF(AND(Inputs!$B$39&lt;&gt;"pvp",Inputs!$B$44&gt;0),IF(Inputs!$B$44&lt;=0,0,(INT(Inputs!$B$44/IF(Inputs!$B$39="pvp",15,MAX(0.1,Skills!D15-IF(Skills!E15=TRUE,Inputs!$B$33,0))))+1)),0)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IFERROR(1/IF(Inputs!$B$39="pvp",15,MAX(0.1,Skills!D16-IF(Skills!E16=TRUE,Inputs!$B$33,0))),0)</f>
        <v/>
      </c>
      <c r="R719">
        <f>IF(AND(Inputs!$B$39&lt;&gt;"pvp",Inputs!$B$44&gt;0),IF(Inputs!$B$44&lt;=0,0,(INT(Inputs!$B$44/IF(Inputs!$B$39="pvp",15,MAX(0.1,Skills!D16-IF(Skills!E16=TRUE,Inputs!$B$33,0))))+1)),0)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IFERROR(1/IF(Inputs!$B$39="pvp",15,MAX(0.1,Skills!D17-IF(Skills!E17=TRUE,Inputs!$B$33,0))),0)</f>
        <v/>
      </c>
      <c r="R720">
        <f>IF(AND(Inputs!$B$39&lt;&gt;"pvp",Inputs!$B$44&gt;0),IF(Inputs!$B$44&lt;=0,0,(INT(Inputs!$B$44/IF(Inputs!$B$39="pvp",15,MAX(0.1,Skills!D17-IF(Skills!E17=TRUE,Inputs!$B$33,0))))+1)),0)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IFERROR(1/IF(Inputs!$B$39="pvp",15,MAX(0.1,Skills!D18-IF(Skills!E18=TRUE,Inputs!$B$33,0))),0)</f>
        <v/>
      </c>
      <c r="R721">
        <f>IF(AND(Inputs!$B$39&lt;&gt;"pvp",Inputs!$B$44&gt;0),IF(Inputs!$B$44&lt;=0,0,(INT(Inputs!$B$44/IF(Inputs!$B$39="pvp",15,MAX(0.1,Skills!D18-IF(Skills!E18=TRUE,Inputs!$B$33,0))))+1)),0)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IFERROR(1/IF(Inputs!$B$39="pvp",15,MAX(0.1,Skills!D19-IF(Skills!E19=TRUE,Inputs!$B$33,0))),0)</f>
        <v/>
      </c>
      <c r="R722">
        <f>IF(AND(Inputs!$B$39&lt;&gt;"pvp",Inputs!$B$44&gt;0),IF(Inputs!$B$44&lt;=0,0,(INT(Inputs!$B$44/IF(Inputs!$B$39="pvp",15,MAX(0.1,Skills!D19-IF(Skills!E19=TRUE,Inputs!$B$33,0))))+1)),0)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IFERROR(1/IF(Inputs!$B$39="pvp",15,MAX(0.1,Skills!D20-IF(Skills!E20=TRUE,Inputs!$B$33,0))),0)</f>
        <v/>
      </c>
      <c r="R723">
        <f>IF(AND(Inputs!$B$39&lt;&gt;"pvp",Inputs!$B$44&gt;0),IF(Inputs!$B$44&lt;=0,0,(INT(Inputs!$B$44/IF(Inputs!$B$39="pvp",15,MAX(0.1,Skills!D20-IF(Skills!E20=TRUE,Inputs!$B$33,0))))+1)),0)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Skills!T18*(1+Inputs!$B$35/100))+MIN((Skills!T18*(1+Inputs!$B$35/100)),MAX(0,Inputs!$B$44-((R721-1)*Skills!D18))))/Inputs!$B$44),IF(Inputs!$B$39="pvp",MIN((Skills!T18*(1+Inputs!$B$35/100)),15)/15,(Skills!T18*(1+Inputs!$B$35/100))/Skills!D18)))</f>
        <v/>
      </c>
    </row>
    <row r="733">
      <c r="A733" t="inlineStr">
        <is>
          <t>Attack Speed Buff Bonus %</t>
        </is>
      </c>
      <c r="B733">
        <f>((C723=TRUE)*F723*IF(AND(Inputs!$B$39&lt;&gt;"pvp",Inputs!$B$44&gt;0),(((R723-1)*(Skills!T20*(1+Inputs!$B$35/100))+MIN((Skills!T20*(1+Inputs!$B$35/100)),MAX(0,Inputs!$B$44-((R723-1)*Skills!D20))))/Inputs!$B$44),IF(Inputs!$B$39="pvp",MIN((Skills!T20*(1+Inputs!$B$35/100)),15)/15,(Skills!T20*(1+Inputs!$B$35/100))/Skills!D20)))</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Skills!T19*(1+Inputs!$B$35/100))+MIN((Skills!T19*(1+Inputs!$B$35/100)),MAX(0,Inputs!$B$44-((R722-1)*Skills!D19))))/Inputs!$B$44),IF(Inputs!$B$39="pvp",MIN((Skills!T19*(1+Inputs!$B$35/100)),15)/15,(Skills!T19*(1+Inputs!$B$35/100))/Skills!D19)))</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IFERROR(1/IF(Inputs!$B$39="pvp",15,MAX(0.1,Skills!D5-IF(Skills!E5=TRUE,Inputs!$B$33,0))),0)</f>
        <v/>
      </c>
      <c r="R750">
        <f>IF(AND(Inputs!$B$39&lt;&gt;"pvp",Inputs!$B$44&gt;0),IF(MAX(0,Inputs!$B$44-B781)&lt;=0,0,(INT(MAX(0,Inputs!$B$44-B781)/IF(Inputs!$B$39="pvp",15,MAX(0.1,Skills!D5-IF(Skills!E5=TRUE,Inputs!$B$33,0))))+1)),0)</f>
        <v/>
      </c>
      <c r="S750">
        <f>IFERROR(O750/N750,0)</f>
        <v/>
      </c>
      <c r="T750">
        <f>IF(C750,(H750*N750*IF(AND(Inputs!$B$39&lt;&gt;"pvp",Inputs!$B$44&gt;0),((Skills!G5*((R750-1)*IF(Skills!H5&gt;0,Skills!I5/Skills!H5,1)+IF(Skills!H5&gt;0,MIN(Skills!I5,MAX(0,MAX(0,Inputs!$B$44-B781)-((R750-1)*IF(Inputs!$B$39="pvp",15,MAX(0.1,Skills!D5-IF(Skills!E5=TRUE,Inputs!$B$33,0))))))/Skills!H5,1)))/Inputs!$B$44),G750*Q750))*IF(Inputs!$B$39="pvp",1,1+(Inputs!$B$21+0+Skills!P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Skills!E5=TRUE,Inputs!$B$33,0))))))/Skills!H5,1)))/Inputs!$B$44),G750*Q750))*IF(Inputs!$B$39="pvp",1,(1+(Inputs!$B$22+Skills!Q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IFERROR(1/IF(Inputs!$B$39="pvp",15,MAX(0.1,Skills!D6-IF(Skills!E6=TRUE,Inputs!$B$33,0))),0)</f>
        <v/>
      </c>
      <c r="R751">
        <f>IF(AND(Inputs!$B$39&lt;&gt;"pvp",Inputs!$B$44&gt;0),IF(MAX(0,Inputs!$B$44-B781)&lt;=0,0,(INT(MAX(0,Inputs!$B$44-B781)/IF(Inputs!$B$39="pvp",15,MAX(0.1,Skills!D6-IF(Skills!E6=TRUE,Inputs!$B$33,0))))+1)),0)</f>
        <v/>
      </c>
      <c r="S751">
        <f>IFERROR(O751/N751,0)</f>
        <v/>
      </c>
      <c r="T751">
        <f>IF(C751,(H751*N751*IF(AND(Inputs!$B$39&lt;&gt;"pvp",Inputs!$B$44&gt;0),((Skills!G6*((R751-1)*IF(Skills!H6&gt;0,Skills!I6/Skills!H6,1)+IF(Skills!H6&gt;0,MIN(Skills!I6,MAX(0,MAX(0,Inputs!$B$44-B781)-((R751-1)*IF(Inputs!$B$39="pvp",15,MAX(0.1,Skills!D6-IF(Skills!E6=TRUE,Inputs!$B$33,0))))))/Skills!H6,1)))/Inputs!$B$44),G751*Q751))*IF(Inputs!$B$39="pvp",1,1+(Inputs!$B$21+0+Skills!P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Skills!E6=TRUE,Inputs!$B$33,0))))))/Skills!H6,1)))/Inputs!$B$44),G751*Q751))*IF(Inputs!$B$39="pvp",1,(1+(Inputs!$B$22+Skills!Q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IFERROR(1/IF(Inputs!$B$39="pvp",15,MAX(0.1,Skills!D7-IF(Skills!E7=TRUE,Inputs!$B$33,0))),0)</f>
        <v/>
      </c>
      <c r="R752">
        <f>IF(AND(Inputs!$B$39&lt;&gt;"pvp",Inputs!$B$44&gt;0),IF(MAX(0,Inputs!$B$44-B781)&lt;=0,0,(INT(MAX(0,Inputs!$B$44-B781)/IF(Inputs!$B$39="pvp",15,MAX(0.1,Skills!D7-IF(Skills!E7=TRUE,Inputs!$B$33,0))))+1)),0)</f>
        <v/>
      </c>
      <c r="S752">
        <f>IFERROR(O752/N752,0)</f>
        <v/>
      </c>
      <c r="T752">
        <f>IF(C752,(H752*N752*IF(AND(Inputs!$B$39&lt;&gt;"pvp",Inputs!$B$44&gt;0),((Skills!G7*((R752-1)*IF(Skills!H7&gt;0,Skills!I7/Skills!H7,1)+IF(Skills!H7&gt;0,MIN(Skills!I7,MAX(0,MAX(0,Inputs!$B$44-B781)-((R752-1)*IF(Inputs!$B$39="pvp",15,MAX(0.1,Skills!D7-IF(Skills!E7=TRUE,Inputs!$B$33,0))))))/Skills!H7,1)))/Inputs!$B$44),G752*Q752))*IF(Inputs!$B$39="pvp",1,1+(Inputs!$B$21+0+Skills!P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Skills!E7=TRUE,Inputs!$B$33,0))))))/Skills!H7,1)))/Inputs!$B$44),G752*Q752))*IF(Inputs!$B$39="pvp",1,(1+(Inputs!$B$22+Skills!Q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IFERROR(1/IF(Inputs!$B$39="pvp",15,MAX(0.1,Skills!D9-IF(Skills!E9=TRUE,Inputs!$B$33,0))),0)</f>
        <v/>
      </c>
      <c r="R754">
        <f>IF(AND(Inputs!$B$39&lt;&gt;"pvp",Inputs!$B$44&gt;0),IF(MAX(0,Inputs!$B$44-B781)&lt;=0,0,(INT(MAX(0,Inputs!$B$44-B781)/IF(Inputs!$B$39="pvp",15,MAX(0.1,Skills!D9-IF(Skills!E9=TRUE,Inputs!$B$33,0))))+1)),0)</f>
        <v/>
      </c>
      <c r="S754">
        <f>IFERROR(O754/N754,0)</f>
        <v/>
      </c>
      <c r="T754">
        <f>IF(C754,(H754*N754*IF(AND(Inputs!$B$39&lt;&gt;"pvp",Inputs!$B$44&gt;0),((Skills!G9*((R754-1)*IF(Skills!H9&gt;0,Skills!I9/Skills!H9,1)+IF(Skills!H9&gt;0,MIN(Skills!I9,MAX(0,MAX(0,Inputs!$B$44-B781)-((R754-1)*IF(Inputs!$B$39="pvp",15,MAX(0.1,Skills!D9-IF(Skills!E9=TRUE,Inputs!$B$33,0))))))/Skills!H9,1)))/Inputs!$B$44),G754*Q754))*IF(Inputs!$B$39="pvp",1,1+(Inputs!$B$21+0+Skills!P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Skills!E9=TRUE,Inputs!$B$33,0))))))/Skills!H9,1)))/Inputs!$B$44),G754*Q754))*IF(Inputs!$B$39="pvp",1,(1+(Inputs!$B$22+Skills!Q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IFERROR(1/IF(Inputs!$B$39="pvp",15,MAX(0.1,Skills!D10-IF(Skills!E10=TRUE,Inputs!$B$33,0))),0)</f>
        <v/>
      </c>
      <c r="R755">
        <f>IF(AND(Inputs!$B$39&lt;&gt;"pvp",Inputs!$B$44&gt;0),IF(MAX(0,Inputs!$B$44-B781)&lt;=0,0,(INT(MAX(0,Inputs!$B$44-B781)/IF(Inputs!$B$39="pvp",15,MAX(0.1,Skills!D10-IF(Skills!E10=TRUE,Inputs!$B$33,0))))+1)),0)</f>
        <v/>
      </c>
      <c r="S755">
        <f>IFERROR(O755/N755,0)</f>
        <v/>
      </c>
      <c r="T755">
        <f>IF(C755,(H755*N755*IF(AND(Inputs!$B$39&lt;&gt;"pvp",Inputs!$B$44&gt;0),((Skills!G10*((R755-1)*IF(Skills!H10&gt;0,Skills!I10/Skills!H10,1)+IF(Skills!H10&gt;0,MIN(Skills!I10,MAX(0,MAX(0,Inputs!$B$44-B781)-((R755-1)*IF(Inputs!$B$39="pvp",15,MAX(0.1,Skills!D10-IF(Skills!E10=TRUE,Inputs!$B$33,0))))))/Skills!H10,1)))/Inputs!$B$44),G755*Q755))*IF(Inputs!$B$39="pvp",1,1+(Inputs!$B$21+0+Skills!P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Skills!E10=TRUE,Inputs!$B$33,0))))))/Skills!H10,1)))/Inputs!$B$44),G755*Q755))*IF(Inputs!$B$39="pvp",1,(1+(Inputs!$B$22+Skills!Q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IFERROR(1/IF(Inputs!$B$39="pvp",15,MAX(0.1,Skills!D12-IF(Skills!E12=TRUE,Inputs!$B$33,0))),0)</f>
        <v/>
      </c>
      <c r="R757">
        <f>IF(AND(Inputs!$B$39&lt;&gt;"pvp",Inputs!$B$44&gt;0),IF(MAX(0,Inputs!$B$44-B781)&lt;=0,0,(INT(MAX(0,Inputs!$B$44-B781)/IF(Inputs!$B$39="pvp",15,MAX(0.1,Skills!D12-IF(Skills!E12=TRUE,Inputs!$B$33,0))))+1)),0)</f>
        <v/>
      </c>
      <c r="S757">
        <f>IFERROR(O757/N757,0)</f>
        <v/>
      </c>
      <c r="T757">
        <f>IF(C757,(H757*N757*IF(AND(Inputs!$B$39&lt;&gt;"pvp",Inputs!$B$44&gt;0),((Skills!G12*((R757-1)*IF(Skills!H12&gt;0,Skills!I12/Skills!H12,1)+IF(Skills!H12&gt;0,MIN(Skills!I12,MAX(0,MAX(0,Inputs!$B$44-B781)-((R757-1)*IF(Inputs!$B$39="pvp",15,MAX(0.1,Skills!D12-IF(Skills!E12=TRUE,Inputs!$B$33,0))))))/Skills!H12,1)))/Inputs!$B$44),G757*Q757))*IF(Inputs!$B$39="pvp",1,1+(Inputs!$B$21+0+Skills!P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Skills!E12=TRUE,Inputs!$B$33,0))))))/Skills!H12,1)))/Inputs!$B$44),G757*Q757))*IF(Inputs!$B$39="pvp",1,(1+(Inputs!$B$22+Skills!Q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IFERROR(1/IF(Inputs!$B$39="pvp",15,MAX(0.1,Skills!D13-IF(Skills!E13=TRUE,Inputs!$B$33,0))),0)</f>
        <v/>
      </c>
      <c r="R758">
        <f>IF(AND(Inputs!$B$39&lt;&gt;"pvp",Inputs!$B$44&gt;0),IF(Inputs!$B$44&lt;=0,0,(INT(Inputs!$B$44/IF(Inputs!$B$39="pvp",15,MAX(0.1,Skills!D13-IF(Skills!E13=TRUE,Inputs!$B$33,0))))+1)),0)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IFERROR(1/IF(Inputs!$B$39="pvp",15,MAX(0.1,Skills!D14-IF(Skills!E14=TRUE,Inputs!$B$33,0))),0)</f>
        <v/>
      </c>
      <c r="R759">
        <f>IF(AND(Inputs!$B$39&lt;&gt;"pvp",Inputs!$B$44&gt;0),IF(Inputs!$B$44&lt;=0,0,(INT(Inputs!$B$44/IF(Inputs!$B$39="pvp",15,MAX(0.1,Skills!D14-IF(Skills!E14=TRUE,Inputs!$B$33,0))))+1)),0)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IFERROR(1/IF(Inputs!$B$39="pvp",15,MAX(0.1,Skills!D15-IF(Skills!E15=TRUE,Inputs!$B$33,0))),0)</f>
        <v/>
      </c>
      <c r="R760">
        <f>IF(AND(Inputs!$B$39&lt;&gt;"pvp",Inputs!$B$44&gt;0),IF(Inputs!$B$44&lt;=0,0,(INT(Inputs!$B$44/IF(Inputs!$B$39="pvp",15,MAX(0.1,Skills!D15-IF(Skills!E15=TRUE,Inputs!$B$33,0))))+1)),0)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IFERROR(1/IF(Inputs!$B$39="pvp",15,MAX(0.1,Skills!D16-IF(Skills!E16=TRUE,Inputs!$B$33,0))),0)</f>
        <v/>
      </c>
      <c r="R761">
        <f>IF(AND(Inputs!$B$39&lt;&gt;"pvp",Inputs!$B$44&gt;0),IF(Inputs!$B$44&lt;=0,0,(INT(Inputs!$B$44/IF(Inputs!$B$39="pvp",15,MAX(0.1,Skills!D16-IF(Skills!E16=TRUE,Inputs!$B$33,0))))+1)),0)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IFERROR(1/IF(Inputs!$B$39="pvp",15,MAX(0.1,Skills!D17-IF(Skills!E17=TRUE,Inputs!$B$33,0))),0)</f>
        <v/>
      </c>
      <c r="R762">
        <f>IF(AND(Inputs!$B$39&lt;&gt;"pvp",Inputs!$B$44&gt;0),IF(Inputs!$B$44&lt;=0,0,(INT(Inputs!$B$44/IF(Inputs!$B$39="pvp",15,MAX(0.1,Skills!D17-IF(Skills!E17=TRUE,Inputs!$B$33,0))))+1)),0)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IFERROR(1/IF(Inputs!$B$39="pvp",15,MAX(0.1,Skills!D18-IF(Skills!E18=TRUE,Inputs!$B$33,0))),0)</f>
        <v/>
      </c>
      <c r="R763">
        <f>IF(AND(Inputs!$B$39&lt;&gt;"pvp",Inputs!$B$44&gt;0),IF(Inputs!$B$44&lt;=0,0,(INT(Inputs!$B$44/IF(Inputs!$B$39="pvp",15,MAX(0.1,Skills!D18-IF(Skills!E18=TRUE,Inputs!$B$33,0))))+1)),0)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IFERROR(1/IF(Inputs!$B$39="pvp",15,MAX(0.1,Skills!D19-IF(Skills!E19=TRUE,Inputs!$B$33,0))),0)</f>
        <v/>
      </c>
      <c r="R764">
        <f>IF(AND(Inputs!$B$39&lt;&gt;"pvp",Inputs!$B$44&gt;0),IF(Inputs!$B$44&lt;=0,0,(INT(Inputs!$B$44/IF(Inputs!$B$39="pvp",15,MAX(0.1,Skills!D19-IF(Skills!E19=TRUE,Inputs!$B$33,0))))+1)),0)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IFERROR(1/IF(Inputs!$B$39="pvp",15,MAX(0.1,Skills!D20-IF(Skills!E20=TRUE,Inputs!$B$33,0))),0)</f>
        <v/>
      </c>
      <c r="R765">
        <f>IF(AND(Inputs!$B$39&lt;&gt;"pvp",Inputs!$B$44&gt;0),IF(Inputs!$B$44&lt;=0,0,(INT(Inputs!$B$44/IF(Inputs!$B$39="pvp",15,MAX(0.1,Skills!D20-IF(Skills!E20=TRUE,Inputs!$B$33,0))))+1)),0)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Skills!T18*(1+Inputs!$B$35/100))+MIN((Skills!T18*(1+Inputs!$B$35/100)),MAX(0,Inputs!$B$44-((R763-1)*Skills!D18))))/Inputs!$B$44),IF(Inputs!$B$39="pvp",MIN((Skills!T18*(1+Inputs!$B$35/100)),15)/15,(Skills!T18*(1+Inputs!$B$35/100))/Skills!D18)))</f>
        <v/>
      </c>
    </row>
    <row r="775">
      <c r="A775" t="inlineStr">
        <is>
          <t>Attack Speed Buff Bonus %</t>
        </is>
      </c>
      <c r="B775">
        <f>((C765=TRUE)*F765*IF(AND(Inputs!$B$39&lt;&gt;"pvp",Inputs!$B$44&gt;0),(((R765-1)*(Skills!T20*(1+Inputs!$B$35/100))+MIN((Skills!T20*(1+Inputs!$B$35/100)),MAX(0,Inputs!$B$44-((R765-1)*Skills!D20))))/Inputs!$B$44),IF(Inputs!$B$39="pvp",MIN((Skills!T20*(1+Inputs!$B$35/100)),15)/15,(Skills!T20*(1+Inputs!$B$35/100))/Skills!D20)))</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Skills!T19*(1+Inputs!$B$35/100))+MIN((Skills!T19*(1+Inputs!$B$35/100)),MAX(0,Inputs!$B$44-((R764-1)*Skills!D19))))/Inputs!$B$44),IF(Inputs!$B$39="pvp",MIN((Skills!T19*(1+Inputs!$B$35/100)),15)/15,(Skills!T19*(1+Inputs!$B$35/100))/Skills!D19)))</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IFERROR(1/IF(Inputs!$B$39="pvp",15,MAX(0.1,Skills!D5-IF(Skills!E5=TRUE,Inputs!$B$33,0))),0)</f>
        <v/>
      </c>
      <c r="R792">
        <f>IF(AND(Inputs!$B$39&lt;&gt;"pvp",Inputs!$B$44&gt;0),IF(MAX(0,Inputs!$B$44-B823)&lt;=0,0,(INT(MAX(0,Inputs!$B$44-B823)/IF(Inputs!$B$39="pvp",15,MAX(0.1,Skills!D5-IF(Skills!E5=TRUE,Inputs!$B$33,0))))+1)),0)</f>
        <v/>
      </c>
      <c r="S792">
        <f>IFERROR(O792/N792,0)</f>
        <v/>
      </c>
      <c r="T792">
        <f>IF(C792,(H792*N792*IF(AND(Inputs!$B$39&lt;&gt;"pvp",Inputs!$B$44&gt;0),((Skills!G5*((R792-1)*IF(Skills!H5&gt;0,Skills!I5/Skills!H5,1)+IF(Skills!H5&gt;0,MIN(Skills!I5,MAX(0,MAX(0,Inputs!$B$44-B823)-((R792-1)*IF(Inputs!$B$39="pvp",15,MAX(0.1,Skills!D5-IF(Skills!E5=TRUE,Inputs!$B$33,0))))))/Skills!H5,1)))/Inputs!$B$44),G792*Q792))*IF(Inputs!$B$39="pvp",1,1+(Inputs!$B$21+0+Skills!P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Skills!E5=TRUE,Inputs!$B$33,0))))))/Skills!H5,1)))/Inputs!$B$44),G792*Q792))*IF(Inputs!$B$39="pvp",1,(1+(Inputs!$B$22+Skills!Q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IFERROR(1/IF(Inputs!$B$39="pvp",15,MAX(0.1,Skills!D6-IF(Skills!E6=TRUE,Inputs!$B$33,0))),0)</f>
        <v/>
      </c>
      <c r="R793">
        <f>IF(AND(Inputs!$B$39&lt;&gt;"pvp",Inputs!$B$44&gt;0),IF(MAX(0,Inputs!$B$44-B823)&lt;=0,0,(INT(MAX(0,Inputs!$B$44-B823)/IF(Inputs!$B$39="pvp",15,MAX(0.1,Skills!D6-IF(Skills!E6=TRUE,Inputs!$B$33,0))))+1)),0)</f>
        <v/>
      </c>
      <c r="S793">
        <f>IFERROR(O793/N793,0)</f>
        <v/>
      </c>
      <c r="T793">
        <f>IF(C793,(H793*N793*IF(AND(Inputs!$B$39&lt;&gt;"pvp",Inputs!$B$44&gt;0),((Skills!G6*((R793-1)*IF(Skills!H6&gt;0,Skills!I6/Skills!H6,1)+IF(Skills!H6&gt;0,MIN(Skills!I6,MAX(0,MAX(0,Inputs!$B$44-B823)-((R793-1)*IF(Inputs!$B$39="pvp",15,MAX(0.1,Skills!D6-IF(Skills!E6=TRUE,Inputs!$B$33,0))))))/Skills!H6,1)))/Inputs!$B$44),G793*Q793))*IF(Inputs!$B$39="pvp",1,1+(Inputs!$B$21+0+Skills!P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Skills!E6=TRUE,Inputs!$B$33,0))))))/Skills!H6,1)))/Inputs!$B$44),G793*Q793))*IF(Inputs!$B$39="pvp",1,(1+(Inputs!$B$22+Skills!Q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IFERROR(1/IF(Inputs!$B$39="pvp",15,MAX(0.1,Skills!D7-IF(Skills!E7=TRUE,Inputs!$B$33,0))),0)</f>
        <v/>
      </c>
      <c r="R794">
        <f>IF(AND(Inputs!$B$39&lt;&gt;"pvp",Inputs!$B$44&gt;0),IF(MAX(0,Inputs!$B$44-B823)&lt;=0,0,(INT(MAX(0,Inputs!$B$44-B823)/IF(Inputs!$B$39="pvp",15,MAX(0.1,Skills!D7-IF(Skills!E7=TRUE,Inputs!$B$33,0))))+1)),0)</f>
        <v/>
      </c>
      <c r="S794">
        <f>IFERROR(O794/N794,0)</f>
        <v/>
      </c>
      <c r="T794">
        <f>IF(C794,(H794*N794*IF(AND(Inputs!$B$39&lt;&gt;"pvp",Inputs!$B$44&gt;0),((Skills!G7*((R794-1)*IF(Skills!H7&gt;0,Skills!I7/Skills!H7,1)+IF(Skills!H7&gt;0,MIN(Skills!I7,MAX(0,MAX(0,Inputs!$B$44-B823)-((R794-1)*IF(Inputs!$B$39="pvp",15,MAX(0.1,Skills!D7-IF(Skills!E7=TRUE,Inputs!$B$33,0))))))/Skills!H7,1)))/Inputs!$B$44),G794*Q794))*IF(Inputs!$B$39="pvp",1,1+(Inputs!$B$21+0+Skills!P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Skills!E7=TRUE,Inputs!$B$33,0))))))/Skills!H7,1)))/Inputs!$B$44),G794*Q794))*IF(Inputs!$B$39="pvp",1,(1+(Inputs!$B$22+Skills!Q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IFERROR(1/IF(Inputs!$B$39="pvp",15,MAX(0.1,Skills!D9-IF(Skills!E9=TRUE,Inputs!$B$33,0))),0)</f>
        <v/>
      </c>
      <c r="R796">
        <f>IF(AND(Inputs!$B$39&lt;&gt;"pvp",Inputs!$B$44&gt;0),IF(MAX(0,Inputs!$B$44-B823)&lt;=0,0,(INT(MAX(0,Inputs!$B$44-B823)/IF(Inputs!$B$39="pvp",15,MAX(0.1,Skills!D9-IF(Skills!E9=TRUE,Inputs!$B$33,0))))+1)),0)</f>
        <v/>
      </c>
      <c r="S796">
        <f>IFERROR(O796/N796,0)</f>
        <v/>
      </c>
      <c r="T796">
        <f>IF(C796,(H796*N796*IF(AND(Inputs!$B$39&lt;&gt;"pvp",Inputs!$B$44&gt;0),((Skills!G9*((R796-1)*IF(Skills!H9&gt;0,Skills!I9/Skills!H9,1)+IF(Skills!H9&gt;0,MIN(Skills!I9,MAX(0,MAX(0,Inputs!$B$44-B823)-((R796-1)*IF(Inputs!$B$39="pvp",15,MAX(0.1,Skills!D9-IF(Skills!E9=TRUE,Inputs!$B$33,0))))))/Skills!H9,1)))/Inputs!$B$44),G796*Q796))*IF(Inputs!$B$39="pvp",1,1+(Inputs!$B$21+0+Skills!P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Skills!E9=TRUE,Inputs!$B$33,0))))))/Skills!H9,1)))/Inputs!$B$44),G796*Q796))*IF(Inputs!$B$39="pvp",1,(1+(Inputs!$B$22+Skills!Q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IFERROR(1/IF(Inputs!$B$39="pvp",15,MAX(0.1,Skills!D10-IF(Skills!E10=TRUE,Inputs!$B$33,0))),0)</f>
        <v/>
      </c>
      <c r="R797">
        <f>IF(AND(Inputs!$B$39&lt;&gt;"pvp",Inputs!$B$44&gt;0),IF(MAX(0,Inputs!$B$44-B823)&lt;=0,0,(INT(MAX(0,Inputs!$B$44-B823)/IF(Inputs!$B$39="pvp",15,MAX(0.1,Skills!D10-IF(Skills!E10=TRUE,Inputs!$B$33,0))))+1)),0)</f>
        <v/>
      </c>
      <c r="S797">
        <f>IFERROR(O797/N797,0)</f>
        <v/>
      </c>
      <c r="T797">
        <f>IF(C797,(H797*N797*IF(AND(Inputs!$B$39&lt;&gt;"pvp",Inputs!$B$44&gt;0),((Skills!G10*((R797-1)*IF(Skills!H10&gt;0,Skills!I10/Skills!H10,1)+IF(Skills!H10&gt;0,MIN(Skills!I10,MAX(0,MAX(0,Inputs!$B$44-B823)-((R797-1)*IF(Inputs!$B$39="pvp",15,MAX(0.1,Skills!D10-IF(Skills!E10=TRUE,Inputs!$B$33,0))))))/Skills!H10,1)))/Inputs!$B$44),G797*Q797))*IF(Inputs!$B$39="pvp",1,1+(Inputs!$B$21+0+Skills!P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Skills!E10=TRUE,Inputs!$B$33,0))))))/Skills!H10,1)))/Inputs!$B$44),G797*Q797))*IF(Inputs!$B$39="pvp",1,(1+(Inputs!$B$22+Skills!Q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IFERROR(1/IF(Inputs!$B$39="pvp",15,MAX(0.1,Skills!D12-IF(Skills!E12=TRUE,Inputs!$B$33,0))),0)</f>
        <v/>
      </c>
      <c r="R799">
        <f>IF(AND(Inputs!$B$39&lt;&gt;"pvp",Inputs!$B$44&gt;0),IF(MAX(0,Inputs!$B$44-B823)&lt;=0,0,(INT(MAX(0,Inputs!$B$44-B823)/IF(Inputs!$B$39="pvp",15,MAX(0.1,Skills!D12-IF(Skills!E12=TRUE,Inputs!$B$33,0))))+1)),0)</f>
        <v/>
      </c>
      <c r="S799">
        <f>IFERROR(O799/N799,0)</f>
        <v/>
      </c>
      <c r="T799">
        <f>IF(C799,(H799*N799*IF(AND(Inputs!$B$39&lt;&gt;"pvp",Inputs!$B$44&gt;0),((Skills!G12*((R799-1)*IF(Skills!H12&gt;0,Skills!I12/Skills!H12,1)+IF(Skills!H12&gt;0,MIN(Skills!I12,MAX(0,MAX(0,Inputs!$B$44-B823)-((R799-1)*IF(Inputs!$B$39="pvp",15,MAX(0.1,Skills!D12-IF(Skills!E12=TRUE,Inputs!$B$33,0))))))/Skills!H12,1)))/Inputs!$B$44),G799*Q799))*IF(Inputs!$B$39="pvp",1,1+(Inputs!$B$21+0+Skills!P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Skills!E12=TRUE,Inputs!$B$33,0))))))/Skills!H12,1)))/Inputs!$B$44),G799*Q799))*IF(Inputs!$B$39="pvp",1,(1+(Inputs!$B$22+Skills!Q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IFERROR(1/IF(Inputs!$B$39="pvp",15,MAX(0.1,Skills!D13-IF(Skills!E13=TRUE,Inputs!$B$33,0))),0)</f>
        <v/>
      </c>
      <c r="R800">
        <f>IF(AND(Inputs!$B$39&lt;&gt;"pvp",Inputs!$B$44&gt;0),IF(Inputs!$B$44&lt;=0,0,(INT(Inputs!$B$44/IF(Inputs!$B$39="pvp",15,MAX(0.1,Skills!D13-IF(Skills!E13=TRUE,Inputs!$B$33,0))))+1)),0)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IFERROR(1/IF(Inputs!$B$39="pvp",15,MAX(0.1,Skills!D14-IF(Skills!E14=TRUE,Inputs!$B$33,0))),0)</f>
        <v/>
      </c>
      <c r="R801">
        <f>IF(AND(Inputs!$B$39&lt;&gt;"pvp",Inputs!$B$44&gt;0),IF(Inputs!$B$44&lt;=0,0,(INT(Inputs!$B$44/IF(Inputs!$B$39="pvp",15,MAX(0.1,Skills!D14-IF(Skills!E14=TRUE,Inputs!$B$33,0))))+1)),0)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IFERROR(1/IF(Inputs!$B$39="pvp",15,MAX(0.1,Skills!D15-IF(Skills!E15=TRUE,Inputs!$B$33,0))),0)</f>
        <v/>
      </c>
      <c r="R802">
        <f>IF(AND(Inputs!$B$39&lt;&gt;"pvp",Inputs!$B$44&gt;0),IF(Inputs!$B$44&lt;=0,0,(INT(Inputs!$B$44/IF(Inputs!$B$39="pvp",15,MAX(0.1,Skills!D15-IF(Skills!E15=TRUE,Inputs!$B$33,0))))+1)),0)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IFERROR(1/IF(Inputs!$B$39="pvp",15,MAX(0.1,Skills!D16-IF(Skills!E16=TRUE,Inputs!$B$33,0))),0)</f>
        <v/>
      </c>
      <c r="R803">
        <f>IF(AND(Inputs!$B$39&lt;&gt;"pvp",Inputs!$B$44&gt;0),IF(Inputs!$B$44&lt;=0,0,(INT(Inputs!$B$44/IF(Inputs!$B$39="pvp",15,MAX(0.1,Skills!D16-IF(Skills!E16=TRUE,Inputs!$B$33,0))))+1)),0)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IFERROR(1/IF(Inputs!$B$39="pvp",15,MAX(0.1,Skills!D17-IF(Skills!E17=TRUE,Inputs!$B$33,0))),0)</f>
        <v/>
      </c>
      <c r="R804">
        <f>IF(AND(Inputs!$B$39&lt;&gt;"pvp",Inputs!$B$44&gt;0),IF(Inputs!$B$44&lt;=0,0,(INT(Inputs!$B$44/IF(Inputs!$B$39="pvp",15,MAX(0.1,Skills!D17-IF(Skills!E17=TRUE,Inputs!$B$33,0))))+1)),0)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IFERROR(1/IF(Inputs!$B$39="pvp",15,MAX(0.1,Skills!D18-IF(Skills!E18=TRUE,Inputs!$B$33,0))),0)</f>
        <v/>
      </c>
      <c r="R805">
        <f>IF(AND(Inputs!$B$39&lt;&gt;"pvp",Inputs!$B$44&gt;0),IF(Inputs!$B$44&lt;=0,0,(INT(Inputs!$B$44/IF(Inputs!$B$39="pvp",15,MAX(0.1,Skills!D18-IF(Skills!E18=TRUE,Inputs!$B$33,0))))+1)),0)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IFERROR(1/IF(Inputs!$B$39="pvp",15,MAX(0.1,Skills!D19-IF(Skills!E19=TRUE,Inputs!$B$33,0))),0)</f>
        <v/>
      </c>
      <c r="R806">
        <f>IF(AND(Inputs!$B$39&lt;&gt;"pvp",Inputs!$B$44&gt;0),IF(Inputs!$B$44&lt;=0,0,(INT(Inputs!$B$44/IF(Inputs!$B$39="pvp",15,MAX(0.1,Skills!D19-IF(Skills!E19=TRUE,Inputs!$B$33,0))))+1)),0)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IFERROR(1/IF(Inputs!$B$39="pvp",15,MAX(0.1,Skills!D20-IF(Skills!E20=TRUE,Inputs!$B$33,0))),0)</f>
        <v/>
      </c>
      <c r="R807">
        <f>IF(AND(Inputs!$B$39&lt;&gt;"pvp",Inputs!$B$44&gt;0),IF(Inputs!$B$44&lt;=0,0,(INT(Inputs!$B$44/IF(Inputs!$B$39="pvp",15,MAX(0.1,Skills!D20-IF(Skills!E20=TRUE,Inputs!$B$33,0))))+1)),0)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Skills!T18*(1+Inputs!$B$35/100))+MIN((Skills!T18*(1+Inputs!$B$35/100)),MAX(0,Inputs!$B$44-((R805-1)*Skills!D18))))/Inputs!$B$44),IF(Inputs!$B$39="pvp",MIN((Skills!T18*(1+Inputs!$B$35/100)),15)/15,(Skills!T18*(1+Inputs!$B$35/100))/Skills!D18)))</f>
        <v/>
      </c>
    </row>
    <row r="817">
      <c r="A817" t="inlineStr">
        <is>
          <t>Attack Speed Buff Bonus %</t>
        </is>
      </c>
      <c r="B817">
        <f>((C807=TRUE)*F807*IF(AND(Inputs!$B$39&lt;&gt;"pvp",Inputs!$B$44&gt;0),(((R807-1)*(Skills!T20*(1+Inputs!$B$35/100))+MIN((Skills!T20*(1+Inputs!$B$35/100)),MAX(0,Inputs!$B$44-((R807-1)*Skills!D20))))/Inputs!$B$44),IF(Inputs!$B$39="pvp",MIN((Skills!T20*(1+Inputs!$B$35/100)),15)/15,(Skills!T20*(1+Inputs!$B$35/100))/Skills!D20)))</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Skills!T19*(1+Inputs!$B$35/100))+MIN((Skills!T19*(1+Inputs!$B$35/100)),MAX(0,Inputs!$B$44-((R806-1)*Skills!D19))))/Inputs!$B$44),IF(Inputs!$B$39="pvp",MIN((Skills!T19*(1+Inputs!$B$35/100)),15)/15,(Skills!T19*(1+Inputs!$B$35/100))/Skills!D19)))</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IFERROR(1/IF(Inputs!$B$39="pvp",15,MAX(0.1,Skills!D5-IF(Skills!E5=TRUE,Inputs!$B$33,0))),0)</f>
        <v/>
      </c>
      <c r="R834">
        <f>IF(AND(Inputs!$B$39&lt;&gt;"pvp",Inputs!$B$44&gt;0),IF(MAX(0,Inputs!$B$44-B865)&lt;=0,0,(INT(MAX(0,Inputs!$B$44-B865)/IF(Inputs!$B$39="pvp",15,MAX(0.1,Skills!D5-IF(Skills!E5=TRUE,Inputs!$B$33,0))))+1)),0)</f>
        <v/>
      </c>
      <c r="S834">
        <f>IFERROR(O834/N834,0)</f>
        <v/>
      </c>
      <c r="T834">
        <f>IF(C834,(H834*N834*IF(AND(Inputs!$B$39&lt;&gt;"pvp",Inputs!$B$44&gt;0),((Skills!G5*((R834-1)*IF(Skills!H5&gt;0,Skills!I5/Skills!H5,1)+IF(Skills!H5&gt;0,MIN(Skills!I5,MAX(0,MAX(0,Inputs!$B$44-B865)-((R834-1)*IF(Inputs!$B$39="pvp",15,MAX(0.1,Skills!D5-IF(Skills!E5=TRUE,Inputs!$B$33,0))))))/Skills!H5,1)))/Inputs!$B$44),G834*Q834))*IF(Inputs!$B$39="pvp",1,1+(Inputs!$B$21+0+Skills!P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Skills!E5=TRUE,Inputs!$B$33,0))))))/Skills!H5,1)))/Inputs!$B$44),G834*Q834))*IF(Inputs!$B$39="pvp",1,(1+(Inputs!$B$22+Skills!Q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IFERROR(1/IF(Inputs!$B$39="pvp",15,MAX(0.1,Skills!D6-IF(Skills!E6=TRUE,Inputs!$B$33,0))),0)</f>
        <v/>
      </c>
      <c r="R835">
        <f>IF(AND(Inputs!$B$39&lt;&gt;"pvp",Inputs!$B$44&gt;0),IF(MAX(0,Inputs!$B$44-B865)&lt;=0,0,(INT(MAX(0,Inputs!$B$44-B865)/IF(Inputs!$B$39="pvp",15,MAX(0.1,Skills!D6-IF(Skills!E6=TRUE,Inputs!$B$33,0))))+1)),0)</f>
        <v/>
      </c>
      <c r="S835">
        <f>IFERROR(O835/N835,0)</f>
        <v/>
      </c>
      <c r="T835">
        <f>IF(C835,(H835*N835*IF(AND(Inputs!$B$39&lt;&gt;"pvp",Inputs!$B$44&gt;0),((Skills!G6*((R835-1)*IF(Skills!H6&gt;0,Skills!I6/Skills!H6,1)+IF(Skills!H6&gt;0,MIN(Skills!I6,MAX(0,MAX(0,Inputs!$B$44-B865)-((R835-1)*IF(Inputs!$B$39="pvp",15,MAX(0.1,Skills!D6-IF(Skills!E6=TRUE,Inputs!$B$33,0))))))/Skills!H6,1)))/Inputs!$B$44),G835*Q835))*IF(Inputs!$B$39="pvp",1,1+(Inputs!$B$21+0+Skills!P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Skills!E6=TRUE,Inputs!$B$33,0))))))/Skills!H6,1)))/Inputs!$B$44),G835*Q835))*IF(Inputs!$B$39="pvp",1,(1+(Inputs!$B$22+Skills!Q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IFERROR(1/IF(Inputs!$B$39="pvp",15,MAX(0.1,Skills!D7-IF(Skills!E7=TRUE,Inputs!$B$33,0))),0)</f>
        <v/>
      </c>
      <c r="R836">
        <f>IF(AND(Inputs!$B$39&lt;&gt;"pvp",Inputs!$B$44&gt;0),IF(MAX(0,Inputs!$B$44-B865)&lt;=0,0,(INT(MAX(0,Inputs!$B$44-B865)/IF(Inputs!$B$39="pvp",15,MAX(0.1,Skills!D7-IF(Skills!E7=TRUE,Inputs!$B$33,0))))+1)),0)</f>
        <v/>
      </c>
      <c r="S836">
        <f>IFERROR(O836/N836,0)</f>
        <v/>
      </c>
      <c r="T836">
        <f>IF(C836,(H836*N836*IF(AND(Inputs!$B$39&lt;&gt;"pvp",Inputs!$B$44&gt;0),((Skills!G7*((R836-1)*IF(Skills!H7&gt;0,Skills!I7/Skills!H7,1)+IF(Skills!H7&gt;0,MIN(Skills!I7,MAX(0,MAX(0,Inputs!$B$44-B865)-((R836-1)*IF(Inputs!$B$39="pvp",15,MAX(0.1,Skills!D7-IF(Skills!E7=TRUE,Inputs!$B$33,0))))))/Skills!H7,1)))/Inputs!$B$44),G836*Q836))*IF(Inputs!$B$39="pvp",1,1+(Inputs!$B$21+0+Skills!P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Skills!E7=TRUE,Inputs!$B$33,0))))))/Skills!H7,1)))/Inputs!$B$44),G836*Q836))*IF(Inputs!$B$39="pvp",1,(1+(Inputs!$B$22+Skills!Q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IFERROR(1/IF(Inputs!$B$39="pvp",15,MAX(0.1,Skills!D9-IF(Skills!E9=TRUE,Inputs!$B$33,0))),0)</f>
        <v/>
      </c>
      <c r="R838">
        <f>IF(AND(Inputs!$B$39&lt;&gt;"pvp",Inputs!$B$44&gt;0),IF(MAX(0,Inputs!$B$44-B865)&lt;=0,0,(INT(MAX(0,Inputs!$B$44-B865)/IF(Inputs!$B$39="pvp",15,MAX(0.1,Skills!D9-IF(Skills!E9=TRUE,Inputs!$B$33,0))))+1)),0)</f>
        <v/>
      </c>
      <c r="S838">
        <f>IFERROR(O838/N838,0)</f>
        <v/>
      </c>
      <c r="T838">
        <f>IF(C838,(H838*N838*IF(AND(Inputs!$B$39&lt;&gt;"pvp",Inputs!$B$44&gt;0),((Skills!G9*((R838-1)*IF(Skills!H9&gt;0,Skills!I9/Skills!H9,1)+IF(Skills!H9&gt;0,MIN(Skills!I9,MAX(0,MAX(0,Inputs!$B$44-B865)-((R838-1)*IF(Inputs!$B$39="pvp",15,MAX(0.1,Skills!D9-IF(Skills!E9=TRUE,Inputs!$B$33,0))))))/Skills!H9,1)))/Inputs!$B$44),G838*Q838))*IF(Inputs!$B$39="pvp",1,1+(Inputs!$B$21+0+Skills!P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Skills!E9=TRUE,Inputs!$B$33,0))))))/Skills!H9,1)))/Inputs!$B$44),G838*Q838))*IF(Inputs!$B$39="pvp",1,(1+(Inputs!$B$22+Skills!Q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IFERROR(1/IF(Inputs!$B$39="pvp",15,MAX(0.1,Skills!D10-IF(Skills!E10=TRUE,Inputs!$B$33,0))),0)</f>
        <v/>
      </c>
      <c r="R839">
        <f>IF(AND(Inputs!$B$39&lt;&gt;"pvp",Inputs!$B$44&gt;0),IF(MAX(0,Inputs!$B$44-B865)&lt;=0,0,(INT(MAX(0,Inputs!$B$44-B865)/IF(Inputs!$B$39="pvp",15,MAX(0.1,Skills!D10-IF(Skills!E10=TRUE,Inputs!$B$33,0))))+1)),0)</f>
        <v/>
      </c>
      <c r="S839">
        <f>IFERROR(O839/N839,0)</f>
        <v/>
      </c>
      <c r="T839">
        <f>IF(C839,(H839*N839*IF(AND(Inputs!$B$39&lt;&gt;"pvp",Inputs!$B$44&gt;0),((Skills!G10*((R839-1)*IF(Skills!H10&gt;0,Skills!I10/Skills!H10,1)+IF(Skills!H10&gt;0,MIN(Skills!I10,MAX(0,MAX(0,Inputs!$B$44-B865)-((R839-1)*IF(Inputs!$B$39="pvp",15,MAX(0.1,Skills!D10-IF(Skills!E10=TRUE,Inputs!$B$33,0))))))/Skills!H10,1)))/Inputs!$B$44),G839*Q839))*IF(Inputs!$B$39="pvp",1,1+(Inputs!$B$21+0+Skills!P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Skills!E10=TRUE,Inputs!$B$33,0))))))/Skills!H10,1)))/Inputs!$B$44),G839*Q839))*IF(Inputs!$B$39="pvp",1,(1+(Inputs!$B$22+Skills!Q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IFERROR(1/IF(Inputs!$B$39="pvp",15,MAX(0.1,Skills!D12-IF(Skills!E12=TRUE,Inputs!$B$33,0))),0)</f>
        <v/>
      </c>
      <c r="R841">
        <f>IF(AND(Inputs!$B$39&lt;&gt;"pvp",Inputs!$B$44&gt;0),IF(MAX(0,Inputs!$B$44-B865)&lt;=0,0,(INT(MAX(0,Inputs!$B$44-B865)/IF(Inputs!$B$39="pvp",15,MAX(0.1,Skills!D12-IF(Skills!E12=TRUE,Inputs!$B$33,0))))+1)),0)</f>
        <v/>
      </c>
      <c r="S841">
        <f>IFERROR(O841/N841,0)</f>
        <v/>
      </c>
      <c r="T841">
        <f>IF(C841,(H841*N841*IF(AND(Inputs!$B$39&lt;&gt;"pvp",Inputs!$B$44&gt;0),((Skills!G12*((R841-1)*IF(Skills!H12&gt;0,Skills!I12/Skills!H12,1)+IF(Skills!H12&gt;0,MIN(Skills!I12,MAX(0,MAX(0,Inputs!$B$44-B865)-((R841-1)*IF(Inputs!$B$39="pvp",15,MAX(0.1,Skills!D12-IF(Skills!E12=TRUE,Inputs!$B$33,0))))))/Skills!H12,1)))/Inputs!$B$44),G841*Q841))*IF(Inputs!$B$39="pvp",1,1+(Inputs!$B$21+0+Skills!P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Skills!E12=TRUE,Inputs!$B$33,0))))))/Skills!H12,1)))/Inputs!$B$44),G841*Q841))*IF(Inputs!$B$39="pvp",1,(1+(Inputs!$B$22+Skills!Q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IFERROR(1/IF(Inputs!$B$39="pvp",15,MAX(0.1,Skills!D13-IF(Skills!E13=TRUE,Inputs!$B$33,0))),0)</f>
        <v/>
      </c>
      <c r="R842">
        <f>IF(AND(Inputs!$B$39&lt;&gt;"pvp",Inputs!$B$44&gt;0),IF(Inputs!$B$44&lt;=0,0,(INT(Inputs!$B$44/IF(Inputs!$B$39="pvp",15,MAX(0.1,Skills!D13-IF(Skills!E13=TRUE,Inputs!$B$33,0))))+1)),0)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IFERROR(1/IF(Inputs!$B$39="pvp",15,MAX(0.1,Skills!D14-IF(Skills!E14=TRUE,Inputs!$B$33,0))),0)</f>
        <v/>
      </c>
      <c r="R843">
        <f>IF(AND(Inputs!$B$39&lt;&gt;"pvp",Inputs!$B$44&gt;0),IF(Inputs!$B$44&lt;=0,0,(INT(Inputs!$B$44/IF(Inputs!$B$39="pvp",15,MAX(0.1,Skills!D14-IF(Skills!E14=TRUE,Inputs!$B$33,0))))+1)),0)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IFERROR(1/IF(Inputs!$B$39="pvp",15,MAX(0.1,Skills!D15-IF(Skills!E15=TRUE,Inputs!$B$33,0))),0)</f>
        <v/>
      </c>
      <c r="R844">
        <f>IF(AND(Inputs!$B$39&lt;&gt;"pvp",Inputs!$B$44&gt;0),IF(Inputs!$B$44&lt;=0,0,(INT(Inputs!$B$44/IF(Inputs!$B$39="pvp",15,MAX(0.1,Skills!D15-IF(Skills!E15=TRUE,Inputs!$B$33,0))))+1)),0)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IFERROR(1/IF(Inputs!$B$39="pvp",15,MAX(0.1,Skills!D16-IF(Skills!E16=TRUE,Inputs!$B$33,0))),0)</f>
        <v/>
      </c>
      <c r="R845">
        <f>IF(AND(Inputs!$B$39&lt;&gt;"pvp",Inputs!$B$44&gt;0),IF(Inputs!$B$44&lt;=0,0,(INT(Inputs!$B$44/IF(Inputs!$B$39="pvp",15,MAX(0.1,Skills!D16-IF(Skills!E16=TRUE,Inputs!$B$33,0))))+1)),0)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IFERROR(1/IF(Inputs!$B$39="pvp",15,MAX(0.1,Skills!D17-IF(Skills!E17=TRUE,Inputs!$B$33,0))),0)</f>
        <v/>
      </c>
      <c r="R846">
        <f>IF(AND(Inputs!$B$39&lt;&gt;"pvp",Inputs!$B$44&gt;0),IF(Inputs!$B$44&lt;=0,0,(INT(Inputs!$B$44/IF(Inputs!$B$39="pvp",15,MAX(0.1,Skills!D17-IF(Skills!E17=TRUE,Inputs!$B$33,0))))+1)),0)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IFERROR(1/IF(Inputs!$B$39="pvp",15,MAX(0.1,Skills!D18-IF(Skills!E18=TRUE,Inputs!$B$33,0))),0)</f>
        <v/>
      </c>
      <c r="R847">
        <f>IF(AND(Inputs!$B$39&lt;&gt;"pvp",Inputs!$B$44&gt;0),IF(Inputs!$B$44&lt;=0,0,(INT(Inputs!$B$44/IF(Inputs!$B$39="pvp",15,MAX(0.1,Skills!D18-IF(Skills!E18=TRUE,Inputs!$B$33,0))))+1)),0)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IFERROR(1/IF(Inputs!$B$39="pvp",15,MAX(0.1,Skills!D19-IF(Skills!E19=TRUE,Inputs!$B$33,0))),0)</f>
        <v/>
      </c>
      <c r="R848">
        <f>IF(AND(Inputs!$B$39&lt;&gt;"pvp",Inputs!$B$44&gt;0),IF(Inputs!$B$44&lt;=0,0,(INT(Inputs!$B$44/IF(Inputs!$B$39="pvp",15,MAX(0.1,Skills!D19-IF(Skills!E19=TRUE,Inputs!$B$33,0))))+1)),0)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IFERROR(1/IF(Inputs!$B$39="pvp",15,MAX(0.1,Skills!D20-IF(Skills!E20=TRUE,Inputs!$B$33,0))),0)</f>
        <v/>
      </c>
      <c r="R849">
        <f>IF(AND(Inputs!$B$39&lt;&gt;"pvp",Inputs!$B$44&gt;0),IF(Inputs!$B$44&lt;=0,0,(INT(Inputs!$B$44/IF(Inputs!$B$39="pvp",15,MAX(0.1,Skills!D20-IF(Skills!E20=TRUE,Inputs!$B$33,0))))+1)),0)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Skills!T18*(1+Inputs!$B$35/100))+MIN((Skills!T18*(1+Inputs!$B$35/100)),MAX(0,Inputs!$B$44-((R847-1)*Skills!D18))))/Inputs!$B$44),IF(Inputs!$B$39="pvp",MIN((Skills!T18*(1+Inputs!$B$35/100)),15)/15,(Skills!T18*(1+Inputs!$B$35/100))/Skills!D18)))</f>
        <v/>
      </c>
    </row>
    <row r="859">
      <c r="A859" t="inlineStr">
        <is>
          <t>Attack Speed Buff Bonus %</t>
        </is>
      </c>
      <c r="B859">
        <f>((C849=TRUE)*F849*IF(AND(Inputs!$B$39&lt;&gt;"pvp",Inputs!$B$44&gt;0),(((R849-1)*(Skills!T20*(1+Inputs!$B$35/100))+MIN((Skills!T20*(1+Inputs!$B$35/100)),MAX(0,Inputs!$B$44-((R849-1)*Skills!D20))))/Inputs!$B$44),IF(Inputs!$B$39="pvp",MIN((Skills!T20*(1+Inputs!$B$35/100)),15)/15,(Skills!T20*(1+Inputs!$B$35/100))/Skills!D20)))</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Skills!T19*(1+Inputs!$B$35/100))+MIN((Skills!T19*(1+Inputs!$B$35/100)),MAX(0,Inputs!$B$44-((R848-1)*Skills!D19))))/Inputs!$B$44),IF(Inputs!$B$39="pvp",MIN((Skills!T19*(1+Inputs!$B$35/100)),15)/15,(Skills!T19*(1+Inputs!$B$35/100))/Skills!D19)))</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IFERROR(1/IF(Inputs!$B$39="pvp",15,MAX(0.1,Skills!D5-IF(Skills!E5=TRUE,Inputs!$B$33,0))),0)</f>
        <v/>
      </c>
      <c r="R876">
        <f>IF(AND(Inputs!$B$39&lt;&gt;"pvp",Inputs!$B$44&gt;0),IF(MAX(0,Inputs!$B$44-B907)&lt;=0,0,(INT(MAX(0,Inputs!$B$44-B907)/IF(Inputs!$B$39="pvp",15,MAX(0.1,Skills!D5-IF(Skills!E5=TRUE,Inputs!$B$33,0))))+1)),0)</f>
        <v/>
      </c>
      <c r="S876">
        <f>IFERROR(O876/N876,0)</f>
        <v/>
      </c>
      <c r="T876">
        <f>IF(C876,(H876*N876*IF(AND(Inputs!$B$39&lt;&gt;"pvp",Inputs!$B$44&gt;0),((Skills!G5*((R876-1)*IF(Skills!H5&gt;0,Skills!I5/Skills!H5,1)+IF(Skills!H5&gt;0,MIN(Skills!I5,MAX(0,MAX(0,Inputs!$B$44-B907)-((R876-1)*IF(Inputs!$B$39="pvp",15,MAX(0.1,Skills!D5-IF(Skills!E5=TRUE,Inputs!$B$33,0))))))/Skills!H5,1)))/Inputs!$B$44),G876*Q876))*IF(Inputs!$B$39="pvp",1,1+(Inputs!$B$21+0+Skills!P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Skills!E5=TRUE,Inputs!$B$33,0))))))/Skills!H5,1)))/Inputs!$B$44),G876*Q876))*IF(Inputs!$B$39="pvp",1,(1+(Inputs!$B$22+Skills!Q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IFERROR(1/IF(Inputs!$B$39="pvp",15,MAX(0.1,Skills!D6-IF(Skills!E6=TRUE,Inputs!$B$33,0))),0)</f>
        <v/>
      </c>
      <c r="R877">
        <f>IF(AND(Inputs!$B$39&lt;&gt;"pvp",Inputs!$B$44&gt;0),IF(MAX(0,Inputs!$B$44-B907)&lt;=0,0,(INT(MAX(0,Inputs!$B$44-B907)/IF(Inputs!$B$39="pvp",15,MAX(0.1,Skills!D6-IF(Skills!E6=TRUE,Inputs!$B$33,0))))+1)),0)</f>
        <v/>
      </c>
      <c r="S877">
        <f>IFERROR(O877/N877,0)</f>
        <v/>
      </c>
      <c r="T877">
        <f>IF(C877,(H877*N877*IF(AND(Inputs!$B$39&lt;&gt;"pvp",Inputs!$B$44&gt;0),((Skills!G6*((R877-1)*IF(Skills!H6&gt;0,Skills!I6/Skills!H6,1)+IF(Skills!H6&gt;0,MIN(Skills!I6,MAX(0,MAX(0,Inputs!$B$44-B907)-((R877-1)*IF(Inputs!$B$39="pvp",15,MAX(0.1,Skills!D6-IF(Skills!E6=TRUE,Inputs!$B$33,0))))))/Skills!H6,1)))/Inputs!$B$44),G877*Q877))*IF(Inputs!$B$39="pvp",1,1+(Inputs!$B$21+0+Skills!P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Skills!E6=TRUE,Inputs!$B$33,0))))))/Skills!H6,1)))/Inputs!$B$44),G877*Q877))*IF(Inputs!$B$39="pvp",1,(1+(Inputs!$B$22+Skills!Q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IFERROR(1/IF(Inputs!$B$39="pvp",15,MAX(0.1,Skills!D7-IF(Skills!E7=TRUE,Inputs!$B$33,0))),0)</f>
        <v/>
      </c>
      <c r="R878">
        <f>IF(AND(Inputs!$B$39&lt;&gt;"pvp",Inputs!$B$44&gt;0),IF(MAX(0,Inputs!$B$44-B907)&lt;=0,0,(INT(MAX(0,Inputs!$B$44-B907)/IF(Inputs!$B$39="pvp",15,MAX(0.1,Skills!D7-IF(Skills!E7=TRUE,Inputs!$B$33,0))))+1)),0)</f>
        <v/>
      </c>
      <c r="S878">
        <f>IFERROR(O878/N878,0)</f>
        <v/>
      </c>
      <c r="T878">
        <f>IF(C878,(H878*N878*IF(AND(Inputs!$B$39&lt;&gt;"pvp",Inputs!$B$44&gt;0),((Skills!G7*((R878-1)*IF(Skills!H7&gt;0,Skills!I7/Skills!H7,1)+IF(Skills!H7&gt;0,MIN(Skills!I7,MAX(0,MAX(0,Inputs!$B$44-B907)-((R878-1)*IF(Inputs!$B$39="pvp",15,MAX(0.1,Skills!D7-IF(Skills!E7=TRUE,Inputs!$B$33,0))))))/Skills!H7,1)))/Inputs!$B$44),G878*Q878))*IF(Inputs!$B$39="pvp",1,1+(Inputs!$B$21+0+Skills!P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Skills!E7=TRUE,Inputs!$B$33,0))))))/Skills!H7,1)))/Inputs!$B$44),G878*Q878))*IF(Inputs!$B$39="pvp",1,(1+(Inputs!$B$22+Skills!Q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IFERROR(1/IF(Inputs!$B$39="pvp",15,MAX(0.1,Skills!D9-IF(Skills!E9=TRUE,Inputs!$B$33,0))),0)</f>
        <v/>
      </c>
      <c r="R880">
        <f>IF(AND(Inputs!$B$39&lt;&gt;"pvp",Inputs!$B$44&gt;0),IF(MAX(0,Inputs!$B$44-B907)&lt;=0,0,(INT(MAX(0,Inputs!$B$44-B907)/IF(Inputs!$B$39="pvp",15,MAX(0.1,Skills!D9-IF(Skills!E9=TRUE,Inputs!$B$33,0))))+1)),0)</f>
        <v/>
      </c>
      <c r="S880">
        <f>IFERROR(O880/N880,0)</f>
        <v/>
      </c>
      <c r="T880">
        <f>IF(C880,(H880*N880*IF(AND(Inputs!$B$39&lt;&gt;"pvp",Inputs!$B$44&gt;0),((Skills!G9*((R880-1)*IF(Skills!H9&gt;0,Skills!I9/Skills!H9,1)+IF(Skills!H9&gt;0,MIN(Skills!I9,MAX(0,MAX(0,Inputs!$B$44-B907)-((R880-1)*IF(Inputs!$B$39="pvp",15,MAX(0.1,Skills!D9-IF(Skills!E9=TRUE,Inputs!$B$33,0))))))/Skills!H9,1)))/Inputs!$B$44),G880*Q880))*IF(Inputs!$B$39="pvp",1,1+(Inputs!$B$21+0+Skills!P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Skills!E9=TRUE,Inputs!$B$33,0))))))/Skills!H9,1)))/Inputs!$B$44),G880*Q880))*IF(Inputs!$B$39="pvp",1,(1+(Inputs!$B$22+Skills!Q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IFERROR(1/IF(Inputs!$B$39="pvp",15,MAX(0.1,Skills!D10-IF(Skills!E10=TRUE,Inputs!$B$33,0))),0)</f>
        <v/>
      </c>
      <c r="R881">
        <f>IF(AND(Inputs!$B$39&lt;&gt;"pvp",Inputs!$B$44&gt;0),IF(MAX(0,Inputs!$B$44-B907)&lt;=0,0,(INT(MAX(0,Inputs!$B$44-B907)/IF(Inputs!$B$39="pvp",15,MAX(0.1,Skills!D10-IF(Skills!E10=TRUE,Inputs!$B$33,0))))+1)),0)</f>
        <v/>
      </c>
      <c r="S881">
        <f>IFERROR(O881/N881,0)</f>
        <v/>
      </c>
      <c r="T881">
        <f>IF(C881,(H881*N881*IF(AND(Inputs!$B$39&lt;&gt;"pvp",Inputs!$B$44&gt;0),((Skills!G10*((R881-1)*IF(Skills!H10&gt;0,Skills!I10/Skills!H10,1)+IF(Skills!H10&gt;0,MIN(Skills!I10,MAX(0,MAX(0,Inputs!$B$44-B907)-((R881-1)*IF(Inputs!$B$39="pvp",15,MAX(0.1,Skills!D10-IF(Skills!E10=TRUE,Inputs!$B$33,0))))))/Skills!H10,1)))/Inputs!$B$44),G881*Q881))*IF(Inputs!$B$39="pvp",1,1+(Inputs!$B$21+0+Skills!P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Skills!E10=TRUE,Inputs!$B$33,0))))))/Skills!H10,1)))/Inputs!$B$44),G881*Q881))*IF(Inputs!$B$39="pvp",1,(1+(Inputs!$B$22+Skills!Q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IFERROR(1/IF(Inputs!$B$39="pvp",15,MAX(0.1,Skills!D12-IF(Skills!E12=TRUE,Inputs!$B$33,0))),0)</f>
        <v/>
      </c>
      <c r="R883">
        <f>IF(AND(Inputs!$B$39&lt;&gt;"pvp",Inputs!$B$44&gt;0),IF(MAX(0,Inputs!$B$44-B907)&lt;=0,0,(INT(MAX(0,Inputs!$B$44-B907)/IF(Inputs!$B$39="pvp",15,MAX(0.1,Skills!D12-IF(Skills!E12=TRUE,Inputs!$B$33,0))))+1)),0)</f>
        <v/>
      </c>
      <c r="S883">
        <f>IFERROR(O883/N883,0)</f>
        <v/>
      </c>
      <c r="T883">
        <f>IF(C883,(H883*N883*IF(AND(Inputs!$B$39&lt;&gt;"pvp",Inputs!$B$44&gt;0),((Skills!G12*((R883-1)*IF(Skills!H12&gt;0,Skills!I12/Skills!H12,1)+IF(Skills!H12&gt;0,MIN(Skills!I12,MAX(0,MAX(0,Inputs!$B$44-B907)-((R883-1)*IF(Inputs!$B$39="pvp",15,MAX(0.1,Skills!D12-IF(Skills!E12=TRUE,Inputs!$B$33,0))))))/Skills!H12,1)))/Inputs!$B$44),G883*Q883))*IF(Inputs!$B$39="pvp",1,1+(Inputs!$B$21+0+Skills!P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Skills!E12=TRUE,Inputs!$B$33,0))))))/Skills!H12,1)))/Inputs!$B$44),G883*Q883))*IF(Inputs!$B$39="pvp",1,(1+(Inputs!$B$22+Skills!Q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IFERROR(1/IF(Inputs!$B$39="pvp",15,MAX(0.1,Skills!D13-IF(Skills!E13=TRUE,Inputs!$B$33,0))),0)</f>
        <v/>
      </c>
      <c r="R884">
        <f>IF(AND(Inputs!$B$39&lt;&gt;"pvp",Inputs!$B$44&gt;0),IF(Inputs!$B$44&lt;=0,0,(INT(Inputs!$B$44/IF(Inputs!$B$39="pvp",15,MAX(0.1,Skills!D13-IF(Skills!E13=TRUE,Inputs!$B$33,0))))+1)),0)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IFERROR(1/IF(Inputs!$B$39="pvp",15,MAX(0.1,Skills!D14-IF(Skills!E14=TRUE,Inputs!$B$33,0))),0)</f>
        <v/>
      </c>
      <c r="R885">
        <f>IF(AND(Inputs!$B$39&lt;&gt;"pvp",Inputs!$B$44&gt;0),IF(Inputs!$B$44&lt;=0,0,(INT(Inputs!$B$44/IF(Inputs!$B$39="pvp",15,MAX(0.1,Skills!D14-IF(Skills!E14=TRUE,Inputs!$B$33,0))))+1)),0)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IFERROR(1/IF(Inputs!$B$39="pvp",15,MAX(0.1,Skills!D15-IF(Skills!E15=TRUE,Inputs!$B$33,0))),0)</f>
        <v/>
      </c>
      <c r="R886">
        <f>IF(AND(Inputs!$B$39&lt;&gt;"pvp",Inputs!$B$44&gt;0),IF(Inputs!$B$44&lt;=0,0,(INT(Inputs!$B$44/IF(Inputs!$B$39="pvp",15,MAX(0.1,Skills!D15-IF(Skills!E15=TRUE,Inputs!$B$33,0))))+1)),0)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IFERROR(1/IF(Inputs!$B$39="pvp",15,MAX(0.1,Skills!D16-IF(Skills!E16=TRUE,Inputs!$B$33,0))),0)</f>
        <v/>
      </c>
      <c r="R887">
        <f>IF(AND(Inputs!$B$39&lt;&gt;"pvp",Inputs!$B$44&gt;0),IF(Inputs!$B$44&lt;=0,0,(INT(Inputs!$B$44/IF(Inputs!$B$39="pvp",15,MAX(0.1,Skills!D16-IF(Skills!E16=TRUE,Inputs!$B$33,0))))+1)),0)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IFERROR(1/IF(Inputs!$B$39="pvp",15,MAX(0.1,Skills!D17-IF(Skills!E17=TRUE,Inputs!$B$33,0))),0)</f>
        <v/>
      </c>
      <c r="R888">
        <f>IF(AND(Inputs!$B$39&lt;&gt;"pvp",Inputs!$B$44&gt;0),IF(Inputs!$B$44&lt;=0,0,(INT(Inputs!$B$44/IF(Inputs!$B$39="pvp",15,MAX(0.1,Skills!D17-IF(Skills!E17=TRUE,Inputs!$B$33,0))))+1)),0)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IFERROR(1/IF(Inputs!$B$39="pvp",15,MAX(0.1,Skills!D18-IF(Skills!E18=TRUE,Inputs!$B$33,0))),0)</f>
        <v/>
      </c>
      <c r="R889">
        <f>IF(AND(Inputs!$B$39&lt;&gt;"pvp",Inputs!$B$44&gt;0),IF(Inputs!$B$44&lt;=0,0,(INT(Inputs!$B$44/IF(Inputs!$B$39="pvp",15,MAX(0.1,Skills!D18-IF(Skills!E18=TRUE,Inputs!$B$33,0))))+1)),0)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IFERROR(1/IF(Inputs!$B$39="pvp",15,MAX(0.1,Skills!D19-IF(Skills!E19=TRUE,Inputs!$B$33,0))),0)</f>
        <v/>
      </c>
      <c r="R890">
        <f>IF(AND(Inputs!$B$39&lt;&gt;"pvp",Inputs!$B$44&gt;0),IF(Inputs!$B$44&lt;=0,0,(INT(Inputs!$B$44/IF(Inputs!$B$39="pvp",15,MAX(0.1,Skills!D19-IF(Skills!E19=TRUE,Inputs!$B$33,0))))+1)),0)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IFERROR(1/IF(Inputs!$B$39="pvp",15,MAX(0.1,Skills!D20-IF(Skills!E20=TRUE,Inputs!$B$33,0))),0)</f>
        <v/>
      </c>
      <c r="R891">
        <f>IF(AND(Inputs!$B$39&lt;&gt;"pvp",Inputs!$B$44&gt;0),IF(Inputs!$B$44&lt;=0,0,(INT(Inputs!$B$44/IF(Inputs!$B$39="pvp",15,MAX(0.1,Skills!D20-IF(Skills!E20=TRUE,Inputs!$B$33,0))))+1)),0)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Skills!T18*(1+Inputs!$B$35/100))+MIN((Skills!T18*(1+Inputs!$B$35/100)),MAX(0,Inputs!$B$44-((R889-1)*Skills!D18))))/Inputs!$B$44),IF(Inputs!$B$39="pvp",MIN((Skills!T18*(1+Inputs!$B$35/100)),15)/15,(Skills!T18*(1+Inputs!$B$35/100))/Skills!D18)))</f>
        <v/>
      </c>
    </row>
    <row r="901">
      <c r="A901" t="inlineStr">
        <is>
          <t>Attack Speed Buff Bonus %</t>
        </is>
      </c>
      <c r="B901">
        <f>((C891=TRUE)*F891*IF(AND(Inputs!$B$39&lt;&gt;"pvp",Inputs!$B$44&gt;0),(((R891-1)*(Skills!T20*(1+Inputs!$B$35/100))+MIN((Skills!T20*(1+Inputs!$B$35/100)),MAX(0,Inputs!$B$44-((R891-1)*Skills!D20))))/Inputs!$B$44),IF(Inputs!$B$39="pvp",MIN((Skills!T20*(1+Inputs!$B$35/100)),15)/15,(Skills!T20*(1+Inputs!$B$35/100))/Skills!D20)))</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Skills!T19*(1+Inputs!$B$35/100))+MIN((Skills!T19*(1+Inputs!$B$35/100)),MAX(0,Inputs!$B$44-((R890-1)*Skills!D19))))/Inputs!$B$44),IF(Inputs!$B$39="pvp",MIN((Skills!T19*(1+Inputs!$B$35/100)),15)/15,(Skills!T19*(1+Inputs!$B$35/100))/Skills!D19)))</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IFERROR(1/IF(Inputs!$B$39="pvp",15,MAX(0.1,Skills!D5-IF(Skills!E5=TRUE,Inputs!$B$33,0))),0)</f>
        <v/>
      </c>
      <c r="R918">
        <f>IF(AND(Inputs!$B$39&lt;&gt;"pvp",Inputs!$B$44&gt;0),IF(MAX(0,Inputs!$B$44-B949)&lt;=0,0,(INT(MAX(0,Inputs!$B$44-B949)/IF(Inputs!$B$39="pvp",15,MAX(0.1,Skills!D5-IF(Skills!E5=TRUE,Inputs!$B$33,0))))+1)),0)</f>
        <v/>
      </c>
      <c r="S918">
        <f>IFERROR(O918/N918,0)</f>
        <v/>
      </c>
      <c r="T918">
        <f>IF(C918,(H918*N918*IF(AND(Inputs!$B$39&lt;&gt;"pvp",Inputs!$B$44&gt;0),((Skills!G5*((R918-1)*IF(Skills!H5&gt;0,Skills!I5/Skills!H5,1)+IF(Skills!H5&gt;0,MIN(Skills!I5,MAX(0,MAX(0,Inputs!$B$44-B949)-((R918-1)*IF(Inputs!$B$39="pvp",15,MAX(0.1,Skills!D5-IF(Skills!E5=TRUE,Inputs!$B$33,0))))))/Skills!H5,1)))/Inputs!$B$44),G918*Q918))*IF(Inputs!$B$39="pvp",1,1+(Inputs!$B$21+0+Skills!P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Skills!E5=TRUE,Inputs!$B$33,0))))))/Skills!H5,1)))/Inputs!$B$44),G918*Q918))*IF(Inputs!$B$39="pvp",1,(1+(Inputs!$B$22+Skills!Q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IFERROR(1/IF(Inputs!$B$39="pvp",15,MAX(0.1,Skills!D6-IF(Skills!E6=TRUE,Inputs!$B$33,0))),0)</f>
        <v/>
      </c>
      <c r="R919">
        <f>IF(AND(Inputs!$B$39&lt;&gt;"pvp",Inputs!$B$44&gt;0),IF(MAX(0,Inputs!$B$44-B949)&lt;=0,0,(INT(MAX(0,Inputs!$B$44-B949)/IF(Inputs!$B$39="pvp",15,MAX(0.1,Skills!D6-IF(Skills!E6=TRUE,Inputs!$B$33,0))))+1)),0)</f>
        <v/>
      </c>
      <c r="S919">
        <f>IFERROR(O919/N919,0)</f>
        <v/>
      </c>
      <c r="T919">
        <f>IF(C919,(H919*N919*IF(AND(Inputs!$B$39&lt;&gt;"pvp",Inputs!$B$44&gt;0),((Skills!G6*((R919-1)*IF(Skills!H6&gt;0,Skills!I6/Skills!H6,1)+IF(Skills!H6&gt;0,MIN(Skills!I6,MAX(0,MAX(0,Inputs!$B$44-B949)-((R919-1)*IF(Inputs!$B$39="pvp",15,MAX(0.1,Skills!D6-IF(Skills!E6=TRUE,Inputs!$B$33,0))))))/Skills!H6,1)))/Inputs!$B$44),G919*Q919))*IF(Inputs!$B$39="pvp",1,1+(Inputs!$B$21+0+Skills!P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Skills!E6=TRUE,Inputs!$B$33,0))))))/Skills!H6,1)))/Inputs!$B$44),G919*Q919))*IF(Inputs!$B$39="pvp",1,(1+(Inputs!$B$22+Skills!Q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IFERROR(1/IF(Inputs!$B$39="pvp",15,MAX(0.1,Skills!D7-IF(Skills!E7=TRUE,Inputs!$B$33,0))),0)</f>
        <v/>
      </c>
      <c r="R920">
        <f>IF(AND(Inputs!$B$39&lt;&gt;"pvp",Inputs!$B$44&gt;0),IF(MAX(0,Inputs!$B$44-B949)&lt;=0,0,(INT(MAX(0,Inputs!$B$44-B949)/IF(Inputs!$B$39="pvp",15,MAX(0.1,Skills!D7-IF(Skills!E7=TRUE,Inputs!$B$33,0))))+1)),0)</f>
        <v/>
      </c>
      <c r="S920">
        <f>IFERROR(O920/N920,0)</f>
        <v/>
      </c>
      <c r="T920">
        <f>IF(C920,(H920*N920*IF(AND(Inputs!$B$39&lt;&gt;"pvp",Inputs!$B$44&gt;0),((Skills!G7*((R920-1)*IF(Skills!H7&gt;0,Skills!I7/Skills!H7,1)+IF(Skills!H7&gt;0,MIN(Skills!I7,MAX(0,MAX(0,Inputs!$B$44-B949)-((R920-1)*IF(Inputs!$B$39="pvp",15,MAX(0.1,Skills!D7-IF(Skills!E7=TRUE,Inputs!$B$33,0))))))/Skills!H7,1)))/Inputs!$B$44),G920*Q920))*IF(Inputs!$B$39="pvp",1,1+(Inputs!$B$21+0+Skills!P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Skills!E7=TRUE,Inputs!$B$33,0))))))/Skills!H7,1)))/Inputs!$B$44),G920*Q920))*IF(Inputs!$B$39="pvp",1,(1+(Inputs!$B$22+Skills!Q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IFERROR(1/IF(Inputs!$B$39="pvp",15,MAX(0.1,Skills!D9-IF(Skills!E9=TRUE,Inputs!$B$33,0))),0)</f>
        <v/>
      </c>
      <c r="R922">
        <f>IF(AND(Inputs!$B$39&lt;&gt;"pvp",Inputs!$B$44&gt;0),IF(MAX(0,Inputs!$B$44-B949)&lt;=0,0,(INT(MAX(0,Inputs!$B$44-B949)/IF(Inputs!$B$39="pvp",15,MAX(0.1,Skills!D9-IF(Skills!E9=TRUE,Inputs!$B$33,0))))+1)),0)</f>
        <v/>
      </c>
      <c r="S922">
        <f>IFERROR(O922/N922,0)</f>
        <v/>
      </c>
      <c r="T922">
        <f>IF(C922,(H922*N922*IF(AND(Inputs!$B$39&lt;&gt;"pvp",Inputs!$B$44&gt;0),((Skills!G9*((R922-1)*IF(Skills!H9&gt;0,Skills!I9/Skills!H9,1)+IF(Skills!H9&gt;0,MIN(Skills!I9,MAX(0,MAX(0,Inputs!$B$44-B949)-((R922-1)*IF(Inputs!$B$39="pvp",15,MAX(0.1,Skills!D9-IF(Skills!E9=TRUE,Inputs!$B$33,0))))))/Skills!H9,1)))/Inputs!$B$44),G922*Q922))*IF(Inputs!$B$39="pvp",1,1+(Inputs!$B$21+0+Skills!P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Skills!E9=TRUE,Inputs!$B$33,0))))))/Skills!H9,1)))/Inputs!$B$44),G922*Q922))*IF(Inputs!$B$39="pvp",1,(1+(Inputs!$B$22+Skills!Q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IFERROR(1/IF(Inputs!$B$39="pvp",15,MAX(0.1,Skills!D10-IF(Skills!E10=TRUE,Inputs!$B$33,0))),0)</f>
        <v/>
      </c>
      <c r="R923">
        <f>IF(AND(Inputs!$B$39&lt;&gt;"pvp",Inputs!$B$44&gt;0),IF(MAX(0,Inputs!$B$44-B949)&lt;=0,0,(INT(MAX(0,Inputs!$B$44-B949)/IF(Inputs!$B$39="pvp",15,MAX(0.1,Skills!D10-IF(Skills!E10=TRUE,Inputs!$B$33,0))))+1)),0)</f>
        <v/>
      </c>
      <c r="S923">
        <f>IFERROR(O923/N923,0)</f>
        <v/>
      </c>
      <c r="T923">
        <f>IF(C923,(H923*N923*IF(AND(Inputs!$B$39&lt;&gt;"pvp",Inputs!$B$44&gt;0),((Skills!G10*((R923-1)*IF(Skills!H10&gt;0,Skills!I10/Skills!H10,1)+IF(Skills!H10&gt;0,MIN(Skills!I10,MAX(0,MAX(0,Inputs!$B$44-B949)-((R923-1)*IF(Inputs!$B$39="pvp",15,MAX(0.1,Skills!D10-IF(Skills!E10=TRUE,Inputs!$B$33,0))))))/Skills!H10,1)))/Inputs!$B$44),G923*Q923))*IF(Inputs!$B$39="pvp",1,1+(Inputs!$B$21+0+Skills!P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Skills!E10=TRUE,Inputs!$B$33,0))))))/Skills!H10,1)))/Inputs!$B$44),G923*Q923))*IF(Inputs!$B$39="pvp",1,(1+(Inputs!$B$22+Skills!Q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IFERROR(1/IF(Inputs!$B$39="pvp",15,MAX(0.1,Skills!D12-IF(Skills!E12=TRUE,Inputs!$B$33,0))),0)</f>
        <v/>
      </c>
      <c r="R925">
        <f>IF(AND(Inputs!$B$39&lt;&gt;"pvp",Inputs!$B$44&gt;0),IF(MAX(0,Inputs!$B$44-B949)&lt;=0,0,(INT(MAX(0,Inputs!$B$44-B949)/IF(Inputs!$B$39="pvp",15,MAX(0.1,Skills!D12-IF(Skills!E12=TRUE,Inputs!$B$33,0))))+1)),0)</f>
        <v/>
      </c>
      <c r="S925">
        <f>IFERROR(O925/N925,0)</f>
        <v/>
      </c>
      <c r="T925">
        <f>IF(C925,(H925*N925*IF(AND(Inputs!$B$39&lt;&gt;"pvp",Inputs!$B$44&gt;0),((Skills!G12*((R925-1)*IF(Skills!H12&gt;0,Skills!I12/Skills!H12,1)+IF(Skills!H12&gt;0,MIN(Skills!I12,MAX(0,MAX(0,Inputs!$B$44-B949)-((R925-1)*IF(Inputs!$B$39="pvp",15,MAX(0.1,Skills!D12-IF(Skills!E12=TRUE,Inputs!$B$33,0))))))/Skills!H12,1)))/Inputs!$B$44),G925*Q925))*IF(Inputs!$B$39="pvp",1,1+(Inputs!$B$21+0+Skills!P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Skills!E12=TRUE,Inputs!$B$33,0))))))/Skills!H12,1)))/Inputs!$B$44),G925*Q925))*IF(Inputs!$B$39="pvp",1,(1+(Inputs!$B$22+Skills!Q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IFERROR(1/IF(Inputs!$B$39="pvp",15,MAX(0.1,Skills!D13-IF(Skills!E13=TRUE,Inputs!$B$33,0))),0)</f>
        <v/>
      </c>
      <c r="R926">
        <f>IF(AND(Inputs!$B$39&lt;&gt;"pvp",Inputs!$B$44&gt;0),IF(Inputs!$B$44&lt;=0,0,(INT(Inputs!$B$44/IF(Inputs!$B$39="pvp",15,MAX(0.1,Skills!D13-IF(Skills!E13=TRUE,Inputs!$B$33,0))))+1)),0)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IFERROR(1/IF(Inputs!$B$39="pvp",15,MAX(0.1,Skills!D14-IF(Skills!E14=TRUE,Inputs!$B$33,0))),0)</f>
        <v/>
      </c>
      <c r="R927">
        <f>IF(AND(Inputs!$B$39&lt;&gt;"pvp",Inputs!$B$44&gt;0),IF(Inputs!$B$44&lt;=0,0,(INT(Inputs!$B$44/IF(Inputs!$B$39="pvp",15,MAX(0.1,Skills!D14-IF(Skills!E14=TRUE,Inputs!$B$33,0))))+1)),0)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IFERROR(1/IF(Inputs!$B$39="pvp",15,MAX(0.1,Skills!D15-IF(Skills!E15=TRUE,Inputs!$B$33,0))),0)</f>
        <v/>
      </c>
      <c r="R928">
        <f>IF(AND(Inputs!$B$39&lt;&gt;"pvp",Inputs!$B$44&gt;0),IF(Inputs!$B$44&lt;=0,0,(INT(Inputs!$B$44/IF(Inputs!$B$39="pvp",15,MAX(0.1,Skills!D15-IF(Skills!E15=TRUE,Inputs!$B$33,0))))+1)),0)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IFERROR(1/IF(Inputs!$B$39="pvp",15,MAX(0.1,Skills!D16-IF(Skills!E16=TRUE,Inputs!$B$33,0))),0)</f>
        <v/>
      </c>
      <c r="R929">
        <f>IF(AND(Inputs!$B$39&lt;&gt;"pvp",Inputs!$B$44&gt;0),IF(Inputs!$B$44&lt;=0,0,(INT(Inputs!$B$44/IF(Inputs!$B$39="pvp",15,MAX(0.1,Skills!D16-IF(Skills!E16=TRUE,Inputs!$B$33,0))))+1)),0)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IFERROR(1/IF(Inputs!$B$39="pvp",15,MAX(0.1,Skills!D17-IF(Skills!E17=TRUE,Inputs!$B$33,0))),0)</f>
        <v/>
      </c>
      <c r="R930">
        <f>IF(AND(Inputs!$B$39&lt;&gt;"pvp",Inputs!$B$44&gt;0),IF(Inputs!$B$44&lt;=0,0,(INT(Inputs!$B$44/IF(Inputs!$B$39="pvp",15,MAX(0.1,Skills!D17-IF(Skills!E17=TRUE,Inputs!$B$33,0))))+1)),0)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IFERROR(1/IF(Inputs!$B$39="pvp",15,MAX(0.1,Skills!D18-IF(Skills!E18=TRUE,Inputs!$B$33,0))),0)</f>
        <v/>
      </c>
      <c r="R931">
        <f>IF(AND(Inputs!$B$39&lt;&gt;"pvp",Inputs!$B$44&gt;0),IF(Inputs!$B$44&lt;=0,0,(INT(Inputs!$B$44/IF(Inputs!$B$39="pvp",15,MAX(0.1,Skills!D18-IF(Skills!E18=TRUE,Inputs!$B$33,0))))+1)),0)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IFERROR(1/IF(Inputs!$B$39="pvp",15,MAX(0.1,Skills!D19-IF(Skills!E19=TRUE,Inputs!$B$33,0))),0)</f>
        <v/>
      </c>
      <c r="R932">
        <f>IF(AND(Inputs!$B$39&lt;&gt;"pvp",Inputs!$B$44&gt;0),IF(Inputs!$B$44&lt;=0,0,(INT(Inputs!$B$44/IF(Inputs!$B$39="pvp",15,MAX(0.1,Skills!D19-IF(Skills!E19=TRUE,Inputs!$B$33,0))))+1)),0)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IFERROR(1/IF(Inputs!$B$39="pvp",15,MAX(0.1,Skills!D20-IF(Skills!E20=TRUE,Inputs!$B$33,0))),0)</f>
        <v/>
      </c>
      <c r="R933">
        <f>IF(AND(Inputs!$B$39&lt;&gt;"pvp",Inputs!$B$44&gt;0),IF(Inputs!$B$44&lt;=0,0,(INT(Inputs!$B$44/IF(Inputs!$B$39="pvp",15,MAX(0.1,Skills!D20-IF(Skills!E20=TRUE,Inputs!$B$33,0))))+1)),0)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Skills!T18*(1+Inputs!$B$35/100))+MIN((Skills!T18*(1+Inputs!$B$35/100)),MAX(0,Inputs!$B$44-((R931-1)*Skills!D18))))/Inputs!$B$44),IF(Inputs!$B$39="pvp",MIN((Skills!T18*(1+Inputs!$B$35/100)),15)/15,(Skills!T18*(1+Inputs!$B$35/100))/Skills!D18)))</f>
        <v/>
      </c>
    </row>
    <row r="943">
      <c r="A943" t="inlineStr">
        <is>
          <t>Attack Speed Buff Bonus %</t>
        </is>
      </c>
      <c r="B943">
        <f>((C933=TRUE)*F933*IF(AND(Inputs!$B$39&lt;&gt;"pvp",Inputs!$B$44&gt;0),(((R933-1)*(Skills!T20*(1+Inputs!$B$35/100))+MIN((Skills!T20*(1+Inputs!$B$35/100)),MAX(0,Inputs!$B$44-((R933-1)*Skills!D20))))/Inputs!$B$44),IF(Inputs!$B$39="pvp",MIN((Skills!T20*(1+Inputs!$B$35/100)),15)/15,(Skills!T20*(1+Inputs!$B$35/100))/Skills!D20)))</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Skills!T19*(1+Inputs!$B$35/100))+MIN((Skills!T19*(1+Inputs!$B$35/100)),MAX(0,Inputs!$B$44-((R932-1)*Skills!D19))))/Inputs!$B$44),IF(Inputs!$B$39="pvp",MIN((Skills!T19*(1+Inputs!$B$35/100)),15)/15,(Skills!T19*(1+Inputs!$B$35/100))/Skills!D19)))</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IFERROR(1/IF(Inputs!$B$39="pvp",15,MAX(0.1,Skills!D5-IF(Skills!E5=TRUE,Inputs!$B$33,0))),0)</f>
        <v/>
      </c>
      <c r="R960">
        <f>IF(AND(Inputs!$B$39&lt;&gt;"pvp",Inputs!$B$44&gt;0),IF(MAX(0,Inputs!$B$44-B991)&lt;=0,0,(INT(MAX(0,Inputs!$B$44-B991)/IF(Inputs!$B$39="pvp",15,MAX(0.1,Skills!D5-IF(Skills!E5=TRUE,Inputs!$B$33,0))))+1)),0)</f>
        <v/>
      </c>
      <c r="S960">
        <f>IFERROR(O960/N960,0)</f>
        <v/>
      </c>
      <c r="T960">
        <f>IF(C960,(H960*N960*IF(AND(Inputs!$B$39&lt;&gt;"pvp",Inputs!$B$44&gt;0),((Skills!G5*((R960-1)*IF(Skills!H5&gt;0,Skills!I5/Skills!H5,1)+IF(Skills!H5&gt;0,MIN(Skills!I5,MAX(0,MAX(0,Inputs!$B$44-B991)-((R960-1)*IF(Inputs!$B$39="pvp",15,MAX(0.1,Skills!D5-IF(Skills!E5=TRUE,Inputs!$B$33,0))))))/Skills!H5,1)))/Inputs!$B$44),G960*Q960))*IF(Inputs!$B$39="pvp",1,1+(Inputs!$B$21+0+Skills!P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Skills!E5=TRUE,Inputs!$B$33,0))))))/Skills!H5,1)))/Inputs!$B$44),G960*Q960))*IF(Inputs!$B$39="pvp",1,(1+(Inputs!$B$22+Skills!Q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IFERROR(1/IF(Inputs!$B$39="pvp",15,MAX(0.1,Skills!D6-IF(Skills!E6=TRUE,Inputs!$B$33,0))),0)</f>
        <v/>
      </c>
      <c r="R961">
        <f>IF(AND(Inputs!$B$39&lt;&gt;"pvp",Inputs!$B$44&gt;0),IF(MAX(0,Inputs!$B$44-B991)&lt;=0,0,(INT(MAX(0,Inputs!$B$44-B991)/IF(Inputs!$B$39="pvp",15,MAX(0.1,Skills!D6-IF(Skills!E6=TRUE,Inputs!$B$33,0))))+1)),0)</f>
        <v/>
      </c>
      <c r="S961">
        <f>IFERROR(O961/N961,0)</f>
        <v/>
      </c>
      <c r="T961">
        <f>IF(C961,(H961*N961*IF(AND(Inputs!$B$39&lt;&gt;"pvp",Inputs!$B$44&gt;0),((Skills!G6*((R961-1)*IF(Skills!H6&gt;0,Skills!I6/Skills!H6,1)+IF(Skills!H6&gt;0,MIN(Skills!I6,MAX(0,MAX(0,Inputs!$B$44-B991)-((R961-1)*IF(Inputs!$B$39="pvp",15,MAX(0.1,Skills!D6-IF(Skills!E6=TRUE,Inputs!$B$33,0))))))/Skills!H6,1)))/Inputs!$B$44),G961*Q961))*IF(Inputs!$B$39="pvp",1,1+(Inputs!$B$21+0+Skills!P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Skills!E6=TRUE,Inputs!$B$33,0))))))/Skills!H6,1)))/Inputs!$B$44),G961*Q961))*IF(Inputs!$B$39="pvp",1,(1+(Inputs!$B$22+Skills!Q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IFERROR(1/IF(Inputs!$B$39="pvp",15,MAX(0.1,Skills!D7-IF(Skills!E7=TRUE,Inputs!$B$33,0))),0)</f>
        <v/>
      </c>
      <c r="R962">
        <f>IF(AND(Inputs!$B$39&lt;&gt;"pvp",Inputs!$B$44&gt;0),IF(MAX(0,Inputs!$B$44-B991)&lt;=0,0,(INT(MAX(0,Inputs!$B$44-B991)/IF(Inputs!$B$39="pvp",15,MAX(0.1,Skills!D7-IF(Skills!E7=TRUE,Inputs!$B$33,0))))+1)),0)</f>
        <v/>
      </c>
      <c r="S962">
        <f>IFERROR(O962/N962,0)</f>
        <v/>
      </c>
      <c r="T962">
        <f>IF(C962,(H962*N962*IF(AND(Inputs!$B$39&lt;&gt;"pvp",Inputs!$B$44&gt;0),((Skills!G7*((R962-1)*IF(Skills!H7&gt;0,Skills!I7/Skills!H7,1)+IF(Skills!H7&gt;0,MIN(Skills!I7,MAX(0,MAX(0,Inputs!$B$44-B991)-((R962-1)*IF(Inputs!$B$39="pvp",15,MAX(0.1,Skills!D7-IF(Skills!E7=TRUE,Inputs!$B$33,0))))))/Skills!H7,1)))/Inputs!$B$44),G962*Q962))*IF(Inputs!$B$39="pvp",1,1+(Inputs!$B$21+0+Skills!P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Skills!E7=TRUE,Inputs!$B$33,0))))))/Skills!H7,1)))/Inputs!$B$44),G962*Q962))*IF(Inputs!$B$39="pvp",1,(1+(Inputs!$B$22+Skills!Q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IFERROR(1/IF(Inputs!$B$39="pvp",15,MAX(0.1,Skills!D9-IF(Skills!E9=TRUE,Inputs!$B$33,0))),0)</f>
        <v/>
      </c>
      <c r="R964">
        <f>IF(AND(Inputs!$B$39&lt;&gt;"pvp",Inputs!$B$44&gt;0),IF(MAX(0,Inputs!$B$44-B991)&lt;=0,0,(INT(MAX(0,Inputs!$B$44-B991)/IF(Inputs!$B$39="pvp",15,MAX(0.1,Skills!D9-IF(Skills!E9=TRUE,Inputs!$B$33,0))))+1)),0)</f>
        <v/>
      </c>
      <c r="S964">
        <f>IFERROR(O964/N964,0)</f>
        <v/>
      </c>
      <c r="T964">
        <f>IF(C964,(H964*N964*IF(AND(Inputs!$B$39&lt;&gt;"pvp",Inputs!$B$44&gt;0),((Skills!G9*((R964-1)*IF(Skills!H9&gt;0,Skills!I9/Skills!H9,1)+IF(Skills!H9&gt;0,MIN(Skills!I9,MAX(0,MAX(0,Inputs!$B$44-B991)-((R964-1)*IF(Inputs!$B$39="pvp",15,MAX(0.1,Skills!D9-IF(Skills!E9=TRUE,Inputs!$B$33,0))))))/Skills!H9,1)))/Inputs!$B$44),G964*Q964))*IF(Inputs!$B$39="pvp",1,1+(Inputs!$B$21+0+Skills!P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Skills!E9=TRUE,Inputs!$B$33,0))))))/Skills!H9,1)))/Inputs!$B$44),G964*Q964))*IF(Inputs!$B$39="pvp",1,(1+(Inputs!$B$22+Skills!Q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IFERROR(1/IF(Inputs!$B$39="pvp",15,MAX(0.1,Skills!D10-IF(Skills!E10=TRUE,Inputs!$B$33,0))),0)</f>
        <v/>
      </c>
      <c r="R965">
        <f>IF(AND(Inputs!$B$39&lt;&gt;"pvp",Inputs!$B$44&gt;0),IF(MAX(0,Inputs!$B$44-B991)&lt;=0,0,(INT(MAX(0,Inputs!$B$44-B991)/IF(Inputs!$B$39="pvp",15,MAX(0.1,Skills!D10-IF(Skills!E10=TRUE,Inputs!$B$33,0))))+1)),0)</f>
        <v/>
      </c>
      <c r="S965">
        <f>IFERROR(O965/N965,0)</f>
        <v/>
      </c>
      <c r="T965">
        <f>IF(C965,(H965*N965*IF(AND(Inputs!$B$39&lt;&gt;"pvp",Inputs!$B$44&gt;0),((Skills!G10*((R965-1)*IF(Skills!H10&gt;0,Skills!I10/Skills!H10,1)+IF(Skills!H10&gt;0,MIN(Skills!I10,MAX(0,MAX(0,Inputs!$B$44-B991)-((R965-1)*IF(Inputs!$B$39="pvp",15,MAX(0.1,Skills!D10-IF(Skills!E10=TRUE,Inputs!$B$33,0))))))/Skills!H10,1)))/Inputs!$B$44),G965*Q965))*IF(Inputs!$B$39="pvp",1,1+(Inputs!$B$21+0+Skills!P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Skills!E10=TRUE,Inputs!$B$33,0))))))/Skills!H10,1)))/Inputs!$B$44),G965*Q965))*IF(Inputs!$B$39="pvp",1,(1+(Inputs!$B$22+Skills!Q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IFERROR(1/IF(Inputs!$B$39="pvp",15,MAX(0.1,Skills!D12-IF(Skills!E12=TRUE,Inputs!$B$33,0))),0)</f>
        <v/>
      </c>
      <c r="R967">
        <f>IF(AND(Inputs!$B$39&lt;&gt;"pvp",Inputs!$B$44&gt;0),IF(MAX(0,Inputs!$B$44-B991)&lt;=0,0,(INT(MAX(0,Inputs!$B$44-B991)/IF(Inputs!$B$39="pvp",15,MAX(0.1,Skills!D12-IF(Skills!E12=TRUE,Inputs!$B$33,0))))+1)),0)</f>
        <v/>
      </c>
      <c r="S967">
        <f>IFERROR(O967/N967,0)</f>
        <v/>
      </c>
      <c r="T967">
        <f>IF(C967,(H967*N967*IF(AND(Inputs!$B$39&lt;&gt;"pvp",Inputs!$B$44&gt;0),((Skills!G12*((R967-1)*IF(Skills!H12&gt;0,Skills!I12/Skills!H12,1)+IF(Skills!H12&gt;0,MIN(Skills!I12,MAX(0,MAX(0,Inputs!$B$44-B991)-((R967-1)*IF(Inputs!$B$39="pvp",15,MAX(0.1,Skills!D12-IF(Skills!E12=TRUE,Inputs!$B$33,0))))))/Skills!H12,1)))/Inputs!$B$44),G967*Q967))*IF(Inputs!$B$39="pvp",1,1+(Inputs!$B$21+0+Skills!P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Skills!E12=TRUE,Inputs!$B$33,0))))))/Skills!H12,1)))/Inputs!$B$44),G967*Q967))*IF(Inputs!$B$39="pvp",1,(1+(Inputs!$B$22+Skills!Q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IFERROR(1/IF(Inputs!$B$39="pvp",15,MAX(0.1,Skills!D13-IF(Skills!E13=TRUE,Inputs!$B$33,0))),0)</f>
        <v/>
      </c>
      <c r="R968">
        <f>IF(AND(Inputs!$B$39&lt;&gt;"pvp",Inputs!$B$44&gt;0),IF(Inputs!$B$44&lt;=0,0,(INT(Inputs!$B$44/IF(Inputs!$B$39="pvp",15,MAX(0.1,Skills!D13-IF(Skills!E13=TRUE,Inputs!$B$33,0))))+1)),0)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IFERROR(1/IF(Inputs!$B$39="pvp",15,MAX(0.1,Skills!D14-IF(Skills!E14=TRUE,Inputs!$B$33,0))),0)</f>
        <v/>
      </c>
      <c r="R969">
        <f>IF(AND(Inputs!$B$39&lt;&gt;"pvp",Inputs!$B$44&gt;0),IF(Inputs!$B$44&lt;=0,0,(INT(Inputs!$B$44/IF(Inputs!$B$39="pvp",15,MAX(0.1,Skills!D14-IF(Skills!E14=TRUE,Inputs!$B$33,0))))+1)),0)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IFERROR(1/IF(Inputs!$B$39="pvp",15,MAX(0.1,Skills!D15-IF(Skills!E15=TRUE,Inputs!$B$33,0))),0)</f>
        <v/>
      </c>
      <c r="R970">
        <f>IF(AND(Inputs!$B$39&lt;&gt;"pvp",Inputs!$B$44&gt;0),IF(Inputs!$B$44&lt;=0,0,(INT(Inputs!$B$44/IF(Inputs!$B$39="pvp",15,MAX(0.1,Skills!D15-IF(Skills!E15=TRUE,Inputs!$B$33,0))))+1)),0)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IFERROR(1/IF(Inputs!$B$39="pvp",15,MAX(0.1,Skills!D16-IF(Skills!E16=TRUE,Inputs!$B$33,0))),0)</f>
        <v/>
      </c>
      <c r="R971">
        <f>IF(AND(Inputs!$B$39&lt;&gt;"pvp",Inputs!$B$44&gt;0),IF(Inputs!$B$44&lt;=0,0,(INT(Inputs!$B$44/IF(Inputs!$B$39="pvp",15,MAX(0.1,Skills!D16-IF(Skills!E16=TRUE,Inputs!$B$33,0))))+1)),0)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IFERROR(1/IF(Inputs!$B$39="pvp",15,MAX(0.1,Skills!D17-IF(Skills!E17=TRUE,Inputs!$B$33,0))),0)</f>
        <v/>
      </c>
      <c r="R972">
        <f>IF(AND(Inputs!$B$39&lt;&gt;"pvp",Inputs!$B$44&gt;0),IF(Inputs!$B$44&lt;=0,0,(INT(Inputs!$B$44/IF(Inputs!$B$39="pvp",15,MAX(0.1,Skills!D17-IF(Skills!E17=TRUE,Inputs!$B$33,0))))+1)),0)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IFERROR(1/IF(Inputs!$B$39="pvp",15,MAX(0.1,Skills!D18-IF(Skills!E18=TRUE,Inputs!$B$33,0))),0)</f>
        <v/>
      </c>
      <c r="R973">
        <f>IF(AND(Inputs!$B$39&lt;&gt;"pvp",Inputs!$B$44&gt;0),IF(Inputs!$B$44&lt;=0,0,(INT(Inputs!$B$44/IF(Inputs!$B$39="pvp",15,MAX(0.1,Skills!D18-IF(Skills!E18=TRUE,Inputs!$B$33,0))))+1)),0)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IFERROR(1/IF(Inputs!$B$39="pvp",15,MAX(0.1,Skills!D19-IF(Skills!E19=TRUE,Inputs!$B$33,0))),0)</f>
        <v/>
      </c>
      <c r="R974">
        <f>IF(AND(Inputs!$B$39&lt;&gt;"pvp",Inputs!$B$44&gt;0),IF(Inputs!$B$44&lt;=0,0,(INT(Inputs!$B$44/IF(Inputs!$B$39="pvp",15,MAX(0.1,Skills!D19-IF(Skills!E19=TRUE,Inputs!$B$33,0))))+1)),0)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IFERROR(1/IF(Inputs!$B$39="pvp",15,MAX(0.1,Skills!D20-IF(Skills!E20=TRUE,Inputs!$B$33,0))),0)</f>
        <v/>
      </c>
      <c r="R975">
        <f>IF(AND(Inputs!$B$39&lt;&gt;"pvp",Inputs!$B$44&gt;0),IF(Inputs!$B$44&lt;=0,0,(INT(Inputs!$B$44/IF(Inputs!$B$39="pvp",15,MAX(0.1,Skills!D20-IF(Skills!E20=TRUE,Inputs!$B$33,0))))+1)),0)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IFERROR(1/IF(Inputs!$B$39="pvp",15,MAX(0.1,Skills!D5-IF(Skills!E5=TRUE,Inputs!$B$33,0))),0)</f>
        <v/>
      </c>
      <c r="R1002">
        <f>IF(AND(Inputs!$B$39&lt;&gt;"pvp",Inputs!$B$44&gt;0),IF(MAX(0,Inputs!$B$44-B1033)&lt;=0,0,(INT(MAX(0,Inputs!$B$44-B1033)/IF(Inputs!$B$39="pvp",15,MAX(0.1,Skills!D5-IF(Skills!E5=TRUE,Inputs!$B$33,0))))+1)),0)</f>
        <v/>
      </c>
      <c r="S1002">
        <f>IFERROR(O1002/N1002,0)</f>
        <v/>
      </c>
      <c r="T1002">
        <f>IF(C1002,(H1002*N1002*IF(AND(Inputs!$B$39&lt;&gt;"pvp",Inputs!$B$44&gt;0),((Skills!G5*((R1002-1)*IF(Skills!H5&gt;0,Skills!I5/Skills!H5,1)+IF(Skills!H5&gt;0,MIN(Skills!I5,MAX(0,MAX(0,Inputs!$B$44-B1033)-((R1002-1)*IF(Inputs!$B$39="pvp",15,MAX(0.1,Skills!D5-IF(Skills!E5=TRUE,Inputs!$B$33,0))))))/Skills!H5,1)))/Inputs!$B$44),G1002*Q1002))*IF(Inputs!$B$39="pvp",1,1+(Inputs!$B$21+0+Skills!P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Skills!E5=TRUE,Inputs!$B$33,0))))))/Skills!H5,1)))/Inputs!$B$44),G1002*Q1002))*IF(Inputs!$B$39="pvp",1,(1+(Inputs!$B$22+Skills!Q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IFERROR(1/IF(Inputs!$B$39="pvp",15,MAX(0.1,Skills!D6-IF(Skills!E6=TRUE,Inputs!$B$33,0))),0)</f>
        <v/>
      </c>
      <c r="R1003">
        <f>IF(AND(Inputs!$B$39&lt;&gt;"pvp",Inputs!$B$44&gt;0),IF(MAX(0,Inputs!$B$44-B1033)&lt;=0,0,(INT(MAX(0,Inputs!$B$44-B1033)/IF(Inputs!$B$39="pvp",15,MAX(0.1,Skills!D6-IF(Skills!E6=TRUE,Inputs!$B$33,0))))+1)),0)</f>
        <v/>
      </c>
      <c r="S1003">
        <f>IFERROR(O1003/N1003,0)</f>
        <v/>
      </c>
      <c r="T1003">
        <f>IF(C1003,(H1003*N1003*IF(AND(Inputs!$B$39&lt;&gt;"pvp",Inputs!$B$44&gt;0),((Skills!G6*((R1003-1)*IF(Skills!H6&gt;0,Skills!I6/Skills!H6,1)+IF(Skills!H6&gt;0,MIN(Skills!I6,MAX(0,MAX(0,Inputs!$B$44-B1033)-((R1003-1)*IF(Inputs!$B$39="pvp",15,MAX(0.1,Skills!D6-IF(Skills!E6=TRUE,Inputs!$B$33,0))))))/Skills!H6,1)))/Inputs!$B$44),G1003*Q1003))*IF(Inputs!$B$39="pvp",1,1+(Inputs!$B$21+0+Skills!P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Skills!E6=TRUE,Inputs!$B$33,0))))))/Skills!H6,1)))/Inputs!$B$44),G1003*Q1003))*IF(Inputs!$B$39="pvp",1,(1+(Inputs!$B$22+Skills!Q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IFERROR(1/IF(Inputs!$B$39="pvp",15,MAX(0.1,Skills!D7-IF(Skills!E7=TRUE,Inputs!$B$33,0))),0)</f>
        <v/>
      </c>
      <c r="R1004">
        <f>IF(AND(Inputs!$B$39&lt;&gt;"pvp",Inputs!$B$44&gt;0),IF(MAX(0,Inputs!$B$44-B1033)&lt;=0,0,(INT(MAX(0,Inputs!$B$44-B1033)/IF(Inputs!$B$39="pvp",15,MAX(0.1,Skills!D7-IF(Skills!E7=TRUE,Inputs!$B$33,0))))+1)),0)</f>
        <v/>
      </c>
      <c r="S1004">
        <f>IFERROR(O1004/N1004,0)</f>
        <v/>
      </c>
      <c r="T1004">
        <f>IF(C1004,(H1004*N1004*IF(AND(Inputs!$B$39&lt;&gt;"pvp",Inputs!$B$44&gt;0),((Skills!G7*((R1004-1)*IF(Skills!H7&gt;0,Skills!I7/Skills!H7,1)+IF(Skills!H7&gt;0,MIN(Skills!I7,MAX(0,MAX(0,Inputs!$B$44-B1033)-((R1004-1)*IF(Inputs!$B$39="pvp",15,MAX(0.1,Skills!D7-IF(Skills!E7=TRUE,Inputs!$B$33,0))))))/Skills!H7,1)))/Inputs!$B$44),G1004*Q1004))*IF(Inputs!$B$39="pvp",1,1+(Inputs!$B$21+0+Skills!P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Skills!E7=TRUE,Inputs!$B$33,0))))))/Skills!H7,1)))/Inputs!$B$44),G1004*Q1004))*IF(Inputs!$B$39="pvp",1,(1+(Inputs!$B$22+Skills!Q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IFERROR(1/IF(Inputs!$B$39="pvp",15,MAX(0.1,Skills!D9-IF(Skills!E9=TRUE,Inputs!$B$33,0))),0)</f>
        <v/>
      </c>
      <c r="R1006">
        <f>IF(AND(Inputs!$B$39&lt;&gt;"pvp",Inputs!$B$44&gt;0),IF(MAX(0,Inputs!$B$44-B1033)&lt;=0,0,(INT(MAX(0,Inputs!$B$44-B1033)/IF(Inputs!$B$39="pvp",15,MAX(0.1,Skills!D9-IF(Skills!E9=TRUE,Inputs!$B$33,0))))+1)),0)</f>
        <v/>
      </c>
      <c r="S1006">
        <f>IFERROR(O1006/N1006,0)</f>
        <v/>
      </c>
      <c r="T1006">
        <f>IF(C1006,(H1006*N1006*IF(AND(Inputs!$B$39&lt;&gt;"pvp",Inputs!$B$44&gt;0),((Skills!G9*((R1006-1)*IF(Skills!H9&gt;0,Skills!I9/Skills!H9,1)+IF(Skills!H9&gt;0,MIN(Skills!I9,MAX(0,MAX(0,Inputs!$B$44-B1033)-((R1006-1)*IF(Inputs!$B$39="pvp",15,MAX(0.1,Skills!D9-IF(Skills!E9=TRUE,Inputs!$B$33,0))))))/Skills!H9,1)))/Inputs!$B$44),G1006*Q1006))*IF(Inputs!$B$39="pvp",1,1+(Inputs!$B$21+0+Skills!P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Skills!E9=TRUE,Inputs!$B$33,0))))))/Skills!H9,1)))/Inputs!$B$44),G1006*Q1006))*IF(Inputs!$B$39="pvp",1,(1+(Inputs!$B$22+Skills!Q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IFERROR(1/IF(Inputs!$B$39="pvp",15,MAX(0.1,Skills!D10-IF(Skills!E10=TRUE,Inputs!$B$33,0))),0)</f>
        <v/>
      </c>
      <c r="R1007">
        <f>IF(AND(Inputs!$B$39&lt;&gt;"pvp",Inputs!$B$44&gt;0),IF(MAX(0,Inputs!$B$44-B1033)&lt;=0,0,(INT(MAX(0,Inputs!$B$44-B1033)/IF(Inputs!$B$39="pvp",15,MAX(0.1,Skills!D10-IF(Skills!E10=TRUE,Inputs!$B$33,0))))+1)),0)</f>
        <v/>
      </c>
      <c r="S1007">
        <f>IFERROR(O1007/N1007,0)</f>
        <v/>
      </c>
      <c r="T1007">
        <f>IF(C1007,(H1007*N1007*IF(AND(Inputs!$B$39&lt;&gt;"pvp",Inputs!$B$44&gt;0),((Skills!G10*((R1007-1)*IF(Skills!H10&gt;0,Skills!I10/Skills!H10,1)+IF(Skills!H10&gt;0,MIN(Skills!I10,MAX(0,MAX(0,Inputs!$B$44-B1033)-((R1007-1)*IF(Inputs!$B$39="pvp",15,MAX(0.1,Skills!D10-IF(Skills!E10=TRUE,Inputs!$B$33,0))))))/Skills!H10,1)))/Inputs!$B$44),G1007*Q1007))*IF(Inputs!$B$39="pvp",1,1+(Inputs!$B$21+0+Skills!P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Skills!E10=TRUE,Inputs!$B$33,0))))))/Skills!H10,1)))/Inputs!$B$44),G1007*Q1007))*IF(Inputs!$B$39="pvp",1,(1+(Inputs!$B$22+Skills!Q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IFERROR(1/IF(Inputs!$B$39="pvp",15,MAX(0.1,Skills!D12-IF(Skills!E12=TRUE,Inputs!$B$33,0))),0)</f>
        <v/>
      </c>
      <c r="R1009">
        <f>IF(AND(Inputs!$B$39&lt;&gt;"pvp",Inputs!$B$44&gt;0),IF(MAX(0,Inputs!$B$44-B1033)&lt;=0,0,(INT(MAX(0,Inputs!$B$44-B1033)/IF(Inputs!$B$39="pvp",15,MAX(0.1,Skills!D12-IF(Skills!E12=TRUE,Inputs!$B$33,0))))+1)),0)</f>
        <v/>
      </c>
      <c r="S1009">
        <f>IFERROR(O1009/N1009,0)</f>
        <v/>
      </c>
      <c r="T1009">
        <f>IF(C1009,(H1009*N1009*IF(AND(Inputs!$B$39&lt;&gt;"pvp",Inputs!$B$44&gt;0),((Skills!G12*((R1009-1)*IF(Skills!H12&gt;0,Skills!I12/Skills!H12,1)+IF(Skills!H12&gt;0,MIN(Skills!I12,MAX(0,MAX(0,Inputs!$B$44-B1033)-((R1009-1)*IF(Inputs!$B$39="pvp",15,MAX(0.1,Skills!D12-IF(Skills!E12=TRUE,Inputs!$B$33,0))))))/Skills!H12,1)))/Inputs!$B$44),G1009*Q1009))*IF(Inputs!$B$39="pvp",1,1+(Inputs!$B$21+0+Skills!P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Skills!E12=TRUE,Inputs!$B$33,0))))))/Skills!H12,1)))/Inputs!$B$44),G1009*Q1009))*IF(Inputs!$B$39="pvp",1,(1+(Inputs!$B$22+Skills!Q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IFERROR(1/IF(Inputs!$B$39="pvp",15,MAX(0.1,Skills!D13-IF(Skills!E13=TRUE,Inputs!$B$33,0))),0)</f>
        <v/>
      </c>
      <c r="R1010">
        <f>IF(AND(Inputs!$B$39&lt;&gt;"pvp",Inputs!$B$44&gt;0),IF(Inputs!$B$44&lt;=0,0,(INT(Inputs!$B$44/IF(Inputs!$B$39="pvp",15,MAX(0.1,Skills!D13-IF(Skills!E13=TRUE,Inputs!$B$33,0))))+1)),0)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IFERROR(1/IF(Inputs!$B$39="pvp",15,MAX(0.1,Skills!D14-IF(Skills!E14=TRUE,Inputs!$B$33,0))),0)</f>
        <v/>
      </c>
      <c r="R1011">
        <f>IF(AND(Inputs!$B$39&lt;&gt;"pvp",Inputs!$B$44&gt;0),IF(Inputs!$B$44&lt;=0,0,(INT(Inputs!$B$44/IF(Inputs!$B$39="pvp",15,MAX(0.1,Skills!D14-IF(Skills!E14=TRUE,Inputs!$B$33,0))))+1)),0)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IFERROR(1/IF(Inputs!$B$39="pvp",15,MAX(0.1,Skills!D15-IF(Skills!E15=TRUE,Inputs!$B$33,0))),0)</f>
        <v/>
      </c>
      <c r="R1012">
        <f>IF(AND(Inputs!$B$39&lt;&gt;"pvp",Inputs!$B$44&gt;0),IF(Inputs!$B$44&lt;=0,0,(INT(Inputs!$B$44/IF(Inputs!$B$39="pvp",15,MAX(0.1,Skills!D15-IF(Skills!E15=TRUE,Inputs!$B$33,0))))+1)),0)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IFERROR(1/IF(Inputs!$B$39="pvp",15,MAX(0.1,Skills!D16-IF(Skills!E16=TRUE,Inputs!$B$33,0))),0)</f>
        <v/>
      </c>
      <c r="R1013">
        <f>IF(AND(Inputs!$B$39&lt;&gt;"pvp",Inputs!$B$44&gt;0),IF(Inputs!$B$44&lt;=0,0,(INT(Inputs!$B$44/IF(Inputs!$B$39="pvp",15,MAX(0.1,Skills!D16-IF(Skills!E16=TRUE,Inputs!$B$33,0))))+1)),0)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IFERROR(1/IF(Inputs!$B$39="pvp",15,MAX(0.1,Skills!D17-IF(Skills!E17=TRUE,Inputs!$B$33,0))),0)</f>
        <v/>
      </c>
      <c r="R1014">
        <f>IF(AND(Inputs!$B$39&lt;&gt;"pvp",Inputs!$B$44&gt;0),IF(Inputs!$B$44&lt;=0,0,(INT(Inputs!$B$44/IF(Inputs!$B$39="pvp",15,MAX(0.1,Skills!D17-IF(Skills!E17=TRUE,Inputs!$B$33,0))))+1)),0)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IFERROR(1/IF(Inputs!$B$39="pvp",15,MAX(0.1,Skills!D18-IF(Skills!E18=TRUE,Inputs!$B$33,0))),0)</f>
        <v/>
      </c>
      <c r="R1015">
        <f>IF(AND(Inputs!$B$39&lt;&gt;"pvp",Inputs!$B$44&gt;0),IF(Inputs!$B$44&lt;=0,0,(INT(Inputs!$B$44/IF(Inputs!$B$39="pvp",15,MAX(0.1,Skills!D18-IF(Skills!E18=TRUE,Inputs!$B$33,0))))+1)),0)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IFERROR(1/IF(Inputs!$B$39="pvp",15,MAX(0.1,Skills!D19-IF(Skills!E19=TRUE,Inputs!$B$33,0))),0)</f>
        <v/>
      </c>
      <c r="R1016">
        <f>IF(AND(Inputs!$B$39&lt;&gt;"pvp",Inputs!$B$44&gt;0),IF(Inputs!$B$44&lt;=0,0,(INT(Inputs!$B$44/IF(Inputs!$B$39="pvp",15,MAX(0.1,Skills!D19-IF(Skills!E19=TRUE,Inputs!$B$33,0))))+1)),0)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IFERROR(1/IF(Inputs!$B$39="pvp",15,MAX(0.1,Skills!D20-IF(Skills!E20=TRUE,Inputs!$B$33,0))),0)</f>
        <v/>
      </c>
      <c r="R1017">
        <f>IF(AND(Inputs!$B$39&lt;&gt;"pvp",Inputs!$B$44&gt;0),IF(Inputs!$B$44&lt;=0,0,(INT(Inputs!$B$44/IF(Inputs!$B$39="pvp",15,MAX(0.1,Skills!D20-IF(Skills!E20=TRUE,Inputs!$B$33,0))))+1)),0)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Skills!T18*(1+Inputs!$B$35/100))+MIN((Skills!T18*(1+Inputs!$B$35/100)),MAX(0,Inputs!$B$44-((R1015-1)*Skills!D18))))/Inputs!$B$44),IF(Inputs!$B$39="pvp",MIN((Skills!T18*(1+Inputs!$B$35/100)),15)/15,(Skills!T18*(1+Inputs!$B$35/100))/Skills!D18)))</f>
        <v/>
      </c>
    </row>
    <row r="1027">
      <c r="A1027" t="inlineStr">
        <is>
          <t>Attack Speed Buff Bonus %</t>
        </is>
      </c>
      <c r="B1027">
        <f>((C1017=TRUE)*F1017*IF(AND(Inputs!$B$39&lt;&gt;"pvp",Inputs!$B$44&gt;0),(((R1017-1)*(Skills!T20*(1+Inputs!$B$35/100))+MIN((Skills!T20*(1+Inputs!$B$35/100)),MAX(0,Inputs!$B$44-((R1017-1)*Skills!D20))))/Inputs!$B$44),IF(Inputs!$B$39="pvp",MIN((Skills!T20*(1+Inputs!$B$35/100)),15)/15,(Skills!T20*(1+Inputs!$B$35/100))/Skills!D20)))</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Skills!T19*(1+Inputs!$B$35/100))+MIN((Skills!T19*(1+Inputs!$B$35/100)),MAX(0,Inputs!$B$44-((R1016-1)*Skills!D19))))/Inputs!$B$44),IF(Inputs!$B$39="pvp",MIN((Skills!T19*(1+Inputs!$B$35/100)),15)/15,(Skills!T19*(1+Inputs!$B$35/100))/Skills!D19)))</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IFERROR(1/IF(Inputs!$B$39="pvp",15,MAX(0.1,Skills!D5-IF(Skills!E5=TRUE,Inputs!$B$33,0))),0)</f>
        <v/>
      </c>
      <c r="R1044">
        <f>IF(AND(Inputs!$B$39&lt;&gt;"pvp",Inputs!$B$44&gt;0),IF(MAX(0,Inputs!$B$44-B1075)&lt;=0,0,(INT(MAX(0,Inputs!$B$44-B1075)/IF(Inputs!$B$39="pvp",15,MAX(0.1,Skills!D5-IF(Skills!E5=TRUE,Inputs!$B$33,0))))+1)),0)</f>
        <v/>
      </c>
      <c r="S1044">
        <f>IFERROR(O1044/N1044,0)</f>
        <v/>
      </c>
      <c r="T1044">
        <f>IF(C1044,(H1044*N1044*IF(AND(Inputs!$B$39&lt;&gt;"pvp",Inputs!$B$44&gt;0),((Skills!G5*((R1044-1)*IF(Skills!H5&gt;0,Skills!I5/Skills!H5,1)+IF(Skills!H5&gt;0,MIN(Skills!I5,MAX(0,MAX(0,Inputs!$B$44-B1075)-((R1044-1)*IF(Inputs!$B$39="pvp",15,MAX(0.1,Skills!D5-IF(Skills!E5=TRUE,Inputs!$B$33,0))))))/Skills!H5,1)))/Inputs!$B$44),G1044*Q1044))*IF(Inputs!$B$39="pvp",1,1+(Inputs!$B$21+0+Skills!P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Skills!E5=TRUE,Inputs!$B$33,0))))))/Skills!H5,1)))/Inputs!$B$44),G1044*Q1044))*IF(Inputs!$B$39="pvp",1,(1+(Inputs!$B$22+Skills!Q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IFERROR(1/IF(Inputs!$B$39="pvp",15,MAX(0.1,Skills!D6-IF(Skills!E6=TRUE,Inputs!$B$33,0))),0)</f>
        <v/>
      </c>
      <c r="R1045">
        <f>IF(AND(Inputs!$B$39&lt;&gt;"pvp",Inputs!$B$44&gt;0),IF(MAX(0,Inputs!$B$44-B1075)&lt;=0,0,(INT(MAX(0,Inputs!$B$44-B1075)/IF(Inputs!$B$39="pvp",15,MAX(0.1,Skills!D6-IF(Skills!E6=TRUE,Inputs!$B$33,0))))+1)),0)</f>
        <v/>
      </c>
      <c r="S1045">
        <f>IFERROR(O1045/N1045,0)</f>
        <v/>
      </c>
      <c r="T1045">
        <f>IF(C1045,(H1045*N1045*IF(AND(Inputs!$B$39&lt;&gt;"pvp",Inputs!$B$44&gt;0),((Skills!G6*((R1045-1)*IF(Skills!H6&gt;0,Skills!I6/Skills!H6,1)+IF(Skills!H6&gt;0,MIN(Skills!I6,MAX(0,MAX(0,Inputs!$B$44-B1075)-((R1045-1)*IF(Inputs!$B$39="pvp",15,MAX(0.1,Skills!D6-IF(Skills!E6=TRUE,Inputs!$B$33,0))))))/Skills!H6,1)))/Inputs!$B$44),G1045*Q1045))*IF(Inputs!$B$39="pvp",1,1+(Inputs!$B$21+0+Skills!P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Skills!E6=TRUE,Inputs!$B$33,0))))))/Skills!H6,1)))/Inputs!$B$44),G1045*Q1045))*IF(Inputs!$B$39="pvp",1,(1+(Inputs!$B$22+Skills!Q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IFERROR(1/IF(Inputs!$B$39="pvp",15,MAX(0.1,Skills!D7-IF(Skills!E7=TRUE,Inputs!$B$33,0))),0)</f>
        <v/>
      </c>
      <c r="R1046">
        <f>IF(AND(Inputs!$B$39&lt;&gt;"pvp",Inputs!$B$44&gt;0),IF(MAX(0,Inputs!$B$44-B1075)&lt;=0,0,(INT(MAX(0,Inputs!$B$44-B1075)/IF(Inputs!$B$39="pvp",15,MAX(0.1,Skills!D7-IF(Skills!E7=TRUE,Inputs!$B$33,0))))+1)),0)</f>
        <v/>
      </c>
      <c r="S1046">
        <f>IFERROR(O1046/N1046,0)</f>
        <v/>
      </c>
      <c r="T1046">
        <f>IF(C1046,(H1046*N1046*IF(AND(Inputs!$B$39&lt;&gt;"pvp",Inputs!$B$44&gt;0),((Skills!G7*((R1046-1)*IF(Skills!H7&gt;0,Skills!I7/Skills!H7,1)+IF(Skills!H7&gt;0,MIN(Skills!I7,MAX(0,MAX(0,Inputs!$B$44-B1075)-((R1046-1)*IF(Inputs!$B$39="pvp",15,MAX(0.1,Skills!D7-IF(Skills!E7=TRUE,Inputs!$B$33,0))))))/Skills!H7,1)))/Inputs!$B$44),G1046*Q1046))*IF(Inputs!$B$39="pvp",1,1+(Inputs!$B$21+0+Skills!P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Skills!E7=TRUE,Inputs!$B$33,0))))))/Skills!H7,1)))/Inputs!$B$44),G1046*Q1046))*IF(Inputs!$B$39="pvp",1,(1+(Inputs!$B$22+Skills!Q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IFERROR(1/IF(Inputs!$B$39="pvp",15,MAX(0.1,Skills!D9-IF(Skills!E9=TRUE,Inputs!$B$33,0))),0)</f>
        <v/>
      </c>
      <c r="R1048">
        <f>IF(AND(Inputs!$B$39&lt;&gt;"pvp",Inputs!$B$44&gt;0),IF(MAX(0,Inputs!$B$44-B1075)&lt;=0,0,(INT(MAX(0,Inputs!$B$44-B1075)/IF(Inputs!$B$39="pvp",15,MAX(0.1,Skills!D9-IF(Skills!E9=TRUE,Inputs!$B$33,0))))+1)),0)</f>
        <v/>
      </c>
      <c r="S1048">
        <f>IFERROR(O1048/N1048,0)</f>
        <v/>
      </c>
      <c r="T1048">
        <f>IF(C1048,(H1048*N1048*IF(AND(Inputs!$B$39&lt;&gt;"pvp",Inputs!$B$44&gt;0),((Skills!G9*((R1048-1)*IF(Skills!H9&gt;0,Skills!I9/Skills!H9,1)+IF(Skills!H9&gt;0,MIN(Skills!I9,MAX(0,MAX(0,Inputs!$B$44-B1075)-((R1048-1)*IF(Inputs!$B$39="pvp",15,MAX(0.1,Skills!D9-IF(Skills!E9=TRUE,Inputs!$B$33,0))))))/Skills!H9,1)))/Inputs!$B$44),G1048*Q1048))*IF(Inputs!$B$39="pvp",1,1+(Inputs!$B$21+0+Skills!P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Skills!E9=TRUE,Inputs!$B$33,0))))))/Skills!H9,1)))/Inputs!$B$44),G1048*Q1048))*IF(Inputs!$B$39="pvp",1,(1+(Inputs!$B$22+Skills!Q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IFERROR(1/IF(Inputs!$B$39="pvp",15,MAX(0.1,Skills!D10-IF(Skills!E10=TRUE,Inputs!$B$33,0))),0)</f>
        <v/>
      </c>
      <c r="R1049">
        <f>IF(AND(Inputs!$B$39&lt;&gt;"pvp",Inputs!$B$44&gt;0),IF(MAX(0,Inputs!$B$44-B1075)&lt;=0,0,(INT(MAX(0,Inputs!$B$44-B1075)/IF(Inputs!$B$39="pvp",15,MAX(0.1,Skills!D10-IF(Skills!E10=TRUE,Inputs!$B$33,0))))+1)),0)</f>
        <v/>
      </c>
      <c r="S1049">
        <f>IFERROR(O1049/N1049,0)</f>
        <v/>
      </c>
      <c r="T1049">
        <f>IF(C1049,(H1049*N1049*IF(AND(Inputs!$B$39&lt;&gt;"pvp",Inputs!$B$44&gt;0),((Skills!G10*((R1049-1)*IF(Skills!H10&gt;0,Skills!I10/Skills!H10,1)+IF(Skills!H10&gt;0,MIN(Skills!I10,MAX(0,MAX(0,Inputs!$B$44-B1075)-((R1049-1)*IF(Inputs!$B$39="pvp",15,MAX(0.1,Skills!D10-IF(Skills!E10=TRUE,Inputs!$B$33,0))))))/Skills!H10,1)))/Inputs!$B$44),G1049*Q1049))*IF(Inputs!$B$39="pvp",1,1+(Inputs!$B$21+0+Skills!P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Skills!E10=TRUE,Inputs!$B$33,0))))))/Skills!H10,1)))/Inputs!$B$44),G1049*Q1049))*IF(Inputs!$B$39="pvp",1,(1+(Inputs!$B$22+Skills!Q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IFERROR(1/IF(Inputs!$B$39="pvp",15,MAX(0.1,Skills!D12-IF(Skills!E12=TRUE,Inputs!$B$33,0))),0)</f>
        <v/>
      </c>
      <c r="R1051">
        <f>IF(AND(Inputs!$B$39&lt;&gt;"pvp",Inputs!$B$44&gt;0),IF(MAX(0,Inputs!$B$44-B1075)&lt;=0,0,(INT(MAX(0,Inputs!$B$44-B1075)/IF(Inputs!$B$39="pvp",15,MAX(0.1,Skills!D12-IF(Skills!E12=TRUE,Inputs!$B$33,0))))+1)),0)</f>
        <v/>
      </c>
      <c r="S1051">
        <f>IFERROR(O1051/N1051,0)</f>
        <v/>
      </c>
      <c r="T1051">
        <f>IF(C1051,(H1051*N1051*IF(AND(Inputs!$B$39&lt;&gt;"pvp",Inputs!$B$44&gt;0),((Skills!G12*((R1051-1)*IF(Skills!H12&gt;0,Skills!I12/Skills!H12,1)+IF(Skills!H12&gt;0,MIN(Skills!I12,MAX(0,MAX(0,Inputs!$B$44-B1075)-((R1051-1)*IF(Inputs!$B$39="pvp",15,MAX(0.1,Skills!D12-IF(Skills!E12=TRUE,Inputs!$B$33,0))))))/Skills!H12,1)))/Inputs!$B$44),G1051*Q1051))*IF(Inputs!$B$39="pvp",1,1+(Inputs!$B$21+0+Skills!P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Skills!E12=TRUE,Inputs!$B$33,0))))))/Skills!H12,1)))/Inputs!$B$44),G1051*Q1051))*IF(Inputs!$B$39="pvp",1,(1+(Inputs!$B$22+Skills!Q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IFERROR(1/IF(Inputs!$B$39="pvp",15,MAX(0.1,Skills!D13-IF(Skills!E13=TRUE,Inputs!$B$33,0))),0)</f>
        <v/>
      </c>
      <c r="R1052">
        <f>IF(AND(Inputs!$B$39&lt;&gt;"pvp",Inputs!$B$44&gt;0),IF(Inputs!$B$44&lt;=0,0,(INT(Inputs!$B$44/IF(Inputs!$B$39="pvp",15,MAX(0.1,Skills!D13-IF(Skills!E13=TRUE,Inputs!$B$33,0))))+1)),0)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IFERROR(1/IF(Inputs!$B$39="pvp",15,MAX(0.1,Skills!D14-IF(Skills!E14=TRUE,Inputs!$B$33,0))),0)</f>
        <v/>
      </c>
      <c r="R1053">
        <f>IF(AND(Inputs!$B$39&lt;&gt;"pvp",Inputs!$B$44&gt;0),IF(Inputs!$B$44&lt;=0,0,(INT(Inputs!$B$44/IF(Inputs!$B$39="pvp",15,MAX(0.1,Skills!D14-IF(Skills!E14=TRUE,Inputs!$B$33,0))))+1)),0)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IFERROR(1/IF(Inputs!$B$39="pvp",15,MAX(0.1,Skills!D15-IF(Skills!E15=TRUE,Inputs!$B$33,0))),0)</f>
        <v/>
      </c>
      <c r="R1054">
        <f>IF(AND(Inputs!$B$39&lt;&gt;"pvp",Inputs!$B$44&gt;0),IF(Inputs!$B$44&lt;=0,0,(INT(Inputs!$B$44/IF(Inputs!$B$39="pvp",15,MAX(0.1,Skills!D15-IF(Skills!E15=TRUE,Inputs!$B$33,0))))+1)),0)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IFERROR(1/IF(Inputs!$B$39="pvp",15,MAX(0.1,Skills!D16-IF(Skills!E16=TRUE,Inputs!$B$33,0))),0)</f>
        <v/>
      </c>
      <c r="R1055">
        <f>IF(AND(Inputs!$B$39&lt;&gt;"pvp",Inputs!$B$44&gt;0),IF(Inputs!$B$44&lt;=0,0,(INT(Inputs!$B$44/IF(Inputs!$B$39="pvp",15,MAX(0.1,Skills!D16-IF(Skills!E16=TRUE,Inputs!$B$33,0))))+1)),0)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IFERROR(1/IF(Inputs!$B$39="pvp",15,MAX(0.1,Skills!D17-IF(Skills!E17=TRUE,Inputs!$B$33,0))),0)</f>
        <v/>
      </c>
      <c r="R1056">
        <f>IF(AND(Inputs!$B$39&lt;&gt;"pvp",Inputs!$B$44&gt;0),IF(Inputs!$B$44&lt;=0,0,(INT(Inputs!$B$44/IF(Inputs!$B$39="pvp",15,MAX(0.1,Skills!D17-IF(Skills!E17=TRUE,Inputs!$B$33,0))))+1)),0)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IFERROR(1/IF(Inputs!$B$39="pvp",15,MAX(0.1,Skills!D18-IF(Skills!E18=TRUE,Inputs!$B$33,0))),0)</f>
        <v/>
      </c>
      <c r="R1057">
        <f>IF(AND(Inputs!$B$39&lt;&gt;"pvp",Inputs!$B$44&gt;0),IF(Inputs!$B$44&lt;=0,0,(INT(Inputs!$B$44/IF(Inputs!$B$39="pvp",15,MAX(0.1,Skills!D18-IF(Skills!E18=TRUE,Inputs!$B$33,0))))+1)),0)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IFERROR(1/IF(Inputs!$B$39="pvp",15,MAX(0.1,Skills!D19-IF(Skills!E19=TRUE,Inputs!$B$33,0))),0)</f>
        <v/>
      </c>
      <c r="R1058">
        <f>IF(AND(Inputs!$B$39&lt;&gt;"pvp",Inputs!$B$44&gt;0),IF(Inputs!$B$44&lt;=0,0,(INT(Inputs!$B$44/IF(Inputs!$B$39="pvp",15,MAX(0.1,Skills!D19-IF(Skills!E19=TRUE,Inputs!$B$33,0))))+1)),0)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IFERROR(1/IF(Inputs!$B$39="pvp",15,MAX(0.1,Skills!D20-IF(Skills!E20=TRUE,Inputs!$B$33,0))),0)</f>
        <v/>
      </c>
      <c r="R1059">
        <f>IF(AND(Inputs!$B$39&lt;&gt;"pvp",Inputs!$B$44&gt;0),IF(Inputs!$B$44&lt;=0,0,(INT(Inputs!$B$44/IF(Inputs!$B$39="pvp",15,MAX(0.1,Skills!D20-IF(Skills!E20=TRUE,Inputs!$B$33,0))))+1)),0)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Skills!T18*(1+Inputs!$B$35/100))+MIN((Skills!T18*(1+Inputs!$B$35/100)),MAX(0,Inputs!$B$44-((R1057-1)*Skills!D18))))/Inputs!$B$44),IF(Inputs!$B$39="pvp",MIN((Skills!T18*(1+Inputs!$B$35/100)),15)/15,(Skills!T18*(1+Inputs!$B$35/100))/Skills!D18)))</f>
        <v/>
      </c>
    </row>
    <row r="1069">
      <c r="A1069" t="inlineStr">
        <is>
          <t>Attack Speed Buff Bonus %</t>
        </is>
      </c>
      <c r="B1069">
        <f>((C1059=TRUE)*F1059*IF(AND(Inputs!$B$39&lt;&gt;"pvp",Inputs!$B$44&gt;0),(((R1059-1)*(Skills!T20*(1+Inputs!$B$35/100))+MIN((Skills!T20*(1+Inputs!$B$35/100)),MAX(0,Inputs!$B$44-((R1059-1)*Skills!D20))))/Inputs!$B$44),IF(Inputs!$B$39="pvp",MIN((Skills!T20*(1+Inputs!$B$35/100)),15)/15,(Skills!T20*(1+Inputs!$B$35/100))/Skills!D20)))</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Skills!T19*(1+Inputs!$B$35/100))+MIN((Skills!T19*(1+Inputs!$B$35/100)),MAX(0,Inputs!$B$44-((R1058-1)*Skills!D19))))/Inputs!$B$44),IF(Inputs!$B$39="pvp",MIN((Skills!T19*(1+Inputs!$B$35/100)),15)/15,(Skills!T19*(1+Inputs!$B$35/100))/Skills!D19)))</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IFERROR(1/IF(Inputs!$B$39="pvp",15,MAX(0.1,Skills!D5-IF(Skills!E5=TRUE,Inputs!$B$33,0))),0)</f>
        <v/>
      </c>
      <c r="R1086">
        <f>IF(AND(Inputs!$B$39&lt;&gt;"pvp",Inputs!$B$44&gt;0),IF(MAX(0,Inputs!$B$44-B1117)&lt;=0,0,(INT(MAX(0,Inputs!$B$44-B1117)/IF(Inputs!$B$39="pvp",15,MAX(0.1,Skills!D5-IF(Skills!E5=TRUE,Inputs!$B$33,0))))+1)),0)</f>
        <v/>
      </c>
      <c r="S1086">
        <f>IFERROR(O1086/N1086,0)</f>
        <v/>
      </c>
      <c r="T1086">
        <f>IF(C1086,(H1086*N1086*IF(AND(Inputs!$B$39&lt;&gt;"pvp",Inputs!$B$44&gt;0),((Skills!G5*((R1086-1)*IF(Skills!H5&gt;0,Skills!I5/Skills!H5,1)+IF(Skills!H5&gt;0,MIN(Skills!I5,MAX(0,MAX(0,Inputs!$B$44-B1117)-((R1086-1)*IF(Inputs!$B$39="pvp",15,MAX(0.1,Skills!D5-IF(Skills!E5=TRUE,Inputs!$B$33,0))))))/Skills!H5,1)))/Inputs!$B$44),G1086*Q1086))*IF(Inputs!$B$39="pvp",1,1+(Inputs!$B$21+0+Skills!P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Skills!E5=TRUE,Inputs!$B$33,0))))))/Skills!H5,1)))/Inputs!$B$44),G1086*Q1086))*IF(Inputs!$B$39="pvp",1,(1+(Inputs!$B$22+Skills!Q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IFERROR(1/IF(Inputs!$B$39="pvp",15,MAX(0.1,Skills!D6-IF(Skills!E6=TRUE,Inputs!$B$33,0))),0)</f>
        <v/>
      </c>
      <c r="R1087">
        <f>IF(AND(Inputs!$B$39&lt;&gt;"pvp",Inputs!$B$44&gt;0),IF(MAX(0,Inputs!$B$44-B1117)&lt;=0,0,(INT(MAX(0,Inputs!$B$44-B1117)/IF(Inputs!$B$39="pvp",15,MAX(0.1,Skills!D6-IF(Skills!E6=TRUE,Inputs!$B$33,0))))+1)),0)</f>
        <v/>
      </c>
      <c r="S1087">
        <f>IFERROR(O1087/N1087,0)</f>
        <v/>
      </c>
      <c r="T1087">
        <f>IF(C1087,(H1087*N1087*IF(AND(Inputs!$B$39&lt;&gt;"pvp",Inputs!$B$44&gt;0),((Skills!G6*((R1087-1)*IF(Skills!H6&gt;0,Skills!I6/Skills!H6,1)+IF(Skills!H6&gt;0,MIN(Skills!I6,MAX(0,MAX(0,Inputs!$B$44-B1117)-((R1087-1)*IF(Inputs!$B$39="pvp",15,MAX(0.1,Skills!D6-IF(Skills!E6=TRUE,Inputs!$B$33,0))))))/Skills!H6,1)))/Inputs!$B$44),G1087*Q1087))*IF(Inputs!$B$39="pvp",1,1+(Inputs!$B$21+0+Skills!P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Skills!E6=TRUE,Inputs!$B$33,0))))))/Skills!H6,1)))/Inputs!$B$44),G1087*Q1087))*IF(Inputs!$B$39="pvp",1,(1+(Inputs!$B$22+Skills!Q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IFERROR(1/IF(Inputs!$B$39="pvp",15,MAX(0.1,Skills!D7-IF(Skills!E7=TRUE,Inputs!$B$33,0))),0)</f>
        <v/>
      </c>
      <c r="R1088">
        <f>IF(AND(Inputs!$B$39&lt;&gt;"pvp",Inputs!$B$44&gt;0),IF(MAX(0,Inputs!$B$44-B1117)&lt;=0,0,(INT(MAX(0,Inputs!$B$44-B1117)/IF(Inputs!$B$39="pvp",15,MAX(0.1,Skills!D7-IF(Skills!E7=TRUE,Inputs!$B$33,0))))+1)),0)</f>
        <v/>
      </c>
      <c r="S1088">
        <f>IFERROR(O1088/N1088,0)</f>
        <v/>
      </c>
      <c r="T1088">
        <f>IF(C1088,(H1088*N1088*IF(AND(Inputs!$B$39&lt;&gt;"pvp",Inputs!$B$44&gt;0),((Skills!G7*((R1088-1)*IF(Skills!H7&gt;0,Skills!I7/Skills!H7,1)+IF(Skills!H7&gt;0,MIN(Skills!I7,MAX(0,MAX(0,Inputs!$B$44-B1117)-((R1088-1)*IF(Inputs!$B$39="pvp",15,MAX(0.1,Skills!D7-IF(Skills!E7=TRUE,Inputs!$B$33,0))))))/Skills!H7,1)))/Inputs!$B$44),G1088*Q1088))*IF(Inputs!$B$39="pvp",1,1+(Inputs!$B$21+0+Skills!P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Skills!E7=TRUE,Inputs!$B$33,0))))))/Skills!H7,1)))/Inputs!$B$44),G1088*Q1088))*IF(Inputs!$B$39="pvp",1,(1+(Inputs!$B$22+Skills!Q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IFERROR(1/IF(Inputs!$B$39="pvp",15,MAX(0.1,Skills!D9-IF(Skills!E9=TRUE,Inputs!$B$33,0))),0)</f>
        <v/>
      </c>
      <c r="R1090">
        <f>IF(AND(Inputs!$B$39&lt;&gt;"pvp",Inputs!$B$44&gt;0),IF(MAX(0,Inputs!$B$44-B1117)&lt;=0,0,(INT(MAX(0,Inputs!$B$44-B1117)/IF(Inputs!$B$39="pvp",15,MAX(0.1,Skills!D9-IF(Skills!E9=TRUE,Inputs!$B$33,0))))+1)),0)</f>
        <v/>
      </c>
      <c r="S1090">
        <f>IFERROR(O1090/N1090,0)</f>
        <v/>
      </c>
      <c r="T1090">
        <f>IF(C1090,(H1090*N1090*IF(AND(Inputs!$B$39&lt;&gt;"pvp",Inputs!$B$44&gt;0),((Skills!G9*((R1090-1)*IF(Skills!H9&gt;0,Skills!I9/Skills!H9,1)+IF(Skills!H9&gt;0,MIN(Skills!I9,MAX(0,MAX(0,Inputs!$B$44-B1117)-((R1090-1)*IF(Inputs!$B$39="pvp",15,MAX(0.1,Skills!D9-IF(Skills!E9=TRUE,Inputs!$B$33,0))))))/Skills!H9,1)))/Inputs!$B$44),G1090*Q1090))*IF(Inputs!$B$39="pvp",1,1+(Inputs!$B$21+0+Skills!P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Skills!E9=TRUE,Inputs!$B$33,0))))))/Skills!H9,1)))/Inputs!$B$44),G1090*Q1090))*IF(Inputs!$B$39="pvp",1,(1+(Inputs!$B$22+Skills!Q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IFERROR(1/IF(Inputs!$B$39="pvp",15,MAX(0.1,Skills!D10-IF(Skills!E10=TRUE,Inputs!$B$33,0))),0)</f>
        <v/>
      </c>
      <c r="R1091">
        <f>IF(AND(Inputs!$B$39&lt;&gt;"pvp",Inputs!$B$44&gt;0),IF(MAX(0,Inputs!$B$44-B1117)&lt;=0,0,(INT(MAX(0,Inputs!$B$44-B1117)/IF(Inputs!$B$39="pvp",15,MAX(0.1,Skills!D10-IF(Skills!E10=TRUE,Inputs!$B$33,0))))+1)),0)</f>
        <v/>
      </c>
      <c r="S1091">
        <f>IFERROR(O1091/N1091,0)</f>
        <v/>
      </c>
      <c r="T1091">
        <f>IF(C1091,(H1091*N1091*IF(AND(Inputs!$B$39&lt;&gt;"pvp",Inputs!$B$44&gt;0),((Skills!G10*((R1091-1)*IF(Skills!H10&gt;0,Skills!I10/Skills!H10,1)+IF(Skills!H10&gt;0,MIN(Skills!I10,MAX(0,MAX(0,Inputs!$B$44-B1117)-((R1091-1)*IF(Inputs!$B$39="pvp",15,MAX(0.1,Skills!D10-IF(Skills!E10=TRUE,Inputs!$B$33,0))))))/Skills!H10,1)))/Inputs!$B$44),G1091*Q1091))*IF(Inputs!$B$39="pvp",1,1+(Inputs!$B$21+0+Skills!P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Skills!E10=TRUE,Inputs!$B$33,0))))))/Skills!H10,1)))/Inputs!$B$44),G1091*Q1091))*IF(Inputs!$B$39="pvp",1,(1+(Inputs!$B$22+Skills!Q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IFERROR(1/IF(Inputs!$B$39="pvp",15,MAX(0.1,Skills!D12-IF(Skills!E12=TRUE,Inputs!$B$33,0))),0)</f>
        <v/>
      </c>
      <c r="R1093">
        <f>IF(AND(Inputs!$B$39&lt;&gt;"pvp",Inputs!$B$44&gt;0),IF(MAX(0,Inputs!$B$44-B1117)&lt;=0,0,(INT(MAX(0,Inputs!$B$44-B1117)/IF(Inputs!$B$39="pvp",15,MAX(0.1,Skills!D12-IF(Skills!E12=TRUE,Inputs!$B$33,0))))+1)),0)</f>
        <v/>
      </c>
      <c r="S1093">
        <f>IFERROR(O1093/N1093,0)</f>
        <v/>
      </c>
      <c r="T1093">
        <f>IF(C1093,(H1093*N1093*IF(AND(Inputs!$B$39&lt;&gt;"pvp",Inputs!$B$44&gt;0),((Skills!G12*((R1093-1)*IF(Skills!H12&gt;0,Skills!I12/Skills!H12,1)+IF(Skills!H12&gt;0,MIN(Skills!I12,MAX(0,MAX(0,Inputs!$B$44-B1117)-((R1093-1)*IF(Inputs!$B$39="pvp",15,MAX(0.1,Skills!D12-IF(Skills!E12=TRUE,Inputs!$B$33,0))))))/Skills!H12,1)))/Inputs!$B$44),G1093*Q1093))*IF(Inputs!$B$39="pvp",1,1+(Inputs!$B$21+0+Skills!P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Skills!E12=TRUE,Inputs!$B$33,0))))))/Skills!H12,1)))/Inputs!$B$44),G1093*Q1093))*IF(Inputs!$B$39="pvp",1,(1+(Inputs!$B$22+Skills!Q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IFERROR(1/IF(Inputs!$B$39="pvp",15,MAX(0.1,Skills!D13-IF(Skills!E13=TRUE,Inputs!$B$33,0))),0)</f>
        <v/>
      </c>
      <c r="R1094">
        <f>IF(AND(Inputs!$B$39&lt;&gt;"pvp",Inputs!$B$44&gt;0),IF(Inputs!$B$44&lt;=0,0,(INT(Inputs!$B$44/IF(Inputs!$B$39="pvp",15,MAX(0.1,Skills!D13-IF(Skills!E13=TRUE,Inputs!$B$33,0))))+1)),0)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IFERROR(1/IF(Inputs!$B$39="pvp",15,MAX(0.1,Skills!D14-IF(Skills!E14=TRUE,Inputs!$B$33,0))),0)</f>
        <v/>
      </c>
      <c r="R1095">
        <f>IF(AND(Inputs!$B$39&lt;&gt;"pvp",Inputs!$B$44&gt;0),IF(Inputs!$B$44&lt;=0,0,(INT(Inputs!$B$44/IF(Inputs!$B$39="pvp",15,MAX(0.1,Skills!D14-IF(Skills!E14=TRUE,Inputs!$B$33,0))))+1)),0)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IFERROR(1/IF(Inputs!$B$39="pvp",15,MAX(0.1,Skills!D15-IF(Skills!E15=TRUE,Inputs!$B$33,0))),0)</f>
        <v/>
      </c>
      <c r="R1096">
        <f>IF(AND(Inputs!$B$39&lt;&gt;"pvp",Inputs!$B$44&gt;0),IF(Inputs!$B$44&lt;=0,0,(INT(Inputs!$B$44/IF(Inputs!$B$39="pvp",15,MAX(0.1,Skills!D15-IF(Skills!E15=TRUE,Inputs!$B$33,0))))+1)),0)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IFERROR(1/IF(Inputs!$B$39="pvp",15,MAX(0.1,Skills!D16-IF(Skills!E16=TRUE,Inputs!$B$33,0))),0)</f>
        <v/>
      </c>
      <c r="R1097">
        <f>IF(AND(Inputs!$B$39&lt;&gt;"pvp",Inputs!$B$44&gt;0),IF(Inputs!$B$44&lt;=0,0,(INT(Inputs!$B$44/IF(Inputs!$B$39="pvp",15,MAX(0.1,Skills!D16-IF(Skills!E16=TRUE,Inputs!$B$33,0))))+1)),0)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IFERROR(1/IF(Inputs!$B$39="pvp",15,MAX(0.1,Skills!D17-IF(Skills!E17=TRUE,Inputs!$B$33,0))),0)</f>
        <v/>
      </c>
      <c r="R1098">
        <f>IF(AND(Inputs!$B$39&lt;&gt;"pvp",Inputs!$B$44&gt;0),IF(Inputs!$B$44&lt;=0,0,(INT(Inputs!$B$44/IF(Inputs!$B$39="pvp",15,MAX(0.1,Skills!D17-IF(Skills!E17=TRUE,Inputs!$B$33,0))))+1)),0)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IFERROR(1/IF(Inputs!$B$39="pvp",15,MAX(0.1,Skills!D18-IF(Skills!E18=TRUE,Inputs!$B$33,0))),0)</f>
        <v/>
      </c>
      <c r="R1099">
        <f>IF(AND(Inputs!$B$39&lt;&gt;"pvp",Inputs!$B$44&gt;0),IF(Inputs!$B$44&lt;=0,0,(INT(Inputs!$B$44/IF(Inputs!$B$39="pvp",15,MAX(0.1,Skills!D18-IF(Skills!E18=TRUE,Inputs!$B$33,0))))+1)),0)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IFERROR(1/IF(Inputs!$B$39="pvp",15,MAX(0.1,Skills!D19-IF(Skills!E19=TRUE,Inputs!$B$33,0))),0)</f>
        <v/>
      </c>
      <c r="R1100">
        <f>IF(AND(Inputs!$B$39&lt;&gt;"pvp",Inputs!$B$44&gt;0),IF(Inputs!$B$44&lt;=0,0,(INT(Inputs!$B$44/IF(Inputs!$B$39="pvp",15,MAX(0.1,Skills!D19-IF(Skills!E19=TRUE,Inputs!$B$33,0))))+1)),0)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IFERROR(1/IF(Inputs!$B$39="pvp",15,MAX(0.1,Skills!D20-IF(Skills!E20=TRUE,Inputs!$B$33,0))),0)</f>
        <v/>
      </c>
      <c r="R1101">
        <f>IF(AND(Inputs!$B$39&lt;&gt;"pvp",Inputs!$B$44&gt;0),IF(Inputs!$B$44&lt;=0,0,(INT(Inputs!$B$44/IF(Inputs!$B$39="pvp",15,MAX(0.1,Skills!D20-IF(Skills!E20=TRUE,Inputs!$B$33,0))))+1)),0)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Skills!T18*(1+Inputs!$B$35/100))+MIN((Skills!T18*(1+Inputs!$B$35/100)),MAX(0,Inputs!$B$44-((R1099-1)*Skills!D18))))/Inputs!$B$44),IF(Inputs!$B$39="pvp",MIN((Skills!T18*(1+Inputs!$B$35/100)),15)/15,(Skills!T18*(1+Inputs!$B$35/100))/Skills!D18)))</f>
        <v/>
      </c>
    </row>
    <row r="1111">
      <c r="A1111" t="inlineStr">
        <is>
          <t>Attack Speed Buff Bonus %</t>
        </is>
      </c>
      <c r="B1111">
        <f>((C1101=TRUE)*F1101*IF(AND(Inputs!$B$39&lt;&gt;"pvp",Inputs!$B$44&gt;0),(((R1101-1)*(Skills!T20*(1+Inputs!$B$35/100))+MIN((Skills!T20*(1+Inputs!$B$35/100)),MAX(0,Inputs!$B$44-((R1101-1)*Skills!D20))))/Inputs!$B$44),IF(Inputs!$B$39="pvp",MIN((Skills!T20*(1+Inputs!$B$35/100)),15)/15,(Skills!T20*(1+Inputs!$B$35/100))/Skills!D20)))</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Skills!T19*(1+Inputs!$B$35/100))+MIN((Skills!T19*(1+Inputs!$B$35/100)),MAX(0,Inputs!$B$44-((R1100-1)*Skills!D19))))/Inputs!$B$44),IF(Inputs!$B$39="pvp",MIN((Skills!T19*(1+Inputs!$B$35/100)),15)/15,(Skills!T19*(1+Inputs!$B$35/100))/Skills!D19)))</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IFERROR(1/IF(Inputs!$B$39="pvp",15,MAX(0.1,Skills!D5-IF(Skills!E5=TRUE,(Inputs!$B$33+1),0))),0)</f>
        <v/>
      </c>
      <c r="R1128">
        <f>IF(AND(Inputs!$B$39&lt;&gt;"pvp",Inputs!$B$44&gt;0),IF(MAX(0,Inputs!$B$44-B1159)&lt;=0,0,(INT(MAX(0,Inputs!$B$44-B1159)/IF(Inputs!$B$39="pvp",15,MAX(0.1,Skills!D5-IF(Skills!E5=TRUE,(Inputs!$B$33+1),0))))+1)),0)</f>
        <v/>
      </c>
      <c r="S1128">
        <f>IFERROR(O1128/N1128,0)</f>
        <v/>
      </c>
      <c r="T1128">
        <f>IF(C1128,(H1128*N1128*IF(AND(Inputs!$B$39&lt;&gt;"pvp",Inputs!$B$44&gt;0),((Skills!G5*((R1128-1)*IF(Skills!H5&gt;0,Skills!I5/Skills!H5,1)+IF(Skills!H5&gt;0,MIN(Skills!I5,MAX(0,MAX(0,Inputs!$B$44-B1159)-((R1128-1)*IF(Inputs!$B$39="pvp",15,MAX(0.1,Skills!D5-IF(Skills!E5=TRUE,(Inputs!$B$33+1),0))))))/Skills!H5,1)))/Inputs!$B$44),G1128*Q1128))*IF(Inputs!$B$39="pvp",1,1+(Inputs!$B$21+0+Skills!P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Skills!E5=TRUE,(Inputs!$B$33+1),0))))))/Skills!H5,1)))/Inputs!$B$44),G1128*Q1128))*IF(Inputs!$B$39="pvp",1,(1+(Inputs!$B$22+Skills!Q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IFERROR(1/IF(Inputs!$B$39="pvp",15,MAX(0.1,Skills!D6-IF(Skills!E6=TRUE,(Inputs!$B$33+1),0))),0)</f>
        <v/>
      </c>
      <c r="R1129">
        <f>IF(AND(Inputs!$B$39&lt;&gt;"pvp",Inputs!$B$44&gt;0),IF(MAX(0,Inputs!$B$44-B1159)&lt;=0,0,(INT(MAX(0,Inputs!$B$44-B1159)/IF(Inputs!$B$39="pvp",15,MAX(0.1,Skills!D6-IF(Skills!E6=TRUE,(Inputs!$B$33+1),0))))+1)),0)</f>
        <v/>
      </c>
      <c r="S1129">
        <f>IFERROR(O1129/N1129,0)</f>
        <v/>
      </c>
      <c r="T1129">
        <f>IF(C1129,(H1129*N1129*IF(AND(Inputs!$B$39&lt;&gt;"pvp",Inputs!$B$44&gt;0),((Skills!G6*((R1129-1)*IF(Skills!H6&gt;0,Skills!I6/Skills!H6,1)+IF(Skills!H6&gt;0,MIN(Skills!I6,MAX(0,MAX(0,Inputs!$B$44-B1159)-((R1129-1)*IF(Inputs!$B$39="pvp",15,MAX(0.1,Skills!D6-IF(Skills!E6=TRUE,(Inputs!$B$33+1),0))))))/Skills!H6,1)))/Inputs!$B$44),G1129*Q1129))*IF(Inputs!$B$39="pvp",1,1+(Inputs!$B$21+0+Skills!P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Skills!E6=TRUE,(Inputs!$B$33+1),0))))))/Skills!H6,1)))/Inputs!$B$44),G1129*Q1129))*IF(Inputs!$B$39="pvp",1,(1+(Inputs!$B$22+Skills!Q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IFERROR(1/IF(Inputs!$B$39="pvp",15,MAX(0.1,Skills!D7-IF(Skills!E7=TRUE,(Inputs!$B$33+1),0))),0)</f>
        <v/>
      </c>
      <c r="R1130">
        <f>IF(AND(Inputs!$B$39&lt;&gt;"pvp",Inputs!$B$44&gt;0),IF(MAX(0,Inputs!$B$44-B1159)&lt;=0,0,(INT(MAX(0,Inputs!$B$44-B1159)/IF(Inputs!$B$39="pvp",15,MAX(0.1,Skills!D7-IF(Skills!E7=TRUE,(Inputs!$B$33+1),0))))+1)),0)</f>
        <v/>
      </c>
      <c r="S1130">
        <f>IFERROR(O1130/N1130,0)</f>
        <v/>
      </c>
      <c r="T1130">
        <f>IF(C1130,(H1130*N1130*IF(AND(Inputs!$B$39&lt;&gt;"pvp",Inputs!$B$44&gt;0),((Skills!G7*((R1130-1)*IF(Skills!H7&gt;0,Skills!I7/Skills!H7,1)+IF(Skills!H7&gt;0,MIN(Skills!I7,MAX(0,MAX(0,Inputs!$B$44-B1159)-((R1130-1)*IF(Inputs!$B$39="pvp",15,MAX(0.1,Skills!D7-IF(Skills!E7=TRUE,(Inputs!$B$33+1),0))))))/Skills!H7,1)))/Inputs!$B$44),G1130*Q1130))*IF(Inputs!$B$39="pvp",1,1+(Inputs!$B$21+0+Skills!P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Skills!E7=TRUE,(Inputs!$B$33+1),0))))))/Skills!H7,1)))/Inputs!$B$44),G1130*Q1130))*IF(Inputs!$B$39="pvp",1,(1+(Inputs!$B$22+Skills!Q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IFERROR(1/IF(Inputs!$B$39="pvp",15,MAX(0.1,Skills!D9-IF(Skills!E9=TRUE,(Inputs!$B$33+1),0))),0)</f>
        <v/>
      </c>
      <c r="R1132">
        <f>IF(AND(Inputs!$B$39&lt;&gt;"pvp",Inputs!$B$44&gt;0),IF(MAX(0,Inputs!$B$44-B1159)&lt;=0,0,(INT(MAX(0,Inputs!$B$44-B1159)/IF(Inputs!$B$39="pvp",15,MAX(0.1,Skills!D9-IF(Skills!E9=TRUE,(Inputs!$B$33+1),0))))+1)),0)</f>
        <v/>
      </c>
      <c r="S1132">
        <f>IFERROR(O1132/N1132,0)</f>
        <v/>
      </c>
      <c r="T1132">
        <f>IF(C1132,(H1132*N1132*IF(AND(Inputs!$B$39&lt;&gt;"pvp",Inputs!$B$44&gt;0),((Skills!G9*((R1132-1)*IF(Skills!H9&gt;0,Skills!I9/Skills!H9,1)+IF(Skills!H9&gt;0,MIN(Skills!I9,MAX(0,MAX(0,Inputs!$B$44-B1159)-((R1132-1)*IF(Inputs!$B$39="pvp",15,MAX(0.1,Skills!D9-IF(Skills!E9=TRUE,(Inputs!$B$33+1),0))))))/Skills!H9,1)))/Inputs!$B$44),G1132*Q1132))*IF(Inputs!$B$39="pvp",1,1+(Inputs!$B$21+0+Skills!P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Skills!E9=TRUE,(Inputs!$B$33+1),0))))))/Skills!H9,1)))/Inputs!$B$44),G1132*Q1132))*IF(Inputs!$B$39="pvp",1,(1+(Inputs!$B$22+Skills!Q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IFERROR(1/IF(Inputs!$B$39="pvp",15,MAX(0.1,Skills!D10-IF(Skills!E10=TRUE,(Inputs!$B$33+1),0))),0)</f>
        <v/>
      </c>
      <c r="R1133">
        <f>IF(AND(Inputs!$B$39&lt;&gt;"pvp",Inputs!$B$44&gt;0),IF(MAX(0,Inputs!$B$44-B1159)&lt;=0,0,(INT(MAX(0,Inputs!$B$44-B1159)/IF(Inputs!$B$39="pvp",15,MAX(0.1,Skills!D10-IF(Skills!E10=TRUE,(Inputs!$B$33+1),0))))+1)),0)</f>
        <v/>
      </c>
      <c r="S1133">
        <f>IFERROR(O1133/N1133,0)</f>
        <v/>
      </c>
      <c r="T1133">
        <f>IF(C1133,(H1133*N1133*IF(AND(Inputs!$B$39&lt;&gt;"pvp",Inputs!$B$44&gt;0),((Skills!G10*((R1133-1)*IF(Skills!H10&gt;0,Skills!I10/Skills!H10,1)+IF(Skills!H10&gt;0,MIN(Skills!I10,MAX(0,MAX(0,Inputs!$B$44-B1159)-((R1133-1)*IF(Inputs!$B$39="pvp",15,MAX(0.1,Skills!D10-IF(Skills!E10=TRUE,(Inputs!$B$33+1),0))))))/Skills!H10,1)))/Inputs!$B$44),G1133*Q1133))*IF(Inputs!$B$39="pvp",1,1+(Inputs!$B$21+0+Skills!P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Skills!E10=TRUE,(Inputs!$B$33+1),0))))))/Skills!H10,1)))/Inputs!$B$44),G1133*Q1133))*IF(Inputs!$B$39="pvp",1,(1+(Inputs!$B$22+Skills!Q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IFERROR(1/IF(Inputs!$B$39="pvp",15,MAX(0.1,Skills!D12-IF(Skills!E12=TRUE,(Inputs!$B$33+1),0))),0)</f>
        <v/>
      </c>
      <c r="R1135">
        <f>IF(AND(Inputs!$B$39&lt;&gt;"pvp",Inputs!$B$44&gt;0),IF(MAX(0,Inputs!$B$44-B1159)&lt;=0,0,(INT(MAX(0,Inputs!$B$44-B1159)/IF(Inputs!$B$39="pvp",15,MAX(0.1,Skills!D12-IF(Skills!E12=TRUE,(Inputs!$B$33+1),0))))+1)),0)</f>
        <v/>
      </c>
      <c r="S1135">
        <f>IFERROR(O1135/N1135,0)</f>
        <v/>
      </c>
      <c r="T1135">
        <f>IF(C1135,(H1135*N1135*IF(AND(Inputs!$B$39&lt;&gt;"pvp",Inputs!$B$44&gt;0),((Skills!G12*((R1135-1)*IF(Skills!H12&gt;0,Skills!I12/Skills!H12,1)+IF(Skills!H12&gt;0,MIN(Skills!I12,MAX(0,MAX(0,Inputs!$B$44-B1159)-((R1135-1)*IF(Inputs!$B$39="pvp",15,MAX(0.1,Skills!D12-IF(Skills!E12=TRUE,(Inputs!$B$33+1),0))))))/Skills!H12,1)))/Inputs!$B$44),G1135*Q1135))*IF(Inputs!$B$39="pvp",1,1+(Inputs!$B$21+0+Skills!P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Skills!E12=TRUE,(Inputs!$B$33+1),0))))))/Skills!H12,1)))/Inputs!$B$44),G1135*Q1135))*IF(Inputs!$B$39="pvp",1,(1+(Inputs!$B$22+Skills!Q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IFERROR(1/IF(Inputs!$B$39="pvp",15,MAX(0.1,Skills!D13-IF(Skills!E13=TRUE,(Inputs!$B$33+1),0))),0)</f>
        <v/>
      </c>
      <c r="R1136">
        <f>IF(AND(Inputs!$B$39&lt;&gt;"pvp",Inputs!$B$44&gt;0),IF(Inputs!$B$44&lt;=0,0,(INT(Inputs!$B$44/IF(Inputs!$B$39="pvp",15,MAX(0.1,Skills!D13-IF(Skills!E13=TRUE,(Inputs!$B$33+1),0))))+1)),0)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IFERROR(1/IF(Inputs!$B$39="pvp",15,MAX(0.1,Skills!D14-IF(Skills!E14=TRUE,(Inputs!$B$33+1),0))),0)</f>
        <v/>
      </c>
      <c r="R1137">
        <f>IF(AND(Inputs!$B$39&lt;&gt;"pvp",Inputs!$B$44&gt;0),IF(Inputs!$B$44&lt;=0,0,(INT(Inputs!$B$44/IF(Inputs!$B$39="pvp",15,MAX(0.1,Skills!D14-IF(Skills!E14=TRUE,(Inputs!$B$33+1),0))))+1)),0)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IFERROR(1/IF(Inputs!$B$39="pvp",15,MAX(0.1,Skills!D15-IF(Skills!E15=TRUE,(Inputs!$B$33+1),0))),0)</f>
        <v/>
      </c>
      <c r="R1138">
        <f>IF(AND(Inputs!$B$39&lt;&gt;"pvp",Inputs!$B$44&gt;0),IF(Inputs!$B$44&lt;=0,0,(INT(Inputs!$B$44/IF(Inputs!$B$39="pvp",15,MAX(0.1,Skills!D15-IF(Skills!E15=TRUE,(Inputs!$B$33+1),0))))+1)),0)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IFERROR(1/IF(Inputs!$B$39="pvp",15,MAX(0.1,Skills!D16-IF(Skills!E16=TRUE,(Inputs!$B$33+1),0))),0)</f>
        <v/>
      </c>
      <c r="R1139">
        <f>IF(AND(Inputs!$B$39&lt;&gt;"pvp",Inputs!$B$44&gt;0),IF(Inputs!$B$44&lt;=0,0,(INT(Inputs!$B$44/IF(Inputs!$B$39="pvp",15,MAX(0.1,Skills!D16-IF(Skills!E16=TRUE,(Inputs!$B$33+1),0))))+1)),0)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IFERROR(1/IF(Inputs!$B$39="pvp",15,MAX(0.1,Skills!D17-IF(Skills!E17=TRUE,(Inputs!$B$33+1),0))),0)</f>
        <v/>
      </c>
      <c r="R1140">
        <f>IF(AND(Inputs!$B$39&lt;&gt;"pvp",Inputs!$B$44&gt;0),IF(Inputs!$B$44&lt;=0,0,(INT(Inputs!$B$44/IF(Inputs!$B$39="pvp",15,MAX(0.1,Skills!D17-IF(Skills!E17=TRUE,(Inputs!$B$33+1),0))))+1)),0)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IFERROR(1/IF(Inputs!$B$39="pvp",15,MAX(0.1,Skills!D18-IF(Skills!E18=TRUE,(Inputs!$B$33+1),0))),0)</f>
        <v/>
      </c>
      <c r="R1141">
        <f>IF(AND(Inputs!$B$39&lt;&gt;"pvp",Inputs!$B$44&gt;0),IF(Inputs!$B$44&lt;=0,0,(INT(Inputs!$B$44/IF(Inputs!$B$39="pvp",15,MAX(0.1,Skills!D18-IF(Skills!E18=TRUE,(Inputs!$B$33+1),0))))+1)),0)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IFERROR(1/IF(Inputs!$B$39="pvp",15,MAX(0.1,Skills!D19-IF(Skills!E19=TRUE,(Inputs!$B$33+1),0))),0)</f>
        <v/>
      </c>
      <c r="R1142">
        <f>IF(AND(Inputs!$B$39&lt;&gt;"pvp",Inputs!$B$44&gt;0),IF(Inputs!$B$44&lt;=0,0,(INT(Inputs!$B$44/IF(Inputs!$B$39="pvp",15,MAX(0.1,Skills!D19-IF(Skills!E19=TRUE,(Inputs!$B$33+1),0))))+1)),0)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IFERROR(1/IF(Inputs!$B$39="pvp",15,MAX(0.1,Skills!D20-IF(Skills!E20=TRUE,(Inputs!$B$33+1),0))),0)</f>
        <v/>
      </c>
      <c r="R1143">
        <f>IF(AND(Inputs!$B$39&lt;&gt;"pvp",Inputs!$B$44&gt;0),IF(Inputs!$B$44&lt;=0,0,(INT(Inputs!$B$44/IF(Inputs!$B$39="pvp",15,MAX(0.1,Skills!D20-IF(Skills!E20=TRUE,(Inputs!$B$33+1),0))))+1)),0)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Skills!T18*(1+Inputs!$B$35/100))+MIN((Skills!T18*(1+Inputs!$B$35/100)),MAX(0,Inputs!$B$44-((R1141-1)*Skills!D18))))/Inputs!$B$44),IF(Inputs!$B$39="pvp",MIN((Skills!T18*(1+Inputs!$B$35/100)),15)/15,(Skills!T18*(1+Inputs!$B$35/100))/Skills!D18)))</f>
        <v/>
      </c>
    </row>
    <row r="1153">
      <c r="A1153" t="inlineStr">
        <is>
          <t>Attack Speed Buff Bonus %</t>
        </is>
      </c>
      <c r="B1153">
        <f>((C1143=TRUE)*F1143*IF(AND(Inputs!$B$39&lt;&gt;"pvp",Inputs!$B$44&gt;0),(((R1143-1)*(Skills!T20*(1+Inputs!$B$35/100))+MIN((Skills!T20*(1+Inputs!$B$35/100)),MAX(0,Inputs!$B$44-((R1143-1)*Skills!D20))))/Inputs!$B$44),IF(Inputs!$B$39="pvp",MIN((Skills!T20*(1+Inputs!$B$35/100)),15)/15,(Skills!T20*(1+Inputs!$B$35/100))/Skills!D20)))</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Skills!T19*(1+Inputs!$B$35/100))+MIN((Skills!T19*(1+Inputs!$B$35/100)),MAX(0,Inputs!$B$44-((R1142-1)*Skills!D19))))/Inputs!$B$44),IF(Inputs!$B$39="pvp",MIN((Skills!T19*(1+Inputs!$B$35/100)),15)/15,(Skills!T19*(1+Inputs!$B$35/100))/Skills!D19)))</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IFERROR(1/IF(Inputs!$B$39="pvp",15,MAX(0.1,Skills!D5-IF(Skills!E5=TRUE,Inputs!$B$33,0))),0)</f>
        <v/>
      </c>
      <c r="R1170">
        <f>IF(AND(Inputs!$B$39&lt;&gt;"pvp",Inputs!$B$44&gt;0),IF(MAX(0,Inputs!$B$44-B1201)&lt;=0,0,(INT(MAX(0,Inputs!$B$44-B1201)/IF(Inputs!$B$39="pvp",15,MAX(0.1,Skills!D5-IF(Skills!E5=TRUE,Inputs!$B$33,0))))+1)),0)</f>
        <v/>
      </c>
      <c r="S1170">
        <f>IFERROR(O1170/N1170,0)</f>
        <v/>
      </c>
      <c r="T1170">
        <f>IF(C1170,(H1170*N1170*IF(AND(Inputs!$B$39&lt;&gt;"pvp",Inputs!$B$44&gt;0),((Skills!G5*((R1170-1)*IF(Skills!H5&gt;0,Skills!I5/Skills!H5,1)+IF(Skills!H5&gt;0,MIN(Skills!I5,MAX(0,MAX(0,Inputs!$B$44-B1201)-((R1170-1)*IF(Inputs!$B$39="pvp",15,MAX(0.1,Skills!D5-IF(Skills!E5=TRUE,Inputs!$B$33,0))))))/Skills!H5,1)))/Inputs!$B$44),G1170*Q1170))*IF(Inputs!$B$39="pvp",1,1+(Inputs!$B$21+0+Skills!P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Skills!E5=TRUE,Inputs!$B$33,0))))))/Skills!H5,1)))/Inputs!$B$44),G1170*Q1170))*IF(Inputs!$B$39="pvp",1,(1+(Inputs!$B$22+Skills!Q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IFERROR(1/IF(Inputs!$B$39="pvp",15,MAX(0.1,Skills!D6-IF(Skills!E6=TRUE,Inputs!$B$33,0))),0)</f>
        <v/>
      </c>
      <c r="R1171">
        <f>IF(AND(Inputs!$B$39&lt;&gt;"pvp",Inputs!$B$44&gt;0),IF(MAX(0,Inputs!$B$44-B1201)&lt;=0,0,(INT(MAX(0,Inputs!$B$44-B1201)/IF(Inputs!$B$39="pvp",15,MAX(0.1,Skills!D6-IF(Skills!E6=TRUE,Inputs!$B$33,0))))+1)),0)</f>
        <v/>
      </c>
      <c r="S1171">
        <f>IFERROR(O1171/N1171,0)</f>
        <v/>
      </c>
      <c r="T1171">
        <f>IF(C1171,(H1171*N1171*IF(AND(Inputs!$B$39&lt;&gt;"pvp",Inputs!$B$44&gt;0),((Skills!G6*((R1171-1)*IF(Skills!H6&gt;0,Skills!I6/Skills!H6,1)+IF(Skills!H6&gt;0,MIN(Skills!I6,MAX(0,MAX(0,Inputs!$B$44-B1201)-((R1171-1)*IF(Inputs!$B$39="pvp",15,MAX(0.1,Skills!D6-IF(Skills!E6=TRUE,Inputs!$B$33,0))))))/Skills!H6,1)))/Inputs!$B$44),G1171*Q1171))*IF(Inputs!$B$39="pvp",1,1+(Inputs!$B$21+0+Skills!P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Skills!E6=TRUE,Inputs!$B$33,0))))))/Skills!H6,1)))/Inputs!$B$44),G1171*Q1171))*IF(Inputs!$B$39="pvp",1,(1+(Inputs!$B$22+Skills!Q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IFERROR(1/IF(Inputs!$B$39="pvp",15,MAX(0.1,Skills!D7-IF(Skills!E7=TRUE,Inputs!$B$33,0))),0)</f>
        <v/>
      </c>
      <c r="R1172">
        <f>IF(AND(Inputs!$B$39&lt;&gt;"pvp",Inputs!$B$44&gt;0),IF(MAX(0,Inputs!$B$44-B1201)&lt;=0,0,(INT(MAX(0,Inputs!$B$44-B1201)/IF(Inputs!$B$39="pvp",15,MAX(0.1,Skills!D7-IF(Skills!E7=TRUE,Inputs!$B$33,0))))+1)),0)</f>
        <v/>
      </c>
      <c r="S1172">
        <f>IFERROR(O1172/N1172,0)</f>
        <v/>
      </c>
      <c r="T1172">
        <f>IF(C1172,(H1172*N1172*IF(AND(Inputs!$B$39&lt;&gt;"pvp",Inputs!$B$44&gt;0),((Skills!G7*((R1172-1)*IF(Skills!H7&gt;0,Skills!I7/Skills!H7,1)+IF(Skills!H7&gt;0,MIN(Skills!I7,MAX(0,MAX(0,Inputs!$B$44-B1201)-((R1172-1)*IF(Inputs!$B$39="pvp",15,MAX(0.1,Skills!D7-IF(Skills!E7=TRUE,Inputs!$B$33,0))))))/Skills!H7,1)))/Inputs!$B$44),G1172*Q1172))*IF(Inputs!$B$39="pvp",1,1+(Inputs!$B$21+0+Skills!P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Skills!E7=TRUE,Inputs!$B$33,0))))))/Skills!H7,1)))/Inputs!$B$44),G1172*Q1172))*IF(Inputs!$B$39="pvp",1,(1+(Inputs!$B$22+Skills!Q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IFERROR(1/IF(Inputs!$B$39="pvp",15,MAX(0.1,Skills!D9-IF(Skills!E9=TRUE,Inputs!$B$33,0))),0)</f>
        <v/>
      </c>
      <c r="R1174">
        <f>IF(AND(Inputs!$B$39&lt;&gt;"pvp",Inputs!$B$44&gt;0),IF(MAX(0,Inputs!$B$44-B1201)&lt;=0,0,(INT(MAX(0,Inputs!$B$44-B1201)/IF(Inputs!$B$39="pvp",15,MAX(0.1,Skills!D9-IF(Skills!E9=TRUE,Inputs!$B$33,0))))+1)),0)</f>
        <v/>
      </c>
      <c r="S1174">
        <f>IFERROR(O1174/N1174,0)</f>
        <v/>
      </c>
      <c r="T1174">
        <f>IF(C1174,(H1174*N1174*IF(AND(Inputs!$B$39&lt;&gt;"pvp",Inputs!$B$44&gt;0),((Skills!G9*((R1174-1)*IF(Skills!H9&gt;0,Skills!I9/Skills!H9,1)+IF(Skills!H9&gt;0,MIN(Skills!I9,MAX(0,MAX(0,Inputs!$B$44-B1201)-((R1174-1)*IF(Inputs!$B$39="pvp",15,MAX(0.1,Skills!D9-IF(Skills!E9=TRUE,Inputs!$B$33,0))))))/Skills!H9,1)))/Inputs!$B$44),G1174*Q1174))*IF(Inputs!$B$39="pvp",1,1+(Inputs!$B$21+0+Skills!P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Skills!E9=TRUE,Inputs!$B$33,0))))))/Skills!H9,1)))/Inputs!$B$44),G1174*Q1174))*IF(Inputs!$B$39="pvp",1,(1+(Inputs!$B$22+Skills!Q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IFERROR(1/IF(Inputs!$B$39="pvp",15,MAX(0.1,Skills!D10-IF(Skills!E10=TRUE,Inputs!$B$33,0))),0)</f>
        <v/>
      </c>
      <c r="R1175">
        <f>IF(AND(Inputs!$B$39&lt;&gt;"pvp",Inputs!$B$44&gt;0),IF(MAX(0,Inputs!$B$44-B1201)&lt;=0,0,(INT(MAX(0,Inputs!$B$44-B1201)/IF(Inputs!$B$39="pvp",15,MAX(0.1,Skills!D10-IF(Skills!E10=TRUE,Inputs!$B$33,0))))+1)),0)</f>
        <v/>
      </c>
      <c r="S1175">
        <f>IFERROR(O1175/N1175,0)</f>
        <v/>
      </c>
      <c r="T1175">
        <f>IF(C1175,(H1175*N1175*IF(AND(Inputs!$B$39&lt;&gt;"pvp",Inputs!$B$44&gt;0),((Skills!G10*((R1175-1)*IF(Skills!H10&gt;0,Skills!I10/Skills!H10,1)+IF(Skills!H10&gt;0,MIN(Skills!I10,MAX(0,MAX(0,Inputs!$B$44-B1201)-((R1175-1)*IF(Inputs!$B$39="pvp",15,MAX(0.1,Skills!D10-IF(Skills!E10=TRUE,Inputs!$B$33,0))))))/Skills!H10,1)))/Inputs!$B$44),G1175*Q1175))*IF(Inputs!$B$39="pvp",1,1+(Inputs!$B$21+0+Skills!P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Skills!E10=TRUE,Inputs!$B$33,0))))))/Skills!H10,1)))/Inputs!$B$44),G1175*Q1175))*IF(Inputs!$B$39="pvp",1,(1+(Inputs!$B$22+Skills!Q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IFERROR(1/IF(Inputs!$B$39="pvp",15,MAX(0.1,Skills!D12-IF(Skills!E12=TRUE,Inputs!$B$33,0))),0)</f>
        <v/>
      </c>
      <c r="R1177">
        <f>IF(AND(Inputs!$B$39&lt;&gt;"pvp",Inputs!$B$44&gt;0),IF(MAX(0,Inputs!$B$44-B1201)&lt;=0,0,(INT(MAX(0,Inputs!$B$44-B1201)/IF(Inputs!$B$39="pvp",15,MAX(0.1,Skills!D12-IF(Skills!E12=TRUE,Inputs!$B$33,0))))+1)),0)</f>
        <v/>
      </c>
      <c r="S1177">
        <f>IFERROR(O1177/N1177,0)</f>
        <v/>
      </c>
      <c r="T1177">
        <f>IF(C1177,(H1177*N1177*IF(AND(Inputs!$B$39&lt;&gt;"pvp",Inputs!$B$44&gt;0),((Skills!G12*((R1177-1)*IF(Skills!H12&gt;0,Skills!I12/Skills!H12,1)+IF(Skills!H12&gt;0,MIN(Skills!I12,MAX(0,MAX(0,Inputs!$B$44-B1201)-((R1177-1)*IF(Inputs!$B$39="pvp",15,MAX(0.1,Skills!D12-IF(Skills!E12=TRUE,Inputs!$B$33,0))))))/Skills!H12,1)))/Inputs!$B$44),G1177*Q1177))*IF(Inputs!$B$39="pvp",1,1+(Inputs!$B$21+0+Skills!P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Skills!E12=TRUE,Inputs!$B$33,0))))))/Skills!H12,1)))/Inputs!$B$44),G1177*Q1177))*IF(Inputs!$B$39="pvp",1,(1+(Inputs!$B$22+Skills!Q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IFERROR(1/IF(Inputs!$B$39="pvp",15,MAX(0.1,Skills!D13-IF(Skills!E13=TRUE,Inputs!$B$33,0))),0)</f>
        <v/>
      </c>
      <c r="R1178">
        <f>IF(AND(Inputs!$B$39&lt;&gt;"pvp",Inputs!$B$44&gt;0),IF(Inputs!$B$44&lt;=0,0,(INT(Inputs!$B$44/IF(Inputs!$B$39="pvp",15,MAX(0.1,Skills!D13-IF(Skills!E13=TRUE,Inputs!$B$33,0))))+1)),0)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IFERROR(1/IF(Inputs!$B$39="pvp",15,MAX(0.1,Skills!D14-IF(Skills!E14=TRUE,Inputs!$B$33,0))),0)</f>
        <v/>
      </c>
      <c r="R1179">
        <f>IF(AND(Inputs!$B$39&lt;&gt;"pvp",Inputs!$B$44&gt;0),IF(Inputs!$B$44&lt;=0,0,(INT(Inputs!$B$44/IF(Inputs!$B$39="pvp",15,MAX(0.1,Skills!D14-IF(Skills!E14=TRUE,Inputs!$B$33,0))))+1)),0)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IFERROR(1/IF(Inputs!$B$39="pvp",15,MAX(0.1,Skills!D15-IF(Skills!E15=TRUE,Inputs!$B$33,0))),0)</f>
        <v/>
      </c>
      <c r="R1180">
        <f>IF(AND(Inputs!$B$39&lt;&gt;"pvp",Inputs!$B$44&gt;0),IF(Inputs!$B$44&lt;=0,0,(INT(Inputs!$B$44/IF(Inputs!$B$39="pvp",15,MAX(0.1,Skills!D15-IF(Skills!E15=TRUE,Inputs!$B$33,0))))+1)),0)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IFERROR(1/IF(Inputs!$B$39="pvp",15,MAX(0.1,Skills!D16-IF(Skills!E16=TRUE,Inputs!$B$33,0))),0)</f>
        <v/>
      </c>
      <c r="R1181">
        <f>IF(AND(Inputs!$B$39&lt;&gt;"pvp",Inputs!$B$44&gt;0),IF(Inputs!$B$44&lt;=0,0,(INT(Inputs!$B$44/IF(Inputs!$B$39="pvp",15,MAX(0.1,Skills!D16-IF(Skills!E16=TRUE,Inputs!$B$33,0))))+1)),0)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IFERROR(1/IF(Inputs!$B$39="pvp",15,MAX(0.1,Skills!D17-IF(Skills!E17=TRUE,Inputs!$B$33,0))),0)</f>
        <v/>
      </c>
      <c r="R1182">
        <f>IF(AND(Inputs!$B$39&lt;&gt;"pvp",Inputs!$B$44&gt;0),IF(Inputs!$B$44&lt;=0,0,(INT(Inputs!$B$44/IF(Inputs!$B$39="pvp",15,MAX(0.1,Skills!D17-IF(Skills!E17=TRUE,Inputs!$B$33,0))))+1)),0)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IFERROR(1/IF(Inputs!$B$39="pvp",15,MAX(0.1,Skills!D18-IF(Skills!E18=TRUE,Inputs!$B$33,0))),0)</f>
        <v/>
      </c>
      <c r="R1183">
        <f>IF(AND(Inputs!$B$39&lt;&gt;"pvp",Inputs!$B$44&gt;0),IF(Inputs!$B$44&lt;=0,0,(INT(Inputs!$B$44/IF(Inputs!$B$39="pvp",15,MAX(0.1,Skills!D18-IF(Skills!E18=TRUE,Inputs!$B$33,0))))+1)),0)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IFERROR(1/IF(Inputs!$B$39="pvp",15,MAX(0.1,Skills!D19-IF(Skills!E19=TRUE,Inputs!$B$33,0))),0)</f>
        <v/>
      </c>
      <c r="R1184">
        <f>IF(AND(Inputs!$B$39&lt;&gt;"pvp",Inputs!$B$44&gt;0),IF(Inputs!$B$44&lt;=0,0,(INT(Inputs!$B$44/IF(Inputs!$B$39="pvp",15,MAX(0.1,Skills!D19-IF(Skills!E19=TRUE,Inputs!$B$33,0))))+1)),0)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IFERROR(1/IF(Inputs!$B$39="pvp",15,MAX(0.1,Skills!D20-IF(Skills!E20=TRUE,Inputs!$B$33,0))),0)</f>
        <v/>
      </c>
      <c r="R1185">
        <f>IF(AND(Inputs!$B$39&lt;&gt;"pvp",Inputs!$B$44&gt;0),IF(Inputs!$B$44&lt;=0,0,(INT(Inputs!$B$44/IF(Inputs!$B$39="pvp",15,MAX(0.1,Skills!D20-IF(Skills!E20=TRUE,Inputs!$B$33,0))))+1)),0)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Skills!T18*(1+Inputs!$B$35/100))+MIN((Skills!T18*(1+Inputs!$B$35/100)),MAX(0,Inputs!$B$44-((R1183-1)*Skills!D18))))/Inputs!$B$44),IF(Inputs!$B$39="pvp",MIN((Skills!T18*(1+Inputs!$B$35/100)),15)/15,(Skills!T18*(1+Inputs!$B$35/100))/Skills!D18)))</f>
        <v/>
      </c>
    </row>
    <row r="1195">
      <c r="A1195" t="inlineStr">
        <is>
          <t>Attack Speed Buff Bonus %</t>
        </is>
      </c>
      <c r="B1195">
        <f>((C1185=TRUE)*F1185*IF(AND(Inputs!$B$39&lt;&gt;"pvp",Inputs!$B$44&gt;0),(((R1185-1)*(Skills!T20*(1+Inputs!$B$35/100))+MIN((Skills!T20*(1+Inputs!$B$35/100)),MAX(0,Inputs!$B$44-((R1185-1)*Skills!D20))))/Inputs!$B$44),IF(Inputs!$B$39="pvp",MIN((Skills!T20*(1+Inputs!$B$35/100)),15)/15,(Skills!T20*(1+Inputs!$B$35/100))/Skills!D20)))</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Skills!T19*(1+Inputs!$B$35/100))+MIN((Skills!T19*(1+Inputs!$B$35/100)),MAX(0,Inputs!$B$44-((R1184-1)*Skills!D19))))/Inputs!$B$44),IF(Inputs!$B$39="pvp",MIN((Skills!T19*(1+Inputs!$B$35/100)),15)/15,(Skills!T19*(1+Inputs!$B$35/100))/Skills!D19)))</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IFERROR(1/IF(Inputs!$B$39="pvp",15,MAX(0.1,Skills!D5-IF(Skills!E5=TRUE,Inputs!$B$33,0))),0)</f>
        <v/>
      </c>
      <c r="R1212">
        <f>IF(AND(Inputs!$B$39&lt;&gt;"pvp",Inputs!$B$44&gt;0),IF(MAX(0,Inputs!$B$44-B1243)&lt;=0,0,(INT(MAX(0,Inputs!$B$44-B1243)/IF(Inputs!$B$39="pvp",15,MAX(0.1,Skills!D5-IF(Skills!E5=TRUE,Inputs!$B$33,0))))+1)),0)</f>
        <v/>
      </c>
      <c r="S1212">
        <f>IFERROR(O1212/N1212,0)</f>
        <v/>
      </c>
      <c r="T1212">
        <f>IF(C1212,(H1212*N1212*IF(AND(Inputs!$B$39&lt;&gt;"pvp",Inputs!$B$44&gt;0),((Skills!G5*((R1212-1)*IF(Skills!H5&gt;0,Skills!I5/Skills!H5,1)+IF(Skills!H5&gt;0,MIN(Skills!I5,MAX(0,MAX(0,Inputs!$B$44-B1243)-((R1212-1)*IF(Inputs!$B$39="pvp",15,MAX(0.1,Skills!D5-IF(Skills!E5=TRUE,Inputs!$B$33,0))))))/Skills!H5,1)))/Inputs!$B$44),G1212*Q1212))*IF(Inputs!$B$39="pvp",1,1+(Inputs!$B$21+0+Skills!P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Skills!E5=TRUE,Inputs!$B$33,0))))))/Skills!H5,1)))/Inputs!$B$44),G1212*Q1212))*IF(Inputs!$B$39="pvp",1,(1+(Inputs!$B$22+Skills!Q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IFERROR(1/IF(Inputs!$B$39="pvp",15,MAX(0.1,Skills!D6-IF(Skills!E6=TRUE,Inputs!$B$33,0))),0)</f>
        <v/>
      </c>
      <c r="R1213">
        <f>IF(AND(Inputs!$B$39&lt;&gt;"pvp",Inputs!$B$44&gt;0),IF(MAX(0,Inputs!$B$44-B1243)&lt;=0,0,(INT(MAX(0,Inputs!$B$44-B1243)/IF(Inputs!$B$39="pvp",15,MAX(0.1,Skills!D6-IF(Skills!E6=TRUE,Inputs!$B$33,0))))+1)),0)</f>
        <v/>
      </c>
      <c r="S1213">
        <f>IFERROR(O1213/N1213,0)</f>
        <v/>
      </c>
      <c r="T1213">
        <f>IF(C1213,(H1213*N1213*IF(AND(Inputs!$B$39&lt;&gt;"pvp",Inputs!$B$44&gt;0),((Skills!G6*((R1213-1)*IF(Skills!H6&gt;0,Skills!I6/Skills!H6,1)+IF(Skills!H6&gt;0,MIN(Skills!I6,MAX(0,MAX(0,Inputs!$B$44-B1243)-((R1213-1)*IF(Inputs!$B$39="pvp",15,MAX(0.1,Skills!D6-IF(Skills!E6=TRUE,Inputs!$B$33,0))))))/Skills!H6,1)))/Inputs!$B$44),G1213*Q1213))*IF(Inputs!$B$39="pvp",1,1+(Inputs!$B$21+0+Skills!P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Skills!E6=TRUE,Inputs!$B$33,0))))))/Skills!H6,1)))/Inputs!$B$44),G1213*Q1213))*IF(Inputs!$B$39="pvp",1,(1+(Inputs!$B$22+Skills!Q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IFERROR(1/IF(Inputs!$B$39="pvp",15,MAX(0.1,Skills!D7-IF(Skills!E7=TRUE,Inputs!$B$33,0))),0)</f>
        <v/>
      </c>
      <c r="R1214">
        <f>IF(AND(Inputs!$B$39&lt;&gt;"pvp",Inputs!$B$44&gt;0),IF(MAX(0,Inputs!$B$44-B1243)&lt;=0,0,(INT(MAX(0,Inputs!$B$44-B1243)/IF(Inputs!$B$39="pvp",15,MAX(0.1,Skills!D7-IF(Skills!E7=TRUE,Inputs!$B$33,0))))+1)),0)</f>
        <v/>
      </c>
      <c r="S1214">
        <f>IFERROR(O1214/N1214,0)</f>
        <v/>
      </c>
      <c r="T1214">
        <f>IF(C1214,(H1214*N1214*IF(AND(Inputs!$B$39&lt;&gt;"pvp",Inputs!$B$44&gt;0),((Skills!G7*((R1214-1)*IF(Skills!H7&gt;0,Skills!I7/Skills!H7,1)+IF(Skills!H7&gt;0,MIN(Skills!I7,MAX(0,MAX(0,Inputs!$B$44-B1243)-((R1214-1)*IF(Inputs!$B$39="pvp",15,MAX(0.1,Skills!D7-IF(Skills!E7=TRUE,Inputs!$B$33,0))))))/Skills!H7,1)))/Inputs!$B$44),G1214*Q1214))*IF(Inputs!$B$39="pvp",1,1+(Inputs!$B$21+0+Skills!P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Skills!E7=TRUE,Inputs!$B$33,0))))))/Skills!H7,1)))/Inputs!$B$44),G1214*Q1214))*IF(Inputs!$B$39="pvp",1,(1+(Inputs!$B$22+Skills!Q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IFERROR(1/IF(Inputs!$B$39="pvp",15,MAX(0.1,Skills!D9-IF(Skills!E9=TRUE,Inputs!$B$33,0))),0)</f>
        <v/>
      </c>
      <c r="R1216">
        <f>IF(AND(Inputs!$B$39&lt;&gt;"pvp",Inputs!$B$44&gt;0),IF(MAX(0,Inputs!$B$44-B1243)&lt;=0,0,(INT(MAX(0,Inputs!$B$44-B1243)/IF(Inputs!$B$39="pvp",15,MAX(0.1,Skills!D9-IF(Skills!E9=TRUE,Inputs!$B$33,0))))+1)),0)</f>
        <v/>
      </c>
      <c r="S1216">
        <f>IFERROR(O1216/N1216,0)</f>
        <v/>
      </c>
      <c r="T1216">
        <f>IF(C1216,(H1216*N1216*IF(AND(Inputs!$B$39&lt;&gt;"pvp",Inputs!$B$44&gt;0),((Skills!G9*((R1216-1)*IF(Skills!H9&gt;0,Skills!I9/Skills!H9,1)+IF(Skills!H9&gt;0,MIN(Skills!I9,MAX(0,MAX(0,Inputs!$B$44-B1243)-((R1216-1)*IF(Inputs!$B$39="pvp",15,MAX(0.1,Skills!D9-IF(Skills!E9=TRUE,Inputs!$B$33,0))))))/Skills!H9,1)))/Inputs!$B$44),G1216*Q1216))*IF(Inputs!$B$39="pvp",1,1+(Inputs!$B$21+0+Skills!P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Skills!E9=TRUE,Inputs!$B$33,0))))))/Skills!H9,1)))/Inputs!$B$44),G1216*Q1216))*IF(Inputs!$B$39="pvp",1,(1+(Inputs!$B$22+Skills!Q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IFERROR(1/IF(Inputs!$B$39="pvp",15,MAX(0.1,Skills!D10-IF(Skills!E10=TRUE,Inputs!$B$33,0))),0)</f>
        <v/>
      </c>
      <c r="R1217">
        <f>IF(AND(Inputs!$B$39&lt;&gt;"pvp",Inputs!$B$44&gt;0),IF(MAX(0,Inputs!$B$44-B1243)&lt;=0,0,(INT(MAX(0,Inputs!$B$44-B1243)/IF(Inputs!$B$39="pvp",15,MAX(0.1,Skills!D10-IF(Skills!E10=TRUE,Inputs!$B$33,0))))+1)),0)</f>
        <v/>
      </c>
      <c r="S1217">
        <f>IFERROR(O1217/N1217,0)</f>
        <v/>
      </c>
      <c r="T1217">
        <f>IF(C1217,(H1217*N1217*IF(AND(Inputs!$B$39&lt;&gt;"pvp",Inputs!$B$44&gt;0),((Skills!G10*((R1217-1)*IF(Skills!H10&gt;0,Skills!I10/Skills!H10,1)+IF(Skills!H10&gt;0,MIN(Skills!I10,MAX(0,MAX(0,Inputs!$B$44-B1243)-((R1217-1)*IF(Inputs!$B$39="pvp",15,MAX(0.1,Skills!D10-IF(Skills!E10=TRUE,Inputs!$B$33,0))))))/Skills!H10,1)))/Inputs!$B$44),G1217*Q1217))*IF(Inputs!$B$39="pvp",1,1+(Inputs!$B$21+0+Skills!P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Skills!E10=TRUE,Inputs!$B$33,0))))))/Skills!H10,1)))/Inputs!$B$44),G1217*Q1217))*IF(Inputs!$B$39="pvp",1,(1+(Inputs!$B$22+Skills!Q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IFERROR(1/IF(Inputs!$B$39="pvp",15,MAX(0.1,Skills!D12-IF(Skills!E12=TRUE,Inputs!$B$33,0))),0)</f>
        <v/>
      </c>
      <c r="R1219">
        <f>IF(AND(Inputs!$B$39&lt;&gt;"pvp",Inputs!$B$44&gt;0),IF(MAX(0,Inputs!$B$44-B1243)&lt;=0,0,(INT(MAX(0,Inputs!$B$44-B1243)/IF(Inputs!$B$39="pvp",15,MAX(0.1,Skills!D12-IF(Skills!E12=TRUE,Inputs!$B$33,0))))+1)),0)</f>
        <v/>
      </c>
      <c r="S1219">
        <f>IFERROR(O1219/N1219,0)</f>
        <v/>
      </c>
      <c r="T1219">
        <f>IF(C1219,(H1219*N1219*IF(AND(Inputs!$B$39&lt;&gt;"pvp",Inputs!$B$44&gt;0),((Skills!G12*((R1219-1)*IF(Skills!H12&gt;0,Skills!I12/Skills!H12,1)+IF(Skills!H12&gt;0,MIN(Skills!I12,MAX(0,MAX(0,Inputs!$B$44-B1243)-((R1219-1)*IF(Inputs!$B$39="pvp",15,MAX(0.1,Skills!D12-IF(Skills!E12=TRUE,Inputs!$B$33,0))))))/Skills!H12,1)))/Inputs!$B$44),G1219*Q1219))*IF(Inputs!$B$39="pvp",1,1+(Inputs!$B$21+0+Skills!P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Skills!E12=TRUE,Inputs!$B$33,0))))))/Skills!H12,1)))/Inputs!$B$44),G1219*Q1219))*IF(Inputs!$B$39="pvp",1,(1+(Inputs!$B$22+Skills!Q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IFERROR(1/IF(Inputs!$B$39="pvp",15,MAX(0.1,Skills!D13-IF(Skills!E13=TRUE,Inputs!$B$33,0))),0)</f>
        <v/>
      </c>
      <c r="R1220">
        <f>IF(AND(Inputs!$B$39&lt;&gt;"pvp",Inputs!$B$44&gt;0),IF(Inputs!$B$44&lt;=0,0,(INT(Inputs!$B$44/IF(Inputs!$B$39="pvp",15,MAX(0.1,Skills!D13-IF(Skills!E13=TRUE,Inputs!$B$33,0))))+1)),0)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IFERROR(1/IF(Inputs!$B$39="pvp",15,MAX(0.1,Skills!D14-IF(Skills!E14=TRUE,Inputs!$B$33,0))),0)</f>
        <v/>
      </c>
      <c r="R1221">
        <f>IF(AND(Inputs!$B$39&lt;&gt;"pvp",Inputs!$B$44&gt;0),IF(Inputs!$B$44&lt;=0,0,(INT(Inputs!$B$44/IF(Inputs!$B$39="pvp",15,MAX(0.1,Skills!D14-IF(Skills!E14=TRUE,Inputs!$B$33,0))))+1)),0)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IFERROR(1/IF(Inputs!$B$39="pvp",15,MAX(0.1,Skills!D15-IF(Skills!E15=TRUE,Inputs!$B$33,0))),0)</f>
        <v/>
      </c>
      <c r="R1222">
        <f>IF(AND(Inputs!$B$39&lt;&gt;"pvp",Inputs!$B$44&gt;0),IF(Inputs!$B$44&lt;=0,0,(INT(Inputs!$B$44/IF(Inputs!$B$39="pvp",15,MAX(0.1,Skills!D15-IF(Skills!E15=TRUE,Inputs!$B$33,0))))+1)),0)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IFERROR(1/IF(Inputs!$B$39="pvp",15,MAX(0.1,Skills!D16-IF(Skills!E16=TRUE,Inputs!$B$33,0))),0)</f>
        <v/>
      </c>
      <c r="R1223">
        <f>IF(AND(Inputs!$B$39&lt;&gt;"pvp",Inputs!$B$44&gt;0),IF(Inputs!$B$44&lt;=0,0,(INT(Inputs!$B$44/IF(Inputs!$B$39="pvp",15,MAX(0.1,Skills!D16-IF(Skills!E16=TRUE,Inputs!$B$33,0))))+1)),0)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IFERROR(1/IF(Inputs!$B$39="pvp",15,MAX(0.1,Skills!D17-IF(Skills!E17=TRUE,Inputs!$B$33,0))),0)</f>
        <v/>
      </c>
      <c r="R1224">
        <f>IF(AND(Inputs!$B$39&lt;&gt;"pvp",Inputs!$B$44&gt;0),IF(Inputs!$B$44&lt;=0,0,(INT(Inputs!$B$44/IF(Inputs!$B$39="pvp",15,MAX(0.1,Skills!D17-IF(Skills!E17=TRUE,Inputs!$B$33,0))))+1)),0)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IFERROR(1/IF(Inputs!$B$39="pvp",15,MAX(0.1,Skills!D18-IF(Skills!E18=TRUE,Inputs!$B$33,0))),0)</f>
        <v/>
      </c>
      <c r="R1225">
        <f>IF(AND(Inputs!$B$39&lt;&gt;"pvp",Inputs!$B$44&gt;0),IF(Inputs!$B$44&lt;=0,0,(INT(Inputs!$B$44/IF(Inputs!$B$39="pvp",15,MAX(0.1,Skills!D18-IF(Skills!E18=TRUE,Inputs!$B$33,0))))+1)),0)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IFERROR(1/IF(Inputs!$B$39="pvp",15,MAX(0.1,Skills!D19-IF(Skills!E19=TRUE,Inputs!$B$33,0))),0)</f>
        <v/>
      </c>
      <c r="R1226">
        <f>IF(AND(Inputs!$B$39&lt;&gt;"pvp",Inputs!$B$44&gt;0),IF(Inputs!$B$44&lt;=0,0,(INT(Inputs!$B$44/IF(Inputs!$B$39="pvp",15,MAX(0.1,Skills!D19-IF(Skills!E19=TRUE,Inputs!$B$33,0))))+1)),0)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IFERROR(1/IF(Inputs!$B$39="pvp",15,MAX(0.1,Skills!D20-IF(Skills!E20=TRUE,Inputs!$B$33,0))),0)</f>
        <v/>
      </c>
      <c r="R1227">
        <f>IF(AND(Inputs!$B$39&lt;&gt;"pvp",Inputs!$B$44&gt;0),IF(Inputs!$B$44&lt;=0,0,(INT(Inputs!$B$44/IF(Inputs!$B$39="pvp",15,MAX(0.1,Skills!D20-IF(Skills!E20=TRUE,Inputs!$B$33,0))))+1)),0)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Skills!T18*(1+(Inputs!$B$35+1)/100))+MIN((Skills!T18*(1+(Inputs!$B$35+1)/100)),MAX(0,Inputs!$B$44-((R1225-1)*Skills!D18))))/Inputs!$B$44),IF(Inputs!$B$39="pvp",MIN((Skills!T18*(1+(Inputs!$B$35+1)/100)),15)/15,(Skills!T18*(1+(Inputs!$B$35+1)/100))/Skills!D18)))</f>
        <v/>
      </c>
    </row>
    <row r="1237">
      <c r="A1237" t="inlineStr">
        <is>
          <t>Attack Speed Buff Bonus %</t>
        </is>
      </c>
      <c r="B1237">
        <f>((C1227=TRUE)*F1227*IF(AND(Inputs!$B$39&lt;&gt;"pvp",Inputs!$B$44&gt;0),(((R1227-1)*(Skills!T20*(1+(Inputs!$B$35+1)/100))+MIN((Skills!T20*(1+(Inputs!$B$35+1)/100)),MAX(0,Inputs!$B$44-((R1227-1)*Skills!D20))))/Inputs!$B$44),IF(Inputs!$B$39="pvp",MIN((Skills!T20*(1+(Inputs!$B$35+1)/100)),15)/15,(Skills!T20*(1+(Inputs!$B$35+1)/100))/Skills!D20)))</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Skills!T19*(1+(Inputs!$B$35+1)/100))+MIN((Skills!T19*(1+(Inputs!$B$35+1)/100)),MAX(0,Inputs!$B$44-((R1226-1)*Skills!D19))))/Inputs!$B$44),IF(Inputs!$B$39="pvp",MIN((Skills!T19*(1+(Inputs!$B$35+1)/100)),15)/15,(Skills!T19*(1+(Inputs!$B$35+1)/100))/Skills!D19)))</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IFERROR(1/IF(Inputs!$B$39="pvp",15,MAX(0.1,Skills!D5-IF(Skills!E5=TRUE,Inputs!$B$33,0))),0)</f>
        <v/>
      </c>
      <c r="R1254">
        <f>IF(AND(Inputs!$B$39&lt;&gt;"pvp",Inputs!$B$44&gt;0),IF(MAX(0,Inputs!$B$44-B1285)&lt;=0,0,(INT(MAX(0,Inputs!$B$44-B1285)/IF(Inputs!$B$39="pvp",15,MAX(0.1,Skills!D5-IF(Skills!E5=TRUE,Inputs!$B$33,0))))+1)),0)</f>
        <v/>
      </c>
      <c r="S1254">
        <f>IFERROR(O1254/N1254,0)</f>
        <v/>
      </c>
      <c r="T1254">
        <f>IF(C1254,(H1254*N1254*IF(AND(Inputs!$B$39&lt;&gt;"pvp",Inputs!$B$44&gt;0),((Skills!G5*((R1254-1)*IF(Skills!H5&gt;0,Skills!I5/Skills!H5,1)+IF(Skills!H5&gt;0,MIN(Skills!I5,MAX(0,MAX(0,Inputs!$B$44-B1285)-((R1254-1)*IF(Inputs!$B$39="pvp",15,MAX(0.1,Skills!D5-IF(Skills!E5=TRUE,Inputs!$B$33,0))))))/Skills!H5,1)))/Inputs!$B$44),G1254*Q1254))*IF(Inputs!$B$39="pvp",1,1+(Inputs!$B$21+0+Skills!P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Skills!E5=TRUE,Inputs!$B$33,0))))))/Skills!H5,1)))/Inputs!$B$44),G1254*Q1254))*IF(Inputs!$B$39="pvp",1,(1+(Inputs!$B$22+Skills!Q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IFERROR(1/IF(Inputs!$B$39="pvp",15,MAX(0.1,Skills!D6-IF(Skills!E6=TRUE,Inputs!$B$33,0))),0)</f>
        <v/>
      </c>
      <c r="R1255">
        <f>IF(AND(Inputs!$B$39&lt;&gt;"pvp",Inputs!$B$44&gt;0),IF(MAX(0,Inputs!$B$44-B1285)&lt;=0,0,(INT(MAX(0,Inputs!$B$44-B1285)/IF(Inputs!$B$39="pvp",15,MAX(0.1,Skills!D6-IF(Skills!E6=TRUE,Inputs!$B$33,0))))+1)),0)</f>
        <v/>
      </c>
      <c r="S1255">
        <f>IFERROR(O1255/N1255,0)</f>
        <v/>
      </c>
      <c r="T1255">
        <f>IF(C1255,(H1255*N1255*IF(AND(Inputs!$B$39&lt;&gt;"pvp",Inputs!$B$44&gt;0),((Skills!G6*((R1255-1)*IF(Skills!H6&gt;0,Skills!I6/Skills!H6,1)+IF(Skills!H6&gt;0,MIN(Skills!I6,MAX(0,MAX(0,Inputs!$B$44-B1285)-((R1255-1)*IF(Inputs!$B$39="pvp",15,MAX(0.1,Skills!D6-IF(Skills!E6=TRUE,Inputs!$B$33,0))))))/Skills!H6,1)))/Inputs!$B$44),G1255*Q1255))*IF(Inputs!$B$39="pvp",1,1+(Inputs!$B$21+0+Skills!P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Skills!E6=TRUE,Inputs!$B$33,0))))))/Skills!H6,1)))/Inputs!$B$44),G1255*Q1255))*IF(Inputs!$B$39="pvp",1,(1+(Inputs!$B$22+Skills!Q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IFERROR(1/IF(Inputs!$B$39="pvp",15,MAX(0.1,Skills!D7-IF(Skills!E7=TRUE,Inputs!$B$33,0))),0)</f>
        <v/>
      </c>
      <c r="R1256">
        <f>IF(AND(Inputs!$B$39&lt;&gt;"pvp",Inputs!$B$44&gt;0),IF(MAX(0,Inputs!$B$44-B1285)&lt;=0,0,(INT(MAX(0,Inputs!$B$44-B1285)/IF(Inputs!$B$39="pvp",15,MAX(0.1,Skills!D7-IF(Skills!E7=TRUE,Inputs!$B$33,0))))+1)),0)</f>
        <v/>
      </c>
      <c r="S1256">
        <f>IFERROR(O1256/N1256,0)</f>
        <v/>
      </c>
      <c r="T1256">
        <f>IF(C1256,(H1256*N1256*IF(AND(Inputs!$B$39&lt;&gt;"pvp",Inputs!$B$44&gt;0),((Skills!G7*((R1256-1)*IF(Skills!H7&gt;0,Skills!I7/Skills!H7,1)+IF(Skills!H7&gt;0,MIN(Skills!I7,MAX(0,MAX(0,Inputs!$B$44-B1285)-((R1256-1)*IF(Inputs!$B$39="pvp",15,MAX(0.1,Skills!D7-IF(Skills!E7=TRUE,Inputs!$B$33,0))))))/Skills!H7,1)))/Inputs!$B$44),G1256*Q1256))*IF(Inputs!$B$39="pvp",1,1+(Inputs!$B$21+0+Skills!P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Skills!E7=TRUE,Inputs!$B$33,0))))))/Skills!H7,1)))/Inputs!$B$44),G1256*Q1256))*IF(Inputs!$B$39="pvp",1,(1+(Inputs!$B$22+Skills!Q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IFERROR(1/IF(Inputs!$B$39="pvp",15,MAX(0.1,Skills!D9-IF(Skills!E9=TRUE,Inputs!$B$33,0))),0)</f>
        <v/>
      </c>
      <c r="R1258">
        <f>IF(AND(Inputs!$B$39&lt;&gt;"pvp",Inputs!$B$44&gt;0),IF(MAX(0,Inputs!$B$44-B1285)&lt;=0,0,(INT(MAX(0,Inputs!$B$44-B1285)/IF(Inputs!$B$39="pvp",15,MAX(0.1,Skills!D9-IF(Skills!E9=TRUE,Inputs!$B$33,0))))+1)),0)</f>
        <v/>
      </c>
      <c r="S1258">
        <f>IFERROR(O1258/N1258,0)</f>
        <v/>
      </c>
      <c r="T1258">
        <f>IF(C1258,(H1258*N1258*IF(AND(Inputs!$B$39&lt;&gt;"pvp",Inputs!$B$44&gt;0),((Skills!G9*((R1258-1)*IF(Skills!H9&gt;0,Skills!I9/Skills!H9,1)+IF(Skills!H9&gt;0,MIN(Skills!I9,MAX(0,MAX(0,Inputs!$B$44-B1285)-((R1258-1)*IF(Inputs!$B$39="pvp",15,MAX(0.1,Skills!D9-IF(Skills!E9=TRUE,Inputs!$B$33,0))))))/Skills!H9,1)))/Inputs!$B$44),G1258*Q1258))*IF(Inputs!$B$39="pvp",1,1+(Inputs!$B$21+0+Skills!P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Skills!E9=TRUE,Inputs!$B$33,0))))))/Skills!H9,1)))/Inputs!$B$44),G1258*Q1258))*IF(Inputs!$B$39="pvp",1,(1+(Inputs!$B$22+Skills!Q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IFERROR(1/IF(Inputs!$B$39="pvp",15,MAX(0.1,Skills!D10-IF(Skills!E10=TRUE,Inputs!$B$33,0))),0)</f>
        <v/>
      </c>
      <c r="R1259">
        <f>IF(AND(Inputs!$B$39&lt;&gt;"pvp",Inputs!$B$44&gt;0),IF(MAX(0,Inputs!$B$44-B1285)&lt;=0,0,(INT(MAX(0,Inputs!$B$44-B1285)/IF(Inputs!$B$39="pvp",15,MAX(0.1,Skills!D10-IF(Skills!E10=TRUE,Inputs!$B$33,0))))+1)),0)</f>
        <v/>
      </c>
      <c r="S1259">
        <f>IFERROR(O1259/N1259,0)</f>
        <v/>
      </c>
      <c r="T1259">
        <f>IF(C1259,(H1259*N1259*IF(AND(Inputs!$B$39&lt;&gt;"pvp",Inputs!$B$44&gt;0),((Skills!G10*((R1259-1)*IF(Skills!H10&gt;0,Skills!I10/Skills!H10,1)+IF(Skills!H10&gt;0,MIN(Skills!I10,MAX(0,MAX(0,Inputs!$B$44-B1285)-((R1259-1)*IF(Inputs!$B$39="pvp",15,MAX(0.1,Skills!D10-IF(Skills!E10=TRUE,Inputs!$B$33,0))))))/Skills!H10,1)))/Inputs!$B$44),G1259*Q1259))*IF(Inputs!$B$39="pvp",1,1+(Inputs!$B$21+0+Skills!P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Skills!E10=TRUE,Inputs!$B$33,0))))))/Skills!H10,1)))/Inputs!$B$44),G1259*Q1259))*IF(Inputs!$B$39="pvp",1,(1+(Inputs!$B$22+Skills!Q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IFERROR(1/IF(Inputs!$B$39="pvp",15,MAX(0.1,Skills!D12-IF(Skills!E12=TRUE,Inputs!$B$33,0))),0)</f>
        <v/>
      </c>
      <c r="R1261">
        <f>IF(AND(Inputs!$B$39&lt;&gt;"pvp",Inputs!$B$44&gt;0),IF(MAX(0,Inputs!$B$44-B1285)&lt;=0,0,(INT(MAX(0,Inputs!$B$44-B1285)/IF(Inputs!$B$39="pvp",15,MAX(0.1,Skills!D12-IF(Skills!E12=TRUE,Inputs!$B$33,0))))+1)),0)</f>
        <v/>
      </c>
      <c r="S1261">
        <f>IFERROR(O1261/N1261,0)</f>
        <v/>
      </c>
      <c r="T1261">
        <f>IF(C1261,(H1261*N1261*IF(AND(Inputs!$B$39&lt;&gt;"pvp",Inputs!$B$44&gt;0),((Skills!G12*((R1261-1)*IF(Skills!H12&gt;0,Skills!I12/Skills!H12,1)+IF(Skills!H12&gt;0,MIN(Skills!I12,MAX(0,MAX(0,Inputs!$B$44-B1285)-((R1261-1)*IF(Inputs!$B$39="pvp",15,MAX(0.1,Skills!D12-IF(Skills!E12=TRUE,Inputs!$B$33,0))))))/Skills!H12,1)))/Inputs!$B$44),G1261*Q1261))*IF(Inputs!$B$39="pvp",1,1+(Inputs!$B$21+0+Skills!P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Skills!E12=TRUE,Inputs!$B$33,0))))))/Skills!H12,1)))/Inputs!$B$44),G1261*Q1261))*IF(Inputs!$B$39="pvp",1,(1+(Inputs!$B$22+Skills!Q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IFERROR(1/IF(Inputs!$B$39="pvp",15,MAX(0.1,Skills!D13-IF(Skills!E13=TRUE,Inputs!$B$33,0))),0)</f>
        <v/>
      </c>
      <c r="R1262">
        <f>IF(AND(Inputs!$B$39&lt;&gt;"pvp",Inputs!$B$44&gt;0),IF(Inputs!$B$44&lt;=0,0,(INT(Inputs!$B$44/IF(Inputs!$B$39="pvp",15,MAX(0.1,Skills!D13-IF(Skills!E13=TRUE,Inputs!$B$33,0))))+1)),0)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IFERROR(1/IF(Inputs!$B$39="pvp",15,MAX(0.1,Skills!D14-IF(Skills!E14=TRUE,Inputs!$B$33,0))),0)</f>
        <v/>
      </c>
      <c r="R1263">
        <f>IF(AND(Inputs!$B$39&lt;&gt;"pvp",Inputs!$B$44&gt;0),IF(Inputs!$B$44&lt;=0,0,(INT(Inputs!$B$44/IF(Inputs!$B$39="pvp",15,MAX(0.1,Skills!D14-IF(Skills!E14=TRUE,Inputs!$B$33,0))))+1)),0)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IFERROR(1/IF(Inputs!$B$39="pvp",15,MAX(0.1,Skills!D15-IF(Skills!E15=TRUE,Inputs!$B$33,0))),0)</f>
        <v/>
      </c>
      <c r="R1264">
        <f>IF(AND(Inputs!$B$39&lt;&gt;"pvp",Inputs!$B$44&gt;0),IF(Inputs!$B$44&lt;=0,0,(INT(Inputs!$B$44/IF(Inputs!$B$39="pvp",15,MAX(0.1,Skills!D15-IF(Skills!E15=TRUE,Inputs!$B$33,0))))+1)),0)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IFERROR(1/IF(Inputs!$B$39="pvp",15,MAX(0.1,Skills!D16-IF(Skills!E16=TRUE,Inputs!$B$33,0))),0)</f>
        <v/>
      </c>
      <c r="R1265">
        <f>IF(AND(Inputs!$B$39&lt;&gt;"pvp",Inputs!$B$44&gt;0),IF(Inputs!$B$44&lt;=0,0,(INT(Inputs!$B$44/IF(Inputs!$B$39="pvp",15,MAX(0.1,Skills!D16-IF(Skills!E16=TRUE,Inputs!$B$33,0))))+1)),0)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IFERROR(1/IF(Inputs!$B$39="pvp",15,MAX(0.1,Skills!D17-IF(Skills!E17=TRUE,Inputs!$B$33,0))),0)</f>
        <v/>
      </c>
      <c r="R1266">
        <f>IF(AND(Inputs!$B$39&lt;&gt;"pvp",Inputs!$B$44&gt;0),IF(Inputs!$B$44&lt;=0,0,(INT(Inputs!$B$44/IF(Inputs!$B$39="pvp",15,MAX(0.1,Skills!D17-IF(Skills!E17=TRUE,Inputs!$B$33,0))))+1)),0)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IFERROR(1/IF(Inputs!$B$39="pvp",15,MAX(0.1,Skills!D18-IF(Skills!E18=TRUE,Inputs!$B$33,0))),0)</f>
        <v/>
      </c>
      <c r="R1267">
        <f>IF(AND(Inputs!$B$39&lt;&gt;"pvp",Inputs!$B$44&gt;0),IF(Inputs!$B$44&lt;=0,0,(INT(Inputs!$B$44/IF(Inputs!$B$39="pvp",15,MAX(0.1,Skills!D18-IF(Skills!E18=TRUE,Inputs!$B$33,0))))+1)),0)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IFERROR(1/IF(Inputs!$B$39="pvp",15,MAX(0.1,Skills!D19-IF(Skills!E19=TRUE,Inputs!$B$33,0))),0)</f>
        <v/>
      </c>
      <c r="R1268">
        <f>IF(AND(Inputs!$B$39&lt;&gt;"pvp",Inputs!$B$44&gt;0),IF(Inputs!$B$44&lt;=0,0,(INT(Inputs!$B$44/IF(Inputs!$B$39="pvp",15,MAX(0.1,Skills!D19-IF(Skills!E19=TRUE,Inputs!$B$33,0))))+1)),0)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IFERROR(1/IF(Inputs!$B$39="pvp",15,MAX(0.1,Skills!D20-IF(Skills!E20=TRUE,Inputs!$B$33,0))),0)</f>
        <v/>
      </c>
      <c r="R1269">
        <f>IF(AND(Inputs!$B$39&lt;&gt;"pvp",Inputs!$B$44&gt;0),IF(Inputs!$B$44&lt;=0,0,(INT(Inputs!$B$44/IF(Inputs!$B$39="pvp",15,MAX(0.1,Skills!D20-IF(Skills!E20=TRUE,Inputs!$B$33,0))))+1)),0)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Skills!T18*(1+Inputs!$B$35/100))+MIN((Skills!T18*(1+Inputs!$B$35/100)),MAX(0,Inputs!$B$44-((R1267-1)*Skills!D18))))/Inputs!$B$44),IF(Inputs!$B$39="pvp",MIN((Skills!T18*(1+Inputs!$B$35/100)),15)/15,(Skills!T18*(1+Inputs!$B$35/100))/Skills!D18)))</f>
        <v/>
      </c>
    </row>
    <row r="1279">
      <c r="A1279" t="inlineStr">
        <is>
          <t>Attack Speed Buff Bonus %</t>
        </is>
      </c>
      <c r="B1279">
        <f>((C1269=TRUE)*F1269*IF(AND(Inputs!$B$39&lt;&gt;"pvp",Inputs!$B$44&gt;0),(((R1269-1)*(Skills!T20*(1+Inputs!$B$35/100))+MIN((Skills!T20*(1+Inputs!$B$35/100)),MAX(0,Inputs!$B$44-((R1269-1)*Skills!D20))))/Inputs!$B$44),IF(Inputs!$B$39="pvp",MIN((Skills!T20*(1+Inputs!$B$35/100)),15)/15,(Skills!T20*(1+Inputs!$B$35/100))/Skills!D20)))</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Skills!T19*(1+Inputs!$B$35/100))+MIN((Skills!T19*(1+Inputs!$B$35/100)),MAX(0,Inputs!$B$44-((R1268-1)*Skills!D19))))/Inputs!$B$44),IF(Inputs!$B$39="pvp",MIN((Skills!T19*(1+Inputs!$B$35/100)),15)/15,(Skills!T19*(1+Inputs!$B$35/100))/Skills!D19)))</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IFERROR(1/IF(Inputs!$B$39="pvp",15,MAX(0.1,Skills!D5-IF(Skills!E5=TRUE,Inputs!$B$33,0))),0)</f>
        <v/>
      </c>
      <c r="R1296">
        <f>IF(AND(Inputs!$B$39&lt;&gt;"pvp",Inputs!$B$44&gt;0),IF(MAX(0,Inputs!$B$44-B1327)&lt;=0,0,(INT(MAX(0,Inputs!$B$44-B1327)/IF(Inputs!$B$39="pvp",15,MAX(0.1,Skills!D5-IF(Skills!E5=TRUE,Inputs!$B$33,0))))+1)),0)</f>
        <v/>
      </c>
      <c r="S1296">
        <f>IFERROR(O1296/N1296,0)</f>
        <v/>
      </c>
      <c r="T1296">
        <f>IF(C1296,(H1296*N1296*IF(AND(Inputs!$B$39&lt;&gt;"pvp",Inputs!$B$44&gt;0),((Skills!G5*((R1296-1)*IF(Skills!H5&gt;0,Skills!I5/Skills!H5,1)+IF(Skills!H5&gt;0,MIN(Skills!I5,MAX(0,MAX(0,Inputs!$B$44-B1327)-((R1296-1)*IF(Inputs!$B$39="pvp",15,MAX(0.1,Skills!D5-IF(Skills!E5=TRUE,Inputs!$B$33,0))))))/Skills!H5,1)))/Inputs!$B$44),G1296*Q1296))*IF(Inputs!$B$39="pvp",1,1+(Inputs!$B$21+0+Skills!P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Skills!E5=TRUE,Inputs!$B$33,0))))))/Skills!H5,1)))/Inputs!$B$44),G1296*Q1296))*IF(Inputs!$B$39="pvp",1,(1+(Inputs!$B$22+Skills!Q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IFERROR(1/IF(Inputs!$B$39="pvp",15,MAX(0.1,Skills!D6-IF(Skills!E6=TRUE,Inputs!$B$33,0))),0)</f>
        <v/>
      </c>
      <c r="R1297">
        <f>IF(AND(Inputs!$B$39&lt;&gt;"pvp",Inputs!$B$44&gt;0),IF(MAX(0,Inputs!$B$44-B1327)&lt;=0,0,(INT(MAX(0,Inputs!$B$44-B1327)/IF(Inputs!$B$39="pvp",15,MAX(0.1,Skills!D6-IF(Skills!E6=TRUE,Inputs!$B$33,0))))+1)),0)</f>
        <v/>
      </c>
      <c r="S1297">
        <f>IFERROR(O1297/N1297,0)</f>
        <v/>
      </c>
      <c r="T1297">
        <f>IF(C1297,(H1297*N1297*IF(AND(Inputs!$B$39&lt;&gt;"pvp",Inputs!$B$44&gt;0),((Skills!G6*((R1297-1)*IF(Skills!H6&gt;0,Skills!I6/Skills!H6,1)+IF(Skills!H6&gt;0,MIN(Skills!I6,MAX(0,MAX(0,Inputs!$B$44-B1327)-((R1297-1)*IF(Inputs!$B$39="pvp",15,MAX(0.1,Skills!D6-IF(Skills!E6=TRUE,Inputs!$B$33,0))))))/Skills!H6,1)))/Inputs!$B$44),G1297*Q1297))*IF(Inputs!$B$39="pvp",1,1+(Inputs!$B$21+0+Skills!P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Skills!E6=TRUE,Inputs!$B$33,0))))))/Skills!H6,1)))/Inputs!$B$44),G1297*Q1297))*IF(Inputs!$B$39="pvp",1,(1+(Inputs!$B$22+Skills!Q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IFERROR(1/IF(Inputs!$B$39="pvp",15,MAX(0.1,Skills!D7-IF(Skills!E7=TRUE,Inputs!$B$33,0))),0)</f>
        <v/>
      </c>
      <c r="R1298">
        <f>IF(AND(Inputs!$B$39&lt;&gt;"pvp",Inputs!$B$44&gt;0),IF(MAX(0,Inputs!$B$44-B1327)&lt;=0,0,(INT(MAX(0,Inputs!$B$44-B1327)/IF(Inputs!$B$39="pvp",15,MAX(0.1,Skills!D7-IF(Skills!E7=TRUE,Inputs!$B$33,0))))+1)),0)</f>
        <v/>
      </c>
      <c r="S1298">
        <f>IFERROR(O1298/N1298,0)</f>
        <v/>
      </c>
      <c r="T1298">
        <f>IF(C1298,(H1298*N1298*IF(AND(Inputs!$B$39&lt;&gt;"pvp",Inputs!$B$44&gt;0),((Skills!G7*((R1298-1)*IF(Skills!H7&gt;0,Skills!I7/Skills!H7,1)+IF(Skills!H7&gt;0,MIN(Skills!I7,MAX(0,MAX(0,Inputs!$B$44-B1327)-((R1298-1)*IF(Inputs!$B$39="pvp",15,MAX(0.1,Skills!D7-IF(Skills!E7=TRUE,Inputs!$B$33,0))))))/Skills!H7,1)))/Inputs!$B$44),G1298*Q1298))*IF(Inputs!$B$39="pvp",1,1+(Inputs!$B$21+0+Skills!P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Skills!E7=TRUE,Inputs!$B$33,0))))))/Skills!H7,1)))/Inputs!$B$44),G1298*Q1298))*IF(Inputs!$B$39="pvp",1,(1+(Inputs!$B$22+Skills!Q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IFERROR(1/IF(Inputs!$B$39="pvp",15,MAX(0.1,Skills!D9-IF(Skills!E9=TRUE,Inputs!$B$33,0))),0)</f>
        <v/>
      </c>
      <c r="R1300">
        <f>IF(AND(Inputs!$B$39&lt;&gt;"pvp",Inputs!$B$44&gt;0),IF(MAX(0,Inputs!$B$44-B1327)&lt;=0,0,(INT(MAX(0,Inputs!$B$44-B1327)/IF(Inputs!$B$39="pvp",15,MAX(0.1,Skills!D9-IF(Skills!E9=TRUE,Inputs!$B$33,0))))+1)),0)</f>
        <v/>
      </c>
      <c r="S1300">
        <f>IFERROR(O1300/N1300,0)</f>
        <v/>
      </c>
      <c r="T1300">
        <f>IF(C1300,(H1300*N1300*IF(AND(Inputs!$B$39&lt;&gt;"pvp",Inputs!$B$44&gt;0),((Skills!G9*((R1300-1)*IF(Skills!H9&gt;0,Skills!I9/Skills!H9,1)+IF(Skills!H9&gt;0,MIN(Skills!I9,MAX(0,MAX(0,Inputs!$B$44-B1327)-((R1300-1)*IF(Inputs!$B$39="pvp",15,MAX(0.1,Skills!D9-IF(Skills!E9=TRUE,Inputs!$B$33,0))))))/Skills!H9,1)))/Inputs!$B$44),G1300*Q1300))*IF(Inputs!$B$39="pvp",1,1+(Inputs!$B$21+0+Skills!P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Skills!E9=TRUE,Inputs!$B$33,0))))))/Skills!H9,1)))/Inputs!$B$44),G1300*Q1300))*IF(Inputs!$B$39="pvp",1,(1+(Inputs!$B$22+Skills!Q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IFERROR(1/IF(Inputs!$B$39="pvp",15,MAX(0.1,Skills!D10-IF(Skills!E10=TRUE,Inputs!$B$33,0))),0)</f>
        <v/>
      </c>
      <c r="R1301">
        <f>IF(AND(Inputs!$B$39&lt;&gt;"pvp",Inputs!$B$44&gt;0),IF(MAX(0,Inputs!$B$44-B1327)&lt;=0,0,(INT(MAX(0,Inputs!$B$44-B1327)/IF(Inputs!$B$39="pvp",15,MAX(0.1,Skills!D10-IF(Skills!E10=TRUE,Inputs!$B$33,0))))+1)),0)</f>
        <v/>
      </c>
      <c r="S1301">
        <f>IFERROR(O1301/N1301,0)</f>
        <v/>
      </c>
      <c r="T1301">
        <f>IF(C1301,(H1301*N1301*IF(AND(Inputs!$B$39&lt;&gt;"pvp",Inputs!$B$44&gt;0),((Skills!G10*((R1301-1)*IF(Skills!H10&gt;0,Skills!I10/Skills!H10,1)+IF(Skills!H10&gt;0,MIN(Skills!I10,MAX(0,MAX(0,Inputs!$B$44-B1327)-((R1301-1)*IF(Inputs!$B$39="pvp",15,MAX(0.1,Skills!D10-IF(Skills!E10=TRUE,Inputs!$B$33,0))))))/Skills!H10,1)))/Inputs!$B$44),G1301*Q1301))*IF(Inputs!$B$39="pvp",1,1+(Inputs!$B$21+0+Skills!P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Skills!E10=TRUE,Inputs!$B$33,0))))))/Skills!H10,1)))/Inputs!$B$44),G1301*Q1301))*IF(Inputs!$B$39="pvp",1,(1+(Inputs!$B$22+Skills!Q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IFERROR(1/IF(Inputs!$B$39="pvp",15,MAX(0.1,Skills!D12-IF(Skills!E12=TRUE,Inputs!$B$33,0))),0)</f>
        <v/>
      </c>
      <c r="R1303">
        <f>IF(AND(Inputs!$B$39&lt;&gt;"pvp",Inputs!$B$44&gt;0),IF(MAX(0,Inputs!$B$44-B1327)&lt;=0,0,(INT(MAX(0,Inputs!$B$44-B1327)/IF(Inputs!$B$39="pvp",15,MAX(0.1,Skills!D12-IF(Skills!E12=TRUE,Inputs!$B$33,0))))+1)),0)</f>
        <v/>
      </c>
      <c r="S1303">
        <f>IFERROR(O1303/N1303,0)</f>
        <v/>
      </c>
      <c r="T1303">
        <f>IF(C1303,(H1303*N1303*IF(AND(Inputs!$B$39&lt;&gt;"pvp",Inputs!$B$44&gt;0),((Skills!G12*((R1303-1)*IF(Skills!H12&gt;0,Skills!I12/Skills!H12,1)+IF(Skills!H12&gt;0,MIN(Skills!I12,MAX(0,MAX(0,Inputs!$B$44-B1327)-((R1303-1)*IF(Inputs!$B$39="pvp",15,MAX(0.1,Skills!D12-IF(Skills!E12=TRUE,Inputs!$B$33,0))))))/Skills!H12,1)))/Inputs!$B$44),G1303*Q1303))*IF(Inputs!$B$39="pvp",1,1+(Inputs!$B$21+0+Skills!P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Skills!E12=TRUE,Inputs!$B$33,0))))))/Skills!H12,1)))/Inputs!$B$44),G1303*Q1303))*IF(Inputs!$B$39="pvp",1,(1+(Inputs!$B$22+Skills!Q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IFERROR(1/IF(Inputs!$B$39="pvp",15,MAX(0.1,Skills!D13-IF(Skills!E13=TRUE,Inputs!$B$33,0))),0)</f>
        <v/>
      </c>
      <c r="R1304">
        <f>IF(AND(Inputs!$B$39&lt;&gt;"pvp",Inputs!$B$44&gt;0),IF(Inputs!$B$44&lt;=0,0,(INT(Inputs!$B$44/IF(Inputs!$B$39="pvp",15,MAX(0.1,Skills!D13-IF(Skills!E13=TRUE,Inputs!$B$33,0))))+1)),0)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IFERROR(1/IF(Inputs!$B$39="pvp",15,MAX(0.1,Skills!D14-IF(Skills!E14=TRUE,Inputs!$B$33,0))),0)</f>
        <v/>
      </c>
      <c r="R1305">
        <f>IF(AND(Inputs!$B$39&lt;&gt;"pvp",Inputs!$B$44&gt;0),IF(Inputs!$B$44&lt;=0,0,(INT(Inputs!$B$44/IF(Inputs!$B$39="pvp",15,MAX(0.1,Skills!D14-IF(Skills!E14=TRUE,Inputs!$B$33,0))))+1)),0)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IFERROR(1/IF(Inputs!$B$39="pvp",15,MAX(0.1,Skills!D15-IF(Skills!E15=TRUE,Inputs!$B$33,0))),0)</f>
        <v/>
      </c>
      <c r="R1306">
        <f>IF(AND(Inputs!$B$39&lt;&gt;"pvp",Inputs!$B$44&gt;0),IF(Inputs!$B$44&lt;=0,0,(INT(Inputs!$B$44/IF(Inputs!$B$39="pvp",15,MAX(0.1,Skills!D15-IF(Skills!E15=TRUE,Inputs!$B$33,0))))+1)),0)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IFERROR(1/IF(Inputs!$B$39="pvp",15,MAX(0.1,Skills!D16-IF(Skills!E16=TRUE,Inputs!$B$33,0))),0)</f>
        <v/>
      </c>
      <c r="R1307">
        <f>IF(AND(Inputs!$B$39&lt;&gt;"pvp",Inputs!$B$44&gt;0),IF(Inputs!$B$44&lt;=0,0,(INT(Inputs!$B$44/IF(Inputs!$B$39="pvp",15,MAX(0.1,Skills!D16-IF(Skills!E16=TRUE,Inputs!$B$33,0))))+1)),0)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IFERROR(1/IF(Inputs!$B$39="pvp",15,MAX(0.1,Skills!D17-IF(Skills!E17=TRUE,Inputs!$B$33,0))),0)</f>
        <v/>
      </c>
      <c r="R1308">
        <f>IF(AND(Inputs!$B$39&lt;&gt;"pvp",Inputs!$B$44&gt;0),IF(Inputs!$B$44&lt;=0,0,(INT(Inputs!$B$44/IF(Inputs!$B$39="pvp",15,MAX(0.1,Skills!D17-IF(Skills!E17=TRUE,Inputs!$B$33,0))))+1)),0)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IFERROR(1/IF(Inputs!$B$39="pvp",15,MAX(0.1,Skills!D18-IF(Skills!E18=TRUE,Inputs!$B$33,0))),0)</f>
        <v/>
      </c>
      <c r="R1309">
        <f>IF(AND(Inputs!$B$39&lt;&gt;"pvp",Inputs!$B$44&gt;0),IF(Inputs!$B$44&lt;=0,0,(INT(Inputs!$B$44/IF(Inputs!$B$39="pvp",15,MAX(0.1,Skills!D18-IF(Skills!E18=TRUE,Inputs!$B$33,0))))+1)),0)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IFERROR(1/IF(Inputs!$B$39="pvp",15,MAX(0.1,Skills!D19-IF(Skills!E19=TRUE,Inputs!$B$33,0))),0)</f>
        <v/>
      </c>
      <c r="R1310">
        <f>IF(AND(Inputs!$B$39&lt;&gt;"pvp",Inputs!$B$44&gt;0),IF(Inputs!$B$44&lt;=0,0,(INT(Inputs!$B$44/IF(Inputs!$B$39="pvp",15,MAX(0.1,Skills!D19-IF(Skills!E19=TRUE,Inputs!$B$33,0))))+1)),0)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IFERROR(1/IF(Inputs!$B$39="pvp",15,MAX(0.1,Skills!D20-IF(Skills!E20=TRUE,Inputs!$B$33,0))),0)</f>
        <v/>
      </c>
      <c r="R1311">
        <f>IF(AND(Inputs!$B$39&lt;&gt;"pvp",Inputs!$B$44&gt;0),IF(Inputs!$B$44&lt;=0,0,(INT(Inputs!$B$44/IF(Inputs!$B$39="pvp",15,MAX(0.1,Skills!D20-IF(Skills!E20=TRUE,Inputs!$B$33,0))))+1)),0)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Skills!T18*(1+Inputs!$B$35/100))+MIN((Skills!T18*(1+Inputs!$B$35/100)),MAX(0,Inputs!$B$44-((R1309-1)*Skills!D18))))/Inputs!$B$44),IF(Inputs!$B$39="pvp",MIN((Skills!T18*(1+Inputs!$B$35/100)),15)/15,(Skills!T18*(1+Inputs!$B$35/100))/Skills!D18)))</f>
        <v/>
      </c>
    </row>
    <row r="1321">
      <c r="A1321" t="inlineStr">
        <is>
          <t>Attack Speed Buff Bonus %</t>
        </is>
      </c>
      <c r="B1321">
        <f>((C1311=TRUE)*F1311*IF(AND(Inputs!$B$39&lt;&gt;"pvp",Inputs!$B$44&gt;0),(((R1311-1)*(Skills!T20*(1+Inputs!$B$35/100))+MIN((Skills!T20*(1+Inputs!$B$35/100)),MAX(0,Inputs!$B$44-((R1311-1)*Skills!D20))))/Inputs!$B$44),IF(Inputs!$B$39="pvp",MIN((Skills!T20*(1+Inputs!$B$35/100)),15)/15,(Skills!T20*(1+Inputs!$B$35/100))/Skills!D20)))</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Skills!T19*(1+Inputs!$B$35/100))+MIN((Skills!T19*(1+Inputs!$B$35/100)),MAX(0,Inputs!$B$44-((R1310-1)*Skills!D19))))/Inputs!$B$44),IF(Inputs!$B$39="pvp",MIN((Skills!T19*(1+Inputs!$B$35/100)),15)/15,(Skills!T19*(1+Inputs!$B$35/100))/Skills!D19)))</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IFERROR(1/IF(Inputs!$B$39="pvp",15,MAX(0.1,Skills!D5-IF(Skills!E5=TRUE,Inputs!$B$33,0))),0)</f>
        <v/>
      </c>
      <c r="R1338">
        <f>IF(AND(Inputs!$B$39&lt;&gt;"pvp",Inputs!$B$44&gt;0),IF(MAX(0,Inputs!$B$44-B1369)&lt;=0,0,(INT(MAX(0,Inputs!$B$44-B1369)/IF(Inputs!$B$39="pvp",15,MAX(0.1,Skills!D5-IF(Skills!E5=TRUE,Inputs!$B$33,0))))+1)),0)</f>
        <v/>
      </c>
      <c r="S1338">
        <f>IFERROR(O1338/N1338,0)</f>
        <v/>
      </c>
      <c r="T1338">
        <f>IF(C1338,(H1338*N1338*IF(AND(Inputs!$B$39&lt;&gt;"pvp",Inputs!$B$44&gt;0),((Skills!G5*((R1338-1)*IF(Skills!H5&gt;0,Skills!I5/Skills!H5,1)+IF(Skills!H5&gt;0,MIN(Skills!I5,MAX(0,MAX(0,Inputs!$B$44-B1369)-((R1338-1)*IF(Inputs!$B$39="pvp",15,MAX(0.1,Skills!D5-IF(Skills!E5=TRUE,Inputs!$B$33,0))))))/Skills!H5,1)))/Inputs!$B$44),G1338*Q1338))*IF(Inputs!$B$39="pvp",1,1+(Inputs!$B$21+0+Skills!P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Skills!E5=TRUE,Inputs!$B$33,0))))))/Skills!H5,1)))/Inputs!$B$44),G1338*Q1338))*IF(Inputs!$B$39="pvp",1,(1+(Inputs!$B$22+Skills!Q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IFERROR(1/IF(Inputs!$B$39="pvp",15,MAX(0.1,Skills!D6-IF(Skills!E6=TRUE,Inputs!$B$33,0))),0)</f>
        <v/>
      </c>
      <c r="R1339">
        <f>IF(AND(Inputs!$B$39&lt;&gt;"pvp",Inputs!$B$44&gt;0),IF(MAX(0,Inputs!$B$44-B1369)&lt;=0,0,(INT(MAX(0,Inputs!$B$44-B1369)/IF(Inputs!$B$39="pvp",15,MAX(0.1,Skills!D6-IF(Skills!E6=TRUE,Inputs!$B$33,0))))+1)),0)</f>
        <v/>
      </c>
      <c r="S1339">
        <f>IFERROR(O1339/N1339,0)</f>
        <v/>
      </c>
      <c r="T1339">
        <f>IF(C1339,(H1339*N1339*IF(AND(Inputs!$B$39&lt;&gt;"pvp",Inputs!$B$44&gt;0),((Skills!G6*((R1339-1)*IF(Skills!H6&gt;0,Skills!I6/Skills!H6,1)+IF(Skills!H6&gt;0,MIN(Skills!I6,MAX(0,MAX(0,Inputs!$B$44-B1369)-((R1339-1)*IF(Inputs!$B$39="pvp",15,MAX(0.1,Skills!D6-IF(Skills!E6=TRUE,Inputs!$B$33,0))))))/Skills!H6,1)))/Inputs!$B$44),G1339*Q1339))*IF(Inputs!$B$39="pvp",1,1+(Inputs!$B$21+0+Skills!P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Skills!E6=TRUE,Inputs!$B$33,0))))))/Skills!H6,1)))/Inputs!$B$44),G1339*Q1339))*IF(Inputs!$B$39="pvp",1,(1+(Inputs!$B$22+Skills!Q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IFERROR(1/IF(Inputs!$B$39="pvp",15,MAX(0.1,Skills!D7-IF(Skills!E7=TRUE,Inputs!$B$33,0))),0)</f>
        <v/>
      </c>
      <c r="R1340">
        <f>IF(AND(Inputs!$B$39&lt;&gt;"pvp",Inputs!$B$44&gt;0),IF(MAX(0,Inputs!$B$44-B1369)&lt;=0,0,(INT(MAX(0,Inputs!$B$44-B1369)/IF(Inputs!$B$39="pvp",15,MAX(0.1,Skills!D7-IF(Skills!E7=TRUE,Inputs!$B$33,0))))+1)),0)</f>
        <v/>
      </c>
      <c r="S1340">
        <f>IFERROR(O1340/N1340,0)</f>
        <v/>
      </c>
      <c r="T1340">
        <f>IF(C1340,(H1340*N1340*IF(AND(Inputs!$B$39&lt;&gt;"pvp",Inputs!$B$44&gt;0),((Skills!G7*((R1340-1)*IF(Skills!H7&gt;0,Skills!I7/Skills!H7,1)+IF(Skills!H7&gt;0,MIN(Skills!I7,MAX(0,MAX(0,Inputs!$B$44-B1369)-((R1340-1)*IF(Inputs!$B$39="pvp",15,MAX(0.1,Skills!D7-IF(Skills!E7=TRUE,Inputs!$B$33,0))))))/Skills!H7,1)))/Inputs!$B$44),G1340*Q1340))*IF(Inputs!$B$39="pvp",1,1+(Inputs!$B$21+0+Skills!P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Skills!E7=TRUE,Inputs!$B$33,0))))))/Skills!H7,1)))/Inputs!$B$44),G1340*Q1340))*IF(Inputs!$B$39="pvp",1,(1+(Inputs!$B$22+Skills!Q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IFERROR(1/IF(Inputs!$B$39="pvp",15,MAX(0.1,Skills!D9-IF(Skills!E9=TRUE,Inputs!$B$33,0))),0)</f>
        <v/>
      </c>
      <c r="R1342">
        <f>IF(AND(Inputs!$B$39&lt;&gt;"pvp",Inputs!$B$44&gt;0),IF(MAX(0,Inputs!$B$44-B1369)&lt;=0,0,(INT(MAX(0,Inputs!$B$44-B1369)/IF(Inputs!$B$39="pvp",15,MAX(0.1,Skills!D9-IF(Skills!E9=TRUE,Inputs!$B$33,0))))+1)),0)</f>
        <v/>
      </c>
      <c r="S1342">
        <f>IFERROR(O1342/N1342,0)</f>
        <v/>
      </c>
      <c r="T1342">
        <f>IF(C1342,(H1342*N1342*IF(AND(Inputs!$B$39&lt;&gt;"pvp",Inputs!$B$44&gt;0),((Skills!G9*((R1342-1)*IF(Skills!H9&gt;0,Skills!I9/Skills!H9,1)+IF(Skills!H9&gt;0,MIN(Skills!I9,MAX(0,MAX(0,Inputs!$B$44-B1369)-((R1342-1)*IF(Inputs!$B$39="pvp",15,MAX(0.1,Skills!D9-IF(Skills!E9=TRUE,Inputs!$B$33,0))))))/Skills!H9,1)))/Inputs!$B$44),G1342*Q1342))*IF(Inputs!$B$39="pvp",1,1+(Inputs!$B$21+0+Skills!P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Skills!E9=TRUE,Inputs!$B$33,0))))))/Skills!H9,1)))/Inputs!$B$44),G1342*Q1342))*IF(Inputs!$B$39="pvp",1,(1+(Inputs!$B$22+Skills!Q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IFERROR(1/IF(Inputs!$B$39="pvp",15,MAX(0.1,Skills!D10-IF(Skills!E10=TRUE,Inputs!$B$33,0))),0)</f>
        <v/>
      </c>
      <c r="R1343">
        <f>IF(AND(Inputs!$B$39&lt;&gt;"pvp",Inputs!$B$44&gt;0),IF(MAX(0,Inputs!$B$44-B1369)&lt;=0,0,(INT(MAX(0,Inputs!$B$44-B1369)/IF(Inputs!$B$39="pvp",15,MAX(0.1,Skills!D10-IF(Skills!E10=TRUE,Inputs!$B$33,0))))+1)),0)</f>
        <v/>
      </c>
      <c r="S1343">
        <f>IFERROR(O1343/N1343,0)</f>
        <v/>
      </c>
      <c r="T1343">
        <f>IF(C1343,(H1343*N1343*IF(AND(Inputs!$B$39&lt;&gt;"pvp",Inputs!$B$44&gt;0),((Skills!G10*((R1343-1)*IF(Skills!H10&gt;0,Skills!I10/Skills!H10,1)+IF(Skills!H10&gt;0,MIN(Skills!I10,MAX(0,MAX(0,Inputs!$B$44-B1369)-((R1343-1)*IF(Inputs!$B$39="pvp",15,MAX(0.1,Skills!D10-IF(Skills!E10=TRUE,Inputs!$B$33,0))))))/Skills!H10,1)))/Inputs!$B$44),G1343*Q1343))*IF(Inputs!$B$39="pvp",1,1+(Inputs!$B$21+0+Skills!P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Skills!E10=TRUE,Inputs!$B$33,0))))))/Skills!H10,1)))/Inputs!$B$44),G1343*Q1343))*IF(Inputs!$B$39="pvp",1,(1+(Inputs!$B$22+Skills!Q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IFERROR(1/IF(Inputs!$B$39="pvp",15,MAX(0.1,Skills!D12-IF(Skills!E12=TRUE,Inputs!$B$33,0))),0)</f>
        <v/>
      </c>
      <c r="R1345">
        <f>IF(AND(Inputs!$B$39&lt;&gt;"pvp",Inputs!$B$44&gt;0),IF(MAX(0,Inputs!$B$44-B1369)&lt;=0,0,(INT(MAX(0,Inputs!$B$44-B1369)/IF(Inputs!$B$39="pvp",15,MAX(0.1,Skills!D12-IF(Skills!E12=TRUE,Inputs!$B$33,0))))+1)),0)</f>
        <v/>
      </c>
      <c r="S1345">
        <f>IFERROR(O1345/N1345,0)</f>
        <v/>
      </c>
      <c r="T1345">
        <f>IF(C1345,(H1345*N1345*IF(AND(Inputs!$B$39&lt;&gt;"pvp",Inputs!$B$44&gt;0),((Skills!G12*((R1345-1)*IF(Skills!H12&gt;0,Skills!I12/Skills!H12,1)+IF(Skills!H12&gt;0,MIN(Skills!I12,MAX(0,MAX(0,Inputs!$B$44-B1369)-((R1345-1)*IF(Inputs!$B$39="pvp",15,MAX(0.1,Skills!D12-IF(Skills!E12=TRUE,Inputs!$B$33,0))))))/Skills!H12,1)))/Inputs!$B$44),G1345*Q1345))*IF(Inputs!$B$39="pvp",1,1+(Inputs!$B$21+0+Skills!P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Skills!E12=TRUE,Inputs!$B$33,0))))))/Skills!H12,1)))/Inputs!$B$44),G1345*Q1345))*IF(Inputs!$B$39="pvp",1,(1+(Inputs!$B$22+Skills!Q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IFERROR(1/IF(Inputs!$B$39="pvp",15,MAX(0.1,Skills!D13-IF(Skills!E13=TRUE,Inputs!$B$33,0))),0)</f>
        <v/>
      </c>
      <c r="R1346">
        <f>IF(AND(Inputs!$B$39&lt;&gt;"pvp",Inputs!$B$44&gt;0),IF(Inputs!$B$44&lt;=0,0,(INT(Inputs!$B$44/IF(Inputs!$B$39="pvp",15,MAX(0.1,Skills!D13-IF(Skills!E13=TRUE,Inputs!$B$33,0))))+1)),0)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IFERROR(1/IF(Inputs!$B$39="pvp",15,MAX(0.1,Skills!D14-IF(Skills!E14=TRUE,Inputs!$B$33,0))),0)</f>
        <v/>
      </c>
      <c r="R1347">
        <f>IF(AND(Inputs!$B$39&lt;&gt;"pvp",Inputs!$B$44&gt;0),IF(Inputs!$B$44&lt;=0,0,(INT(Inputs!$B$44/IF(Inputs!$B$39="pvp",15,MAX(0.1,Skills!D14-IF(Skills!E14=TRUE,Inputs!$B$33,0))))+1)),0)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IFERROR(1/IF(Inputs!$B$39="pvp",15,MAX(0.1,Skills!D15-IF(Skills!E15=TRUE,Inputs!$B$33,0))),0)</f>
        <v/>
      </c>
      <c r="R1348">
        <f>IF(AND(Inputs!$B$39&lt;&gt;"pvp",Inputs!$B$44&gt;0),IF(Inputs!$B$44&lt;=0,0,(INT(Inputs!$B$44/IF(Inputs!$B$39="pvp",15,MAX(0.1,Skills!D15-IF(Skills!E15=TRUE,Inputs!$B$33,0))))+1)),0)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IFERROR(1/IF(Inputs!$B$39="pvp",15,MAX(0.1,Skills!D16-IF(Skills!E16=TRUE,Inputs!$B$33,0))),0)</f>
        <v/>
      </c>
      <c r="R1349">
        <f>IF(AND(Inputs!$B$39&lt;&gt;"pvp",Inputs!$B$44&gt;0),IF(Inputs!$B$44&lt;=0,0,(INT(Inputs!$B$44/IF(Inputs!$B$39="pvp",15,MAX(0.1,Skills!D16-IF(Skills!E16=TRUE,Inputs!$B$33,0))))+1)),0)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IFERROR(1/IF(Inputs!$B$39="pvp",15,MAX(0.1,Skills!D17-IF(Skills!E17=TRUE,Inputs!$B$33,0))),0)</f>
        <v/>
      </c>
      <c r="R1350">
        <f>IF(AND(Inputs!$B$39&lt;&gt;"pvp",Inputs!$B$44&gt;0),IF(Inputs!$B$44&lt;=0,0,(INT(Inputs!$B$44/IF(Inputs!$B$39="pvp",15,MAX(0.1,Skills!D17-IF(Skills!E17=TRUE,Inputs!$B$33,0))))+1)),0)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IFERROR(1/IF(Inputs!$B$39="pvp",15,MAX(0.1,Skills!D18-IF(Skills!E18=TRUE,Inputs!$B$33,0))),0)</f>
        <v/>
      </c>
      <c r="R1351">
        <f>IF(AND(Inputs!$B$39&lt;&gt;"pvp",Inputs!$B$44&gt;0),IF(Inputs!$B$44&lt;=0,0,(INT(Inputs!$B$44/IF(Inputs!$B$39="pvp",15,MAX(0.1,Skills!D18-IF(Skills!E18=TRUE,Inputs!$B$33,0))))+1)),0)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IFERROR(1/IF(Inputs!$B$39="pvp",15,MAX(0.1,Skills!D19-IF(Skills!E19=TRUE,Inputs!$B$33,0))),0)</f>
        <v/>
      </c>
      <c r="R1352">
        <f>IF(AND(Inputs!$B$39&lt;&gt;"pvp",Inputs!$B$44&gt;0),IF(Inputs!$B$44&lt;=0,0,(INT(Inputs!$B$44/IF(Inputs!$B$39="pvp",15,MAX(0.1,Skills!D19-IF(Skills!E19=TRUE,Inputs!$B$33,0))))+1)),0)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IFERROR(1/IF(Inputs!$B$39="pvp",15,MAX(0.1,Skills!D20-IF(Skills!E20=TRUE,Inputs!$B$33,0))),0)</f>
        <v/>
      </c>
      <c r="R1353">
        <f>IF(AND(Inputs!$B$39&lt;&gt;"pvp",Inputs!$B$44&gt;0),IF(Inputs!$B$44&lt;=0,0,(INT(Inputs!$B$44/IF(Inputs!$B$39="pvp",15,MAX(0.1,Skills!D20-IF(Skills!E20=TRUE,Inputs!$B$33,0))))+1)),0)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Skills!T18*(1+Inputs!$B$35/100))+MIN((Skills!T18*(1+Inputs!$B$35/100)),MAX(0,Inputs!$B$44-((R1351-1)*Skills!D18))))/Inputs!$B$44),IF(Inputs!$B$39="pvp",MIN((Skills!T18*(1+Inputs!$B$35/100)),15)/15,(Skills!T18*(1+Inputs!$B$35/100))/Skills!D18)))</f>
        <v/>
      </c>
    </row>
    <row r="1363">
      <c r="A1363" t="inlineStr">
        <is>
          <t>Attack Speed Buff Bonus %</t>
        </is>
      </c>
      <c r="B1363">
        <f>((C1353=TRUE)*F1353*IF(AND(Inputs!$B$39&lt;&gt;"pvp",Inputs!$B$44&gt;0),(((R1353-1)*(Skills!T20*(1+Inputs!$B$35/100))+MIN((Skills!T20*(1+Inputs!$B$35/100)),MAX(0,Inputs!$B$44-((R1353-1)*Skills!D20))))/Inputs!$B$44),IF(Inputs!$B$39="pvp",MIN((Skills!T20*(1+Inputs!$B$35/100)),15)/15,(Skills!T20*(1+Inputs!$B$35/100))/Skills!D20)))</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Skills!T19*(1+Inputs!$B$35/100))+MIN((Skills!T19*(1+Inputs!$B$35/100)),MAX(0,Inputs!$B$44-((R1352-1)*Skills!D19))))/Inputs!$B$44),IF(Inputs!$B$39="pvp",MIN((Skills!T19*(1+Inputs!$B$35/100)),15)/15,(Skills!T19*(1+Inputs!$B$35/100))/Skills!D19)))</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IFERROR(1/IF(Inputs!$B$39="pvp",15,MAX(0.1,Skills!D5-IF(Skills!E5=TRUE,Inputs!$B$33,0))),0)</f>
        <v/>
      </c>
      <c r="R1380">
        <f>IF(AND(Inputs!$B$39&lt;&gt;"pvp",Inputs!$B$44&gt;0),IF(MAX(0,Inputs!$B$44-B1411)&lt;=0,0,(INT(MAX(0,Inputs!$B$44-B1411)/IF(Inputs!$B$39="pvp",15,MAX(0.1,Skills!D5-IF(Skills!E5=TRUE,Inputs!$B$33,0))))+1)),0)</f>
        <v/>
      </c>
      <c r="S1380">
        <f>IFERROR(O1380/N1380,0)</f>
        <v/>
      </c>
      <c r="T1380">
        <f>IF(C1380,(H1380*N1380*IF(AND(Inputs!$B$39&lt;&gt;"pvp",Inputs!$B$44&gt;0),((Skills!G5*((R1380-1)*IF(Skills!H5&gt;0,Skills!I5/Skills!H5,1)+IF(Skills!H5&gt;0,MIN(Skills!I5,MAX(0,MAX(0,Inputs!$B$44-B1411)-((R1380-1)*IF(Inputs!$B$39="pvp",15,MAX(0.1,Skills!D5-IF(Skills!E5=TRUE,Inputs!$B$33,0))))))/Skills!H5,1)))/Inputs!$B$44),G1380*Q1380))*IF(Inputs!$B$39="pvp",1,1+(Inputs!$B$21+0+Skills!P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Skills!E5=TRUE,Inputs!$B$33,0))))))/Skills!H5,1)))/Inputs!$B$44),G1380*Q1380))*IF(Inputs!$B$39="pvp",1,(1+(Inputs!$B$22+Skills!Q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IFERROR(1/IF(Inputs!$B$39="pvp",15,MAX(0.1,Skills!D6-IF(Skills!E6=TRUE,Inputs!$B$33,0))),0)</f>
        <v/>
      </c>
      <c r="R1381">
        <f>IF(AND(Inputs!$B$39&lt;&gt;"pvp",Inputs!$B$44&gt;0),IF(MAX(0,Inputs!$B$44-B1411)&lt;=0,0,(INT(MAX(0,Inputs!$B$44-B1411)/IF(Inputs!$B$39="pvp",15,MAX(0.1,Skills!D6-IF(Skills!E6=TRUE,Inputs!$B$33,0))))+1)),0)</f>
        <v/>
      </c>
      <c r="S1381">
        <f>IFERROR(O1381/N1381,0)</f>
        <v/>
      </c>
      <c r="T1381">
        <f>IF(C1381,(H1381*N1381*IF(AND(Inputs!$B$39&lt;&gt;"pvp",Inputs!$B$44&gt;0),((Skills!G6*((R1381-1)*IF(Skills!H6&gt;0,Skills!I6/Skills!H6,1)+IF(Skills!H6&gt;0,MIN(Skills!I6,MAX(0,MAX(0,Inputs!$B$44-B1411)-((R1381-1)*IF(Inputs!$B$39="pvp",15,MAX(0.1,Skills!D6-IF(Skills!E6=TRUE,Inputs!$B$33,0))))))/Skills!H6,1)))/Inputs!$B$44),G1381*Q1381))*IF(Inputs!$B$39="pvp",1,1+(Inputs!$B$21+0+Skills!P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Skills!E6=TRUE,Inputs!$B$33,0))))))/Skills!H6,1)))/Inputs!$B$44),G1381*Q1381))*IF(Inputs!$B$39="pvp",1,(1+(Inputs!$B$22+Skills!Q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IFERROR(1/IF(Inputs!$B$39="pvp",15,MAX(0.1,Skills!D7-IF(Skills!E7=TRUE,Inputs!$B$33,0))),0)</f>
        <v/>
      </c>
      <c r="R1382">
        <f>IF(AND(Inputs!$B$39&lt;&gt;"pvp",Inputs!$B$44&gt;0),IF(MAX(0,Inputs!$B$44-B1411)&lt;=0,0,(INT(MAX(0,Inputs!$B$44-B1411)/IF(Inputs!$B$39="pvp",15,MAX(0.1,Skills!D7-IF(Skills!E7=TRUE,Inputs!$B$33,0))))+1)),0)</f>
        <v/>
      </c>
      <c r="S1382">
        <f>IFERROR(O1382/N1382,0)</f>
        <v/>
      </c>
      <c r="T1382">
        <f>IF(C1382,(H1382*N1382*IF(AND(Inputs!$B$39&lt;&gt;"pvp",Inputs!$B$44&gt;0),((Skills!G7*((R1382-1)*IF(Skills!H7&gt;0,Skills!I7/Skills!H7,1)+IF(Skills!H7&gt;0,MIN(Skills!I7,MAX(0,MAX(0,Inputs!$B$44-B1411)-((R1382-1)*IF(Inputs!$B$39="pvp",15,MAX(0.1,Skills!D7-IF(Skills!E7=TRUE,Inputs!$B$33,0))))))/Skills!H7,1)))/Inputs!$B$44),G1382*Q1382))*IF(Inputs!$B$39="pvp",1,1+(Inputs!$B$21+0+Skills!P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Skills!E7=TRUE,Inputs!$B$33,0))))))/Skills!H7,1)))/Inputs!$B$44),G1382*Q1382))*IF(Inputs!$B$39="pvp",1,(1+(Inputs!$B$22+Skills!Q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IFERROR(1/IF(Inputs!$B$39="pvp",15,MAX(0.1,Skills!D9-IF(Skills!E9=TRUE,Inputs!$B$33,0))),0)</f>
        <v/>
      </c>
      <c r="R1384">
        <f>IF(AND(Inputs!$B$39&lt;&gt;"pvp",Inputs!$B$44&gt;0),IF(MAX(0,Inputs!$B$44-B1411)&lt;=0,0,(INT(MAX(0,Inputs!$B$44-B1411)/IF(Inputs!$B$39="pvp",15,MAX(0.1,Skills!D9-IF(Skills!E9=TRUE,Inputs!$B$33,0))))+1)),0)</f>
        <v/>
      </c>
      <c r="S1384">
        <f>IFERROR(O1384/N1384,0)</f>
        <v/>
      </c>
      <c r="T1384">
        <f>IF(C1384,(H1384*N1384*IF(AND(Inputs!$B$39&lt;&gt;"pvp",Inputs!$B$44&gt;0),((Skills!G9*((R1384-1)*IF(Skills!H9&gt;0,Skills!I9/Skills!H9,1)+IF(Skills!H9&gt;0,MIN(Skills!I9,MAX(0,MAX(0,Inputs!$B$44-B1411)-((R1384-1)*IF(Inputs!$B$39="pvp",15,MAX(0.1,Skills!D9-IF(Skills!E9=TRUE,Inputs!$B$33,0))))))/Skills!H9,1)))/Inputs!$B$44),G1384*Q1384))*IF(Inputs!$B$39="pvp",1,1+(Inputs!$B$21+0+Skills!P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Skills!E9=TRUE,Inputs!$B$33,0))))))/Skills!H9,1)))/Inputs!$B$44),G1384*Q1384))*IF(Inputs!$B$39="pvp",1,(1+(Inputs!$B$22+Skills!Q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IFERROR(1/IF(Inputs!$B$39="pvp",15,MAX(0.1,Skills!D10-IF(Skills!E10=TRUE,Inputs!$B$33,0))),0)</f>
        <v/>
      </c>
      <c r="R1385">
        <f>IF(AND(Inputs!$B$39&lt;&gt;"pvp",Inputs!$B$44&gt;0),IF(MAX(0,Inputs!$B$44-B1411)&lt;=0,0,(INT(MAX(0,Inputs!$B$44-B1411)/IF(Inputs!$B$39="pvp",15,MAX(0.1,Skills!D10-IF(Skills!E10=TRUE,Inputs!$B$33,0))))+1)),0)</f>
        <v/>
      </c>
      <c r="S1385">
        <f>IFERROR(O1385/N1385,0)</f>
        <v/>
      </c>
      <c r="T1385">
        <f>IF(C1385,(H1385*N1385*IF(AND(Inputs!$B$39&lt;&gt;"pvp",Inputs!$B$44&gt;0),((Skills!G10*((R1385-1)*IF(Skills!H10&gt;0,Skills!I10/Skills!H10,1)+IF(Skills!H10&gt;0,MIN(Skills!I10,MAX(0,MAX(0,Inputs!$B$44-B1411)-((R1385-1)*IF(Inputs!$B$39="pvp",15,MAX(0.1,Skills!D10-IF(Skills!E10=TRUE,Inputs!$B$33,0))))))/Skills!H10,1)))/Inputs!$B$44),G1385*Q1385))*IF(Inputs!$B$39="pvp",1,1+(Inputs!$B$21+0+Skills!P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Skills!E10=TRUE,Inputs!$B$33,0))))))/Skills!H10,1)))/Inputs!$B$44),G1385*Q1385))*IF(Inputs!$B$39="pvp",1,(1+(Inputs!$B$22+Skills!Q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IFERROR(1/IF(Inputs!$B$39="pvp",15,MAX(0.1,Skills!D12-IF(Skills!E12=TRUE,Inputs!$B$33,0))),0)</f>
        <v/>
      </c>
      <c r="R1387">
        <f>IF(AND(Inputs!$B$39&lt;&gt;"pvp",Inputs!$B$44&gt;0),IF(MAX(0,Inputs!$B$44-B1411)&lt;=0,0,(INT(MAX(0,Inputs!$B$44-B1411)/IF(Inputs!$B$39="pvp",15,MAX(0.1,Skills!D12-IF(Skills!E12=TRUE,Inputs!$B$33,0))))+1)),0)</f>
        <v/>
      </c>
      <c r="S1387">
        <f>IFERROR(O1387/N1387,0)</f>
        <v/>
      </c>
      <c r="T1387">
        <f>IF(C1387,(H1387*N1387*IF(AND(Inputs!$B$39&lt;&gt;"pvp",Inputs!$B$44&gt;0),((Skills!G12*((R1387-1)*IF(Skills!H12&gt;0,Skills!I12/Skills!H12,1)+IF(Skills!H12&gt;0,MIN(Skills!I12,MAX(0,MAX(0,Inputs!$B$44-B1411)-((R1387-1)*IF(Inputs!$B$39="pvp",15,MAX(0.1,Skills!D12-IF(Skills!E12=TRUE,Inputs!$B$33,0))))))/Skills!H12,1)))/Inputs!$B$44),G1387*Q1387))*IF(Inputs!$B$39="pvp",1,1+(Inputs!$B$21+0+Skills!P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Skills!E12=TRUE,Inputs!$B$33,0))))))/Skills!H12,1)))/Inputs!$B$44),G1387*Q1387))*IF(Inputs!$B$39="pvp",1,(1+(Inputs!$B$22+Skills!Q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IFERROR(1/IF(Inputs!$B$39="pvp",15,MAX(0.1,Skills!D13-IF(Skills!E13=TRUE,Inputs!$B$33,0))),0)</f>
        <v/>
      </c>
      <c r="R1388">
        <f>IF(AND(Inputs!$B$39&lt;&gt;"pvp",Inputs!$B$44&gt;0),IF(Inputs!$B$44&lt;=0,0,(INT(Inputs!$B$44/IF(Inputs!$B$39="pvp",15,MAX(0.1,Skills!D13-IF(Skills!E13=TRUE,Inputs!$B$33,0))))+1)),0)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IFERROR(1/IF(Inputs!$B$39="pvp",15,MAX(0.1,Skills!D14-IF(Skills!E14=TRUE,Inputs!$B$33,0))),0)</f>
        <v/>
      </c>
      <c r="R1389">
        <f>IF(AND(Inputs!$B$39&lt;&gt;"pvp",Inputs!$B$44&gt;0),IF(Inputs!$B$44&lt;=0,0,(INT(Inputs!$B$44/IF(Inputs!$B$39="pvp",15,MAX(0.1,Skills!D14-IF(Skills!E14=TRUE,Inputs!$B$33,0))))+1)),0)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IFERROR(1/IF(Inputs!$B$39="pvp",15,MAX(0.1,Skills!D15-IF(Skills!E15=TRUE,Inputs!$B$33,0))),0)</f>
        <v/>
      </c>
      <c r="R1390">
        <f>IF(AND(Inputs!$B$39&lt;&gt;"pvp",Inputs!$B$44&gt;0),IF(Inputs!$B$44&lt;=0,0,(INT(Inputs!$B$44/IF(Inputs!$B$39="pvp",15,MAX(0.1,Skills!D15-IF(Skills!E15=TRUE,Inputs!$B$33,0))))+1)),0)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IFERROR(1/IF(Inputs!$B$39="pvp",15,MAX(0.1,Skills!D16-IF(Skills!E16=TRUE,Inputs!$B$33,0))),0)</f>
        <v/>
      </c>
      <c r="R1391">
        <f>IF(AND(Inputs!$B$39&lt;&gt;"pvp",Inputs!$B$44&gt;0),IF(Inputs!$B$44&lt;=0,0,(INT(Inputs!$B$44/IF(Inputs!$B$39="pvp",15,MAX(0.1,Skills!D16-IF(Skills!E16=TRUE,Inputs!$B$33,0))))+1)),0)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IFERROR(1/IF(Inputs!$B$39="pvp",15,MAX(0.1,Skills!D17-IF(Skills!E17=TRUE,Inputs!$B$33,0))),0)</f>
        <v/>
      </c>
      <c r="R1392">
        <f>IF(AND(Inputs!$B$39&lt;&gt;"pvp",Inputs!$B$44&gt;0),IF(Inputs!$B$44&lt;=0,0,(INT(Inputs!$B$44/IF(Inputs!$B$39="pvp",15,MAX(0.1,Skills!D17-IF(Skills!E17=TRUE,Inputs!$B$33,0))))+1)),0)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IFERROR(1/IF(Inputs!$B$39="pvp",15,MAX(0.1,Skills!D18-IF(Skills!E18=TRUE,Inputs!$B$33,0))),0)</f>
        <v/>
      </c>
      <c r="R1393">
        <f>IF(AND(Inputs!$B$39&lt;&gt;"pvp",Inputs!$B$44&gt;0),IF(Inputs!$B$44&lt;=0,0,(INT(Inputs!$B$44/IF(Inputs!$B$39="pvp",15,MAX(0.1,Skills!D18-IF(Skills!E18=TRUE,Inputs!$B$33,0))))+1)),0)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IFERROR(1/IF(Inputs!$B$39="pvp",15,MAX(0.1,Skills!D19-IF(Skills!E19=TRUE,Inputs!$B$33,0))),0)</f>
        <v/>
      </c>
      <c r="R1394">
        <f>IF(AND(Inputs!$B$39&lt;&gt;"pvp",Inputs!$B$44&gt;0),IF(Inputs!$B$44&lt;=0,0,(INT(Inputs!$B$44/IF(Inputs!$B$39="pvp",15,MAX(0.1,Skills!D19-IF(Skills!E19=TRUE,Inputs!$B$33,0))))+1)),0)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IFERROR(1/IF(Inputs!$B$39="pvp",15,MAX(0.1,Skills!D20-IF(Skills!E20=TRUE,Inputs!$B$33,0))),0)</f>
        <v/>
      </c>
      <c r="R1395">
        <f>IF(AND(Inputs!$B$39&lt;&gt;"pvp",Inputs!$B$44&gt;0),IF(Inputs!$B$44&lt;=0,0,(INT(Inputs!$B$44/IF(Inputs!$B$39="pvp",15,MAX(0.1,Skills!D20-IF(Skills!E20=TRUE,Inputs!$B$33,0))))+1)),0)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Skills!T18*(1+Inputs!$B$35/100))+MIN((Skills!T18*(1+Inputs!$B$35/100)),MAX(0,Inputs!$B$44-((R1393-1)*Skills!D18))))/Inputs!$B$44),IF(Inputs!$B$39="pvp",MIN((Skills!T18*(1+Inputs!$B$35/100)),15)/15,(Skills!T18*(1+Inputs!$B$35/100))/Skills!D18)))</f>
        <v/>
      </c>
    </row>
    <row r="1405">
      <c r="A1405" t="inlineStr">
        <is>
          <t>Attack Speed Buff Bonus %</t>
        </is>
      </c>
      <c r="B1405">
        <f>((C1395=TRUE)*F1395*IF(AND(Inputs!$B$39&lt;&gt;"pvp",Inputs!$B$44&gt;0),(((R1395-1)*(Skills!T20*(1+Inputs!$B$35/100))+MIN((Skills!T20*(1+Inputs!$B$35/100)),MAX(0,Inputs!$B$44-((R1395-1)*Skills!D20))))/Inputs!$B$44),IF(Inputs!$B$39="pvp",MIN((Skills!T20*(1+Inputs!$B$35/100)),15)/15,(Skills!T20*(1+Inputs!$B$35/100))/Skills!D20)))</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Skills!T19*(1+Inputs!$B$35/100))+MIN((Skills!T19*(1+Inputs!$B$35/100)),MAX(0,Inputs!$B$44-((R1394-1)*Skills!D19))))/Inputs!$B$44),IF(Inputs!$B$39="pvp",MIN((Skills!T19*(1+Inputs!$B$35/100)),15)/15,(Skills!T19*(1+Inputs!$B$35/100))/Skills!D19)))</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IFERROR(1/IF(Inputs!$B$39="pvp",15,MAX(0.1,Skills!D5-IF(Skills!E5=TRUE,Inputs!$B$33,0))),0)</f>
        <v/>
      </c>
      <c r="R1422">
        <f>IF(AND(Inputs!$B$39&lt;&gt;"pvp",Inputs!$B$44&gt;0),IF(MAX(0,Inputs!$B$44-B1453)&lt;=0,0,(INT(MAX(0,Inputs!$B$44-B1453)/IF(Inputs!$B$39="pvp",15,MAX(0.1,Skills!D5-IF(Skills!E5=TRUE,Inputs!$B$33,0))))+1)),0)</f>
        <v/>
      </c>
      <c r="S1422">
        <f>IFERROR(O1422/N1422,0)</f>
        <v/>
      </c>
      <c r="T1422">
        <f>IF(C1422,(H1422*N1422*IF(AND(Inputs!$B$39&lt;&gt;"pvp",Inputs!$B$44&gt;0),((Skills!G5*((R1422-1)*IF(Skills!H5&gt;0,Skills!I5/Skills!H5,1)+IF(Skills!H5&gt;0,MIN(Skills!I5,MAX(0,MAX(0,Inputs!$B$44-B1453)-((R1422-1)*IF(Inputs!$B$39="pvp",15,MAX(0.1,Skills!D5-IF(Skills!E5=TRUE,Inputs!$B$33,0))))))/Skills!H5,1)))/Inputs!$B$44),G1422*Q1422))*IF(Inputs!$B$39="pvp",1,1+(Inputs!$B$21+0+Skills!P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Skills!E5=TRUE,Inputs!$B$33,0))))))/Skills!H5,1)))/Inputs!$B$44),G1422*Q1422))*IF(Inputs!$B$39="pvp",1,(1+(Inputs!$B$22+Skills!Q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IFERROR(1/IF(Inputs!$B$39="pvp",15,MAX(0.1,Skills!D6-IF(Skills!E6=TRUE,Inputs!$B$33,0))),0)</f>
        <v/>
      </c>
      <c r="R1423">
        <f>IF(AND(Inputs!$B$39&lt;&gt;"pvp",Inputs!$B$44&gt;0),IF(MAX(0,Inputs!$B$44-B1453)&lt;=0,0,(INT(MAX(0,Inputs!$B$44-B1453)/IF(Inputs!$B$39="pvp",15,MAX(0.1,Skills!D6-IF(Skills!E6=TRUE,Inputs!$B$33,0))))+1)),0)</f>
        <v/>
      </c>
      <c r="S1423">
        <f>IFERROR(O1423/N1423,0)</f>
        <v/>
      </c>
      <c r="T1423">
        <f>IF(C1423,(H1423*N1423*IF(AND(Inputs!$B$39&lt;&gt;"pvp",Inputs!$B$44&gt;0),((Skills!G6*((R1423-1)*IF(Skills!H6&gt;0,Skills!I6/Skills!H6,1)+IF(Skills!H6&gt;0,MIN(Skills!I6,MAX(0,MAX(0,Inputs!$B$44-B1453)-((R1423-1)*IF(Inputs!$B$39="pvp",15,MAX(0.1,Skills!D6-IF(Skills!E6=TRUE,Inputs!$B$33,0))))))/Skills!H6,1)))/Inputs!$B$44),G1423*Q1423))*IF(Inputs!$B$39="pvp",1,1+(Inputs!$B$21+0+Skills!P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Skills!E6=TRUE,Inputs!$B$33,0))))))/Skills!H6,1)))/Inputs!$B$44),G1423*Q1423))*IF(Inputs!$B$39="pvp",1,(1+(Inputs!$B$22+Skills!Q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IFERROR(1/IF(Inputs!$B$39="pvp",15,MAX(0.1,Skills!D7-IF(Skills!E7=TRUE,Inputs!$B$33,0))),0)</f>
        <v/>
      </c>
      <c r="R1424">
        <f>IF(AND(Inputs!$B$39&lt;&gt;"pvp",Inputs!$B$44&gt;0),IF(MAX(0,Inputs!$B$44-B1453)&lt;=0,0,(INT(MAX(0,Inputs!$B$44-B1453)/IF(Inputs!$B$39="pvp",15,MAX(0.1,Skills!D7-IF(Skills!E7=TRUE,Inputs!$B$33,0))))+1)),0)</f>
        <v/>
      </c>
      <c r="S1424">
        <f>IFERROR(O1424/N1424,0)</f>
        <v/>
      </c>
      <c r="T1424">
        <f>IF(C1424,(H1424*N1424*IF(AND(Inputs!$B$39&lt;&gt;"pvp",Inputs!$B$44&gt;0),((Skills!G7*((R1424-1)*IF(Skills!H7&gt;0,Skills!I7/Skills!H7,1)+IF(Skills!H7&gt;0,MIN(Skills!I7,MAX(0,MAX(0,Inputs!$B$44-B1453)-((R1424-1)*IF(Inputs!$B$39="pvp",15,MAX(0.1,Skills!D7-IF(Skills!E7=TRUE,Inputs!$B$33,0))))))/Skills!H7,1)))/Inputs!$B$44),G1424*Q1424))*IF(Inputs!$B$39="pvp",1,1+(Inputs!$B$21+0+Skills!P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Skills!E7=TRUE,Inputs!$B$33,0))))))/Skills!H7,1)))/Inputs!$B$44),G1424*Q1424))*IF(Inputs!$B$39="pvp",1,(1+(Inputs!$B$22+Skills!Q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IFERROR(1/IF(Inputs!$B$39="pvp",15,MAX(0.1,Skills!D9-IF(Skills!E9=TRUE,Inputs!$B$33,0))),0)</f>
        <v/>
      </c>
      <c r="R1426">
        <f>IF(AND(Inputs!$B$39&lt;&gt;"pvp",Inputs!$B$44&gt;0),IF(MAX(0,Inputs!$B$44-B1453)&lt;=0,0,(INT(MAX(0,Inputs!$B$44-B1453)/IF(Inputs!$B$39="pvp",15,MAX(0.1,Skills!D9-IF(Skills!E9=TRUE,Inputs!$B$33,0))))+1)),0)</f>
        <v/>
      </c>
      <c r="S1426">
        <f>IFERROR(O1426/N1426,0)</f>
        <v/>
      </c>
      <c r="T1426">
        <f>IF(C1426,(H1426*N1426*IF(AND(Inputs!$B$39&lt;&gt;"pvp",Inputs!$B$44&gt;0),((Skills!G9*((R1426-1)*IF(Skills!H9&gt;0,Skills!I9/Skills!H9,1)+IF(Skills!H9&gt;0,MIN(Skills!I9,MAX(0,MAX(0,Inputs!$B$44-B1453)-((R1426-1)*IF(Inputs!$B$39="pvp",15,MAX(0.1,Skills!D9-IF(Skills!E9=TRUE,Inputs!$B$33,0))))))/Skills!H9,1)))/Inputs!$B$44),G1426*Q1426))*IF(Inputs!$B$39="pvp",1,1+(Inputs!$B$21+0+Skills!P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Skills!E9=TRUE,Inputs!$B$33,0))))))/Skills!H9,1)))/Inputs!$B$44),G1426*Q1426))*IF(Inputs!$B$39="pvp",1,(1+(Inputs!$B$22+Skills!Q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IFERROR(1/IF(Inputs!$B$39="pvp",15,MAX(0.1,Skills!D10-IF(Skills!E10=TRUE,Inputs!$B$33,0))),0)</f>
        <v/>
      </c>
      <c r="R1427">
        <f>IF(AND(Inputs!$B$39&lt;&gt;"pvp",Inputs!$B$44&gt;0),IF(MAX(0,Inputs!$B$44-B1453)&lt;=0,0,(INT(MAX(0,Inputs!$B$44-B1453)/IF(Inputs!$B$39="pvp",15,MAX(0.1,Skills!D10-IF(Skills!E10=TRUE,Inputs!$B$33,0))))+1)),0)</f>
        <v/>
      </c>
      <c r="S1427">
        <f>IFERROR(O1427/N1427,0)</f>
        <v/>
      </c>
      <c r="T1427">
        <f>IF(C1427,(H1427*N1427*IF(AND(Inputs!$B$39&lt;&gt;"pvp",Inputs!$B$44&gt;0),((Skills!G10*((R1427-1)*IF(Skills!H10&gt;0,Skills!I10/Skills!H10,1)+IF(Skills!H10&gt;0,MIN(Skills!I10,MAX(0,MAX(0,Inputs!$B$44-B1453)-((R1427-1)*IF(Inputs!$B$39="pvp",15,MAX(0.1,Skills!D10-IF(Skills!E10=TRUE,Inputs!$B$33,0))))))/Skills!H10,1)))/Inputs!$B$44),G1427*Q1427))*IF(Inputs!$B$39="pvp",1,1+(Inputs!$B$21+0+Skills!P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Skills!E10=TRUE,Inputs!$B$33,0))))))/Skills!H10,1)))/Inputs!$B$44),G1427*Q1427))*IF(Inputs!$B$39="pvp",1,(1+(Inputs!$B$22+Skills!Q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IFERROR(1/IF(Inputs!$B$39="pvp",15,MAX(0.1,Skills!D12-IF(Skills!E12=TRUE,Inputs!$B$33,0))),0)</f>
        <v/>
      </c>
      <c r="R1429">
        <f>IF(AND(Inputs!$B$39&lt;&gt;"pvp",Inputs!$B$44&gt;0),IF(MAX(0,Inputs!$B$44-B1453)&lt;=0,0,(INT(MAX(0,Inputs!$B$44-B1453)/IF(Inputs!$B$39="pvp",15,MAX(0.1,Skills!D12-IF(Skills!E12=TRUE,Inputs!$B$33,0))))+1)),0)</f>
        <v/>
      </c>
      <c r="S1429">
        <f>IFERROR(O1429/N1429,0)</f>
        <v/>
      </c>
      <c r="T1429">
        <f>IF(C1429,(H1429*N1429*IF(AND(Inputs!$B$39&lt;&gt;"pvp",Inputs!$B$44&gt;0),((Skills!G12*((R1429-1)*IF(Skills!H12&gt;0,Skills!I12/Skills!H12,1)+IF(Skills!H12&gt;0,MIN(Skills!I12,MAX(0,MAX(0,Inputs!$B$44-B1453)-((R1429-1)*IF(Inputs!$B$39="pvp",15,MAX(0.1,Skills!D12-IF(Skills!E12=TRUE,Inputs!$B$33,0))))))/Skills!H12,1)))/Inputs!$B$44),G1429*Q1429))*IF(Inputs!$B$39="pvp",1,1+(Inputs!$B$21+0+Skills!P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Skills!E12=TRUE,Inputs!$B$33,0))))))/Skills!H12,1)))/Inputs!$B$44),G1429*Q1429))*IF(Inputs!$B$39="pvp",1,(1+(Inputs!$B$22+Skills!Q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IFERROR(1/IF(Inputs!$B$39="pvp",15,MAX(0.1,Skills!D13-IF(Skills!E13=TRUE,Inputs!$B$33,0))),0)</f>
        <v/>
      </c>
      <c r="R1430">
        <f>IF(AND(Inputs!$B$39&lt;&gt;"pvp",Inputs!$B$44&gt;0),IF(Inputs!$B$44&lt;=0,0,(INT(Inputs!$B$44/IF(Inputs!$B$39="pvp",15,MAX(0.1,Skills!D13-IF(Skills!E13=TRUE,Inputs!$B$33,0))))+1)),0)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IFERROR(1/IF(Inputs!$B$39="pvp",15,MAX(0.1,Skills!D14-IF(Skills!E14=TRUE,Inputs!$B$33,0))),0)</f>
        <v/>
      </c>
      <c r="R1431">
        <f>IF(AND(Inputs!$B$39&lt;&gt;"pvp",Inputs!$B$44&gt;0),IF(Inputs!$B$44&lt;=0,0,(INT(Inputs!$B$44/IF(Inputs!$B$39="pvp",15,MAX(0.1,Skills!D14-IF(Skills!E14=TRUE,Inputs!$B$33,0))))+1)),0)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IFERROR(1/IF(Inputs!$B$39="pvp",15,MAX(0.1,Skills!D15-IF(Skills!E15=TRUE,Inputs!$B$33,0))),0)</f>
        <v/>
      </c>
      <c r="R1432">
        <f>IF(AND(Inputs!$B$39&lt;&gt;"pvp",Inputs!$B$44&gt;0),IF(Inputs!$B$44&lt;=0,0,(INT(Inputs!$B$44/IF(Inputs!$B$39="pvp",15,MAX(0.1,Skills!D15-IF(Skills!E15=TRUE,Inputs!$B$33,0))))+1)),0)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IFERROR(1/IF(Inputs!$B$39="pvp",15,MAX(0.1,Skills!D16-IF(Skills!E16=TRUE,Inputs!$B$33,0))),0)</f>
        <v/>
      </c>
      <c r="R1433">
        <f>IF(AND(Inputs!$B$39&lt;&gt;"pvp",Inputs!$B$44&gt;0),IF(Inputs!$B$44&lt;=0,0,(INT(Inputs!$B$44/IF(Inputs!$B$39="pvp",15,MAX(0.1,Skills!D16-IF(Skills!E16=TRUE,Inputs!$B$33,0))))+1)),0)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IFERROR(1/IF(Inputs!$B$39="pvp",15,MAX(0.1,Skills!D17-IF(Skills!E17=TRUE,Inputs!$B$33,0))),0)</f>
        <v/>
      </c>
      <c r="R1434">
        <f>IF(AND(Inputs!$B$39&lt;&gt;"pvp",Inputs!$B$44&gt;0),IF(Inputs!$B$44&lt;=0,0,(INT(Inputs!$B$44/IF(Inputs!$B$39="pvp",15,MAX(0.1,Skills!D17-IF(Skills!E17=TRUE,Inputs!$B$33,0))))+1)),0)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IFERROR(1/IF(Inputs!$B$39="pvp",15,MAX(0.1,Skills!D18-IF(Skills!E18=TRUE,Inputs!$B$33,0))),0)</f>
        <v/>
      </c>
      <c r="R1435">
        <f>IF(AND(Inputs!$B$39&lt;&gt;"pvp",Inputs!$B$44&gt;0),IF(Inputs!$B$44&lt;=0,0,(INT(Inputs!$B$44/IF(Inputs!$B$39="pvp",15,MAX(0.1,Skills!D18-IF(Skills!E18=TRUE,Inputs!$B$33,0))))+1)),0)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IFERROR(1/IF(Inputs!$B$39="pvp",15,MAX(0.1,Skills!D19-IF(Skills!E19=TRUE,Inputs!$B$33,0))),0)</f>
        <v/>
      </c>
      <c r="R1436">
        <f>IF(AND(Inputs!$B$39&lt;&gt;"pvp",Inputs!$B$44&gt;0),IF(Inputs!$B$44&lt;=0,0,(INT(Inputs!$B$44/IF(Inputs!$B$39="pvp",15,MAX(0.1,Skills!D19-IF(Skills!E19=TRUE,Inputs!$B$33,0))))+1)),0)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IFERROR(1/IF(Inputs!$B$39="pvp",15,MAX(0.1,Skills!D20-IF(Skills!E20=TRUE,Inputs!$B$33,0))),0)</f>
        <v/>
      </c>
      <c r="R1437">
        <f>IF(AND(Inputs!$B$39&lt;&gt;"pvp",Inputs!$B$44&gt;0),IF(Inputs!$B$44&lt;=0,0,(INT(Inputs!$B$44/IF(Inputs!$B$39="pvp",15,MAX(0.1,Skills!D20-IF(Skills!E20=TRUE,Inputs!$B$33,0))))+1)),0)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Skills!T18*(1+Inputs!$B$35/100))+MIN((Skills!T18*(1+Inputs!$B$35/100)),MAX(0,Inputs!$B$44-((R1435-1)*Skills!D18))))/Inputs!$B$44),IF(Inputs!$B$39="pvp",MIN((Skills!T18*(1+Inputs!$B$35/100)),15)/15,(Skills!T18*(1+Inputs!$B$35/100))/Skills!D18)))</f>
        <v/>
      </c>
    </row>
    <row r="1447">
      <c r="A1447" t="inlineStr">
        <is>
          <t>Attack Speed Buff Bonus %</t>
        </is>
      </c>
      <c r="B1447">
        <f>((C1437=TRUE)*F1437*IF(AND(Inputs!$B$39&lt;&gt;"pvp",Inputs!$B$44&gt;0),(((R1437-1)*(Skills!T20*(1+Inputs!$B$35/100))+MIN((Skills!T20*(1+Inputs!$B$35/100)),MAX(0,Inputs!$B$44-((R1437-1)*Skills!D20))))/Inputs!$B$44),IF(Inputs!$B$39="pvp",MIN((Skills!T20*(1+Inputs!$B$35/100)),15)/15,(Skills!T20*(1+Inputs!$B$35/100))/Skills!D20)))</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Skills!T19*(1+Inputs!$B$35/100))+MIN((Skills!T19*(1+Inputs!$B$35/100)),MAX(0,Inputs!$B$44-((R1436-1)*Skills!D19))))/Inputs!$B$44),IF(Inputs!$B$39="pvp",MIN((Skills!T19*(1+Inputs!$B$35/100)),15)/15,(Skills!T19*(1+Inputs!$B$35/100))/Skills!D19)))</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IFERROR(1/IF(Inputs!$B$39="pvp",15,MAX(0.1,Skills!D5-IF(Skills!E5=TRUE,Inputs!$B$33,0))),0)</f>
        <v/>
      </c>
      <c r="R1464">
        <f>IF(AND(Inputs!$B$39&lt;&gt;"pvp",Inputs!$B$44&gt;0),IF(MAX(0,Inputs!$B$44-B1495)&lt;=0,0,(INT(MAX(0,Inputs!$B$44-B1495)/IF(Inputs!$B$39="pvp",15,MAX(0.1,Skills!D5-IF(Skills!E5=TRUE,Inputs!$B$33,0))))+1)),0)</f>
        <v/>
      </c>
      <c r="S1464">
        <f>IFERROR(O1464/N1464,0)</f>
        <v/>
      </c>
      <c r="T1464">
        <f>IF(C1464,(H1464*N1464*IF(AND(Inputs!$B$39&lt;&gt;"pvp",Inputs!$B$44&gt;0),((Skills!G5*((R1464-1)*IF(Skills!H5&gt;0,Skills!I5/Skills!H5,1)+IF(Skills!H5&gt;0,MIN(Skills!I5,MAX(0,MAX(0,Inputs!$B$44-B1495)-((R1464-1)*IF(Inputs!$B$39="pvp",15,MAX(0.1,Skills!D5-IF(Skills!E5=TRUE,Inputs!$B$33,0))))))/Skills!H5,1)))/Inputs!$B$44),G1464*Q1464))*IF(Inputs!$B$39="pvp",1,1+(Inputs!$B$21+0+Skills!P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Skills!E5=TRUE,Inputs!$B$33,0))))))/Skills!H5,1)))/Inputs!$B$44),G1464*Q1464))*IF(Inputs!$B$39="pvp",1,(1+(Inputs!$B$22+Skills!Q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IFERROR(1/IF(Inputs!$B$39="pvp",15,MAX(0.1,Skills!D6-IF(Skills!E6=TRUE,Inputs!$B$33,0))),0)</f>
        <v/>
      </c>
      <c r="R1465">
        <f>IF(AND(Inputs!$B$39&lt;&gt;"pvp",Inputs!$B$44&gt;0),IF(MAX(0,Inputs!$B$44-B1495)&lt;=0,0,(INT(MAX(0,Inputs!$B$44-B1495)/IF(Inputs!$B$39="pvp",15,MAX(0.1,Skills!D6-IF(Skills!E6=TRUE,Inputs!$B$33,0))))+1)),0)</f>
        <v/>
      </c>
      <c r="S1465">
        <f>IFERROR(O1465/N1465,0)</f>
        <v/>
      </c>
      <c r="T1465">
        <f>IF(C1465,(H1465*N1465*IF(AND(Inputs!$B$39&lt;&gt;"pvp",Inputs!$B$44&gt;0),((Skills!G6*((R1465-1)*IF(Skills!H6&gt;0,Skills!I6/Skills!H6,1)+IF(Skills!H6&gt;0,MIN(Skills!I6,MAX(0,MAX(0,Inputs!$B$44-B1495)-((R1465-1)*IF(Inputs!$B$39="pvp",15,MAX(0.1,Skills!D6-IF(Skills!E6=TRUE,Inputs!$B$33,0))))))/Skills!H6,1)))/Inputs!$B$44),G1465*Q1465))*IF(Inputs!$B$39="pvp",1,1+(Inputs!$B$21+0+Skills!P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Skills!E6=TRUE,Inputs!$B$33,0))))))/Skills!H6,1)))/Inputs!$B$44),G1465*Q1465))*IF(Inputs!$B$39="pvp",1,(1+(Inputs!$B$22+Skills!Q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IFERROR(1/IF(Inputs!$B$39="pvp",15,MAX(0.1,Skills!D7-IF(Skills!E7=TRUE,Inputs!$B$33,0))),0)</f>
        <v/>
      </c>
      <c r="R1466">
        <f>IF(AND(Inputs!$B$39&lt;&gt;"pvp",Inputs!$B$44&gt;0),IF(MAX(0,Inputs!$B$44-B1495)&lt;=0,0,(INT(MAX(0,Inputs!$B$44-B1495)/IF(Inputs!$B$39="pvp",15,MAX(0.1,Skills!D7-IF(Skills!E7=TRUE,Inputs!$B$33,0))))+1)),0)</f>
        <v/>
      </c>
      <c r="S1466">
        <f>IFERROR(O1466/N1466,0)</f>
        <v/>
      </c>
      <c r="T1466">
        <f>IF(C1466,(H1466*N1466*IF(AND(Inputs!$B$39&lt;&gt;"pvp",Inputs!$B$44&gt;0),((Skills!G7*((R1466-1)*IF(Skills!H7&gt;0,Skills!I7/Skills!H7,1)+IF(Skills!H7&gt;0,MIN(Skills!I7,MAX(0,MAX(0,Inputs!$B$44-B1495)-((R1466-1)*IF(Inputs!$B$39="pvp",15,MAX(0.1,Skills!D7-IF(Skills!E7=TRUE,Inputs!$B$33,0))))))/Skills!H7,1)))/Inputs!$B$44),G1466*Q1466))*IF(Inputs!$B$39="pvp",1,1+(Inputs!$B$21+0+Skills!P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Skills!E7=TRUE,Inputs!$B$33,0))))))/Skills!H7,1)))/Inputs!$B$44),G1466*Q1466))*IF(Inputs!$B$39="pvp",1,(1+(Inputs!$B$22+Skills!Q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IFERROR(1/IF(Inputs!$B$39="pvp",15,MAX(0.1,Skills!D9-IF(Skills!E9=TRUE,Inputs!$B$33,0))),0)</f>
        <v/>
      </c>
      <c r="R1468">
        <f>IF(AND(Inputs!$B$39&lt;&gt;"pvp",Inputs!$B$44&gt;0),IF(MAX(0,Inputs!$B$44-B1495)&lt;=0,0,(INT(MAX(0,Inputs!$B$44-B1495)/IF(Inputs!$B$39="pvp",15,MAX(0.1,Skills!D9-IF(Skills!E9=TRUE,Inputs!$B$33,0))))+1)),0)</f>
        <v/>
      </c>
      <c r="S1468">
        <f>IFERROR(O1468/N1468,0)</f>
        <v/>
      </c>
      <c r="T1468">
        <f>IF(C1468,(H1468*N1468*IF(AND(Inputs!$B$39&lt;&gt;"pvp",Inputs!$B$44&gt;0),((Skills!G9*((R1468-1)*IF(Skills!H9&gt;0,Skills!I9/Skills!H9,1)+IF(Skills!H9&gt;0,MIN(Skills!I9,MAX(0,MAX(0,Inputs!$B$44-B1495)-((R1468-1)*IF(Inputs!$B$39="pvp",15,MAX(0.1,Skills!D9-IF(Skills!E9=TRUE,Inputs!$B$33,0))))))/Skills!H9,1)))/Inputs!$B$44),G1468*Q1468))*IF(Inputs!$B$39="pvp",1,1+(Inputs!$B$21+0+Skills!P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Skills!E9=TRUE,Inputs!$B$33,0))))))/Skills!H9,1)))/Inputs!$B$44),G1468*Q1468))*IF(Inputs!$B$39="pvp",1,(1+(Inputs!$B$22+Skills!Q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IFERROR(1/IF(Inputs!$B$39="pvp",15,MAX(0.1,Skills!D10-IF(Skills!E10=TRUE,Inputs!$B$33,0))),0)</f>
        <v/>
      </c>
      <c r="R1469">
        <f>IF(AND(Inputs!$B$39&lt;&gt;"pvp",Inputs!$B$44&gt;0),IF(MAX(0,Inputs!$B$44-B1495)&lt;=0,0,(INT(MAX(0,Inputs!$B$44-B1495)/IF(Inputs!$B$39="pvp",15,MAX(0.1,Skills!D10-IF(Skills!E10=TRUE,Inputs!$B$33,0))))+1)),0)</f>
        <v/>
      </c>
      <c r="S1469">
        <f>IFERROR(O1469/N1469,0)</f>
        <v/>
      </c>
      <c r="T1469">
        <f>IF(C1469,(H1469*N1469*IF(AND(Inputs!$B$39&lt;&gt;"pvp",Inputs!$B$44&gt;0),((Skills!G10*((R1469-1)*IF(Skills!H10&gt;0,Skills!I10/Skills!H10,1)+IF(Skills!H10&gt;0,MIN(Skills!I10,MAX(0,MAX(0,Inputs!$B$44-B1495)-((R1469-1)*IF(Inputs!$B$39="pvp",15,MAX(0.1,Skills!D10-IF(Skills!E10=TRUE,Inputs!$B$33,0))))))/Skills!H10,1)))/Inputs!$B$44),G1469*Q1469))*IF(Inputs!$B$39="pvp",1,1+(Inputs!$B$21+0+Skills!P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Skills!E10=TRUE,Inputs!$B$33,0))))))/Skills!H10,1)))/Inputs!$B$44),G1469*Q1469))*IF(Inputs!$B$39="pvp",1,(1+(Inputs!$B$22+Skills!Q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IFERROR(1/IF(Inputs!$B$39="pvp",15,MAX(0.1,Skills!D12-IF(Skills!E12=TRUE,Inputs!$B$33,0))),0)</f>
        <v/>
      </c>
      <c r="R1471">
        <f>IF(AND(Inputs!$B$39&lt;&gt;"pvp",Inputs!$B$44&gt;0),IF(MAX(0,Inputs!$B$44-B1495)&lt;=0,0,(INT(MAX(0,Inputs!$B$44-B1495)/IF(Inputs!$B$39="pvp",15,MAX(0.1,Skills!D12-IF(Skills!E12=TRUE,Inputs!$B$33,0))))+1)),0)</f>
        <v/>
      </c>
      <c r="S1471">
        <f>IFERROR(O1471/N1471,0)</f>
        <v/>
      </c>
      <c r="T1471">
        <f>IF(C1471,(H1471*N1471*IF(AND(Inputs!$B$39&lt;&gt;"pvp",Inputs!$B$44&gt;0),((Skills!G12*((R1471-1)*IF(Skills!H12&gt;0,Skills!I12/Skills!H12,1)+IF(Skills!H12&gt;0,MIN(Skills!I12,MAX(0,MAX(0,Inputs!$B$44-B1495)-((R1471-1)*IF(Inputs!$B$39="pvp",15,MAX(0.1,Skills!D12-IF(Skills!E12=TRUE,Inputs!$B$33,0))))))/Skills!H12,1)))/Inputs!$B$44),G1471*Q1471))*IF(Inputs!$B$39="pvp",1,1+(Inputs!$B$21+0+Skills!P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Skills!E12=TRUE,Inputs!$B$33,0))))))/Skills!H12,1)))/Inputs!$B$44),G1471*Q1471))*IF(Inputs!$B$39="pvp",1,(1+(Inputs!$B$22+Skills!Q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IFERROR(1/IF(Inputs!$B$39="pvp",15,MAX(0.1,Skills!D13-IF(Skills!E13=TRUE,Inputs!$B$33,0))),0)</f>
        <v/>
      </c>
      <c r="R1472">
        <f>IF(AND(Inputs!$B$39&lt;&gt;"pvp",Inputs!$B$44&gt;0),IF(Inputs!$B$44&lt;=0,0,(INT(Inputs!$B$44/IF(Inputs!$B$39="pvp",15,MAX(0.1,Skills!D13-IF(Skills!E13=TRUE,Inputs!$B$33,0))))+1)),0)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IFERROR(1/IF(Inputs!$B$39="pvp",15,MAX(0.1,Skills!D14-IF(Skills!E14=TRUE,Inputs!$B$33,0))),0)</f>
        <v/>
      </c>
      <c r="R1473">
        <f>IF(AND(Inputs!$B$39&lt;&gt;"pvp",Inputs!$B$44&gt;0),IF(Inputs!$B$44&lt;=0,0,(INT(Inputs!$B$44/IF(Inputs!$B$39="pvp",15,MAX(0.1,Skills!D14-IF(Skills!E14=TRUE,Inputs!$B$33,0))))+1)),0)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IFERROR(1/IF(Inputs!$B$39="pvp",15,MAX(0.1,Skills!D15-IF(Skills!E15=TRUE,Inputs!$B$33,0))),0)</f>
        <v/>
      </c>
      <c r="R1474">
        <f>IF(AND(Inputs!$B$39&lt;&gt;"pvp",Inputs!$B$44&gt;0),IF(Inputs!$B$44&lt;=0,0,(INT(Inputs!$B$44/IF(Inputs!$B$39="pvp",15,MAX(0.1,Skills!D15-IF(Skills!E15=TRUE,Inputs!$B$33,0))))+1)),0)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IFERROR(1/IF(Inputs!$B$39="pvp",15,MAX(0.1,Skills!D16-IF(Skills!E16=TRUE,Inputs!$B$33,0))),0)</f>
        <v/>
      </c>
      <c r="R1475">
        <f>IF(AND(Inputs!$B$39&lt;&gt;"pvp",Inputs!$B$44&gt;0),IF(Inputs!$B$44&lt;=0,0,(INT(Inputs!$B$44/IF(Inputs!$B$39="pvp",15,MAX(0.1,Skills!D16-IF(Skills!E16=TRUE,Inputs!$B$33,0))))+1)),0)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IFERROR(1/IF(Inputs!$B$39="pvp",15,MAX(0.1,Skills!D17-IF(Skills!E17=TRUE,Inputs!$B$33,0))),0)</f>
        <v/>
      </c>
      <c r="R1476">
        <f>IF(AND(Inputs!$B$39&lt;&gt;"pvp",Inputs!$B$44&gt;0),IF(Inputs!$B$44&lt;=0,0,(INT(Inputs!$B$44/IF(Inputs!$B$39="pvp",15,MAX(0.1,Skills!D17-IF(Skills!E17=TRUE,Inputs!$B$33,0))))+1)),0)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IFERROR(1/IF(Inputs!$B$39="pvp",15,MAX(0.1,Skills!D18-IF(Skills!E18=TRUE,Inputs!$B$33,0))),0)</f>
        <v/>
      </c>
      <c r="R1477">
        <f>IF(AND(Inputs!$B$39&lt;&gt;"pvp",Inputs!$B$44&gt;0),IF(Inputs!$B$44&lt;=0,0,(INT(Inputs!$B$44/IF(Inputs!$B$39="pvp",15,MAX(0.1,Skills!D18-IF(Skills!E18=TRUE,Inputs!$B$33,0))))+1)),0)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IFERROR(1/IF(Inputs!$B$39="pvp",15,MAX(0.1,Skills!D19-IF(Skills!E19=TRUE,Inputs!$B$33,0))),0)</f>
        <v/>
      </c>
      <c r="R1478">
        <f>IF(AND(Inputs!$B$39&lt;&gt;"pvp",Inputs!$B$44&gt;0),IF(Inputs!$B$44&lt;=0,0,(INT(Inputs!$B$44/IF(Inputs!$B$39="pvp",15,MAX(0.1,Skills!D19-IF(Skills!E19=TRUE,Inputs!$B$33,0))))+1)),0)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IFERROR(1/IF(Inputs!$B$39="pvp",15,MAX(0.1,Skills!D20-IF(Skills!E20=TRUE,Inputs!$B$33,0))),0)</f>
        <v/>
      </c>
      <c r="R1479">
        <f>IF(AND(Inputs!$B$39&lt;&gt;"pvp",Inputs!$B$44&gt;0),IF(Inputs!$B$44&lt;=0,0,(INT(Inputs!$B$44/IF(Inputs!$B$39="pvp",15,MAX(0.1,Skills!D20-IF(Skills!E20=TRUE,Inputs!$B$33,0))))+1)),0)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Skills!T18*(1+Inputs!$B$35/100))+MIN((Skills!T18*(1+Inputs!$B$35/100)),MAX(0,Inputs!$B$44-((R1477-1)*Skills!D18))))/Inputs!$B$44),IF(Inputs!$B$39="pvp",MIN((Skills!T18*(1+Inputs!$B$35/100)),15)/15,(Skills!T18*(1+Inputs!$B$35/100))/Skills!D18)))</f>
        <v/>
      </c>
    </row>
    <row r="1489">
      <c r="A1489" t="inlineStr">
        <is>
          <t>Attack Speed Buff Bonus %</t>
        </is>
      </c>
      <c r="B1489">
        <f>((C1479=TRUE)*F1479*IF(AND(Inputs!$B$39&lt;&gt;"pvp",Inputs!$B$44&gt;0),(((R1479-1)*(Skills!T20*(1+Inputs!$B$35/100))+MIN((Skills!T20*(1+Inputs!$B$35/100)),MAX(0,Inputs!$B$44-((R1479-1)*Skills!D20))))/Inputs!$B$44),IF(Inputs!$B$39="pvp",MIN((Skills!T20*(1+Inputs!$B$35/100)),15)/15,(Skills!T20*(1+Inputs!$B$35/100))/Skills!D20)))</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Skills!T19*(1+Inputs!$B$35/100))+MIN((Skills!T19*(1+Inputs!$B$35/100)),MAX(0,Inputs!$B$44-((R1478-1)*Skills!D19))))/Inputs!$B$44),IF(Inputs!$B$39="pvp",MIN((Skills!T19*(1+Inputs!$B$35/100)),15)/15,(Skills!T19*(1+Inputs!$B$35/100))/Skills!D19)))</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IFERROR(1/IF(Inputs!$B$39="pvp",15,MAX(0.1,Skills!D5-IF(Skills!E5=TRUE,Inputs!$B$33,0))),0)</f>
        <v/>
      </c>
      <c r="R1506">
        <f>IF(AND(Inputs!$B$39&lt;&gt;"pvp",Inputs!$B$44&gt;0),IF(MAX(0,Inputs!$B$44-B1537)&lt;=0,0,(INT(MAX(0,Inputs!$B$44-B1537)/IF(Inputs!$B$39="pvp",15,MAX(0.1,Skills!D5-IF(Skills!E5=TRUE,Inputs!$B$33,0))))+1)),0)</f>
        <v/>
      </c>
      <c r="S1506">
        <f>IFERROR(O1506/N1506,0)</f>
        <v/>
      </c>
      <c r="T1506">
        <f>IF(C1506,(H1506*N1506*IF(AND(Inputs!$B$39&lt;&gt;"pvp",Inputs!$B$44&gt;0),((Skills!G5*((R1506-1)*IF(Skills!H5&gt;0,Skills!I5/Skills!H5,1)+IF(Skills!H5&gt;0,MIN(Skills!I5,MAX(0,MAX(0,Inputs!$B$44-B1537)-((R1506-1)*IF(Inputs!$B$39="pvp",15,MAX(0.1,Skills!D5-IF(Skills!E5=TRUE,Inputs!$B$33,0))))))/Skills!H5,1)))/Inputs!$B$44),G1506*Q1506))*IF(Inputs!$B$39="pvp",1,1+(Inputs!$B$21+0+Skills!P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Skills!E5=TRUE,Inputs!$B$33,0))))))/Skills!H5,1)))/Inputs!$B$44),G1506*Q1506))*IF(Inputs!$B$39="pvp",1,(1+(Inputs!$B$22+Skills!Q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IFERROR(1/IF(Inputs!$B$39="pvp",15,MAX(0.1,Skills!D6-IF(Skills!E6=TRUE,Inputs!$B$33,0))),0)</f>
        <v/>
      </c>
      <c r="R1507">
        <f>IF(AND(Inputs!$B$39&lt;&gt;"pvp",Inputs!$B$44&gt;0),IF(MAX(0,Inputs!$B$44-B1537)&lt;=0,0,(INT(MAX(0,Inputs!$B$44-B1537)/IF(Inputs!$B$39="pvp",15,MAX(0.1,Skills!D6-IF(Skills!E6=TRUE,Inputs!$B$33,0))))+1)),0)</f>
        <v/>
      </c>
      <c r="S1507">
        <f>IFERROR(O1507/N1507,0)</f>
        <v/>
      </c>
      <c r="T1507">
        <f>IF(C1507,(H1507*N1507*IF(AND(Inputs!$B$39&lt;&gt;"pvp",Inputs!$B$44&gt;0),((Skills!G6*((R1507-1)*IF(Skills!H6&gt;0,Skills!I6/Skills!H6,1)+IF(Skills!H6&gt;0,MIN(Skills!I6,MAX(0,MAX(0,Inputs!$B$44-B1537)-((R1507-1)*IF(Inputs!$B$39="pvp",15,MAX(0.1,Skills!D6-IF(Skills!E6=TRUE,Inputs!$B$33,0))))))/Skills!H6,1)))/Inputs!$B$44),G1507*Q1507))*IF(Inputs!$B$39="pvp",1,1+(Inputs!$B$21+0+Skills!P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Skills!E6=TRUE,Inputs!$B$33,0))))))/Skills!H6,1)))/Inputs!$B$44),G1507*Q1507))*IF(Inputs!$B$39="pvp",1,(1+(Inputs!$B$22+Skills!Q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IFERROR(1/IF(Inputs!$B$39="pvp",15,MAX(0.1,Skills!D7-IF(Skills!E7=TRUE,Inputs!$B$33,0))),0)</f>
        <v/>
      </c>
      <c r="R1508">
        <f>IF(AND(Inputs!$B$39&lt;&gt;"pvp",Inputs!$B$44&gt;0),IF(MAX(0,Inputs!$B$44-B1537)&lt;=0,0,(INT(MAX(0,Inputs!$B$44-B1537)/IF(Inputs!$B$39="pvp",15,MAX(0.1,Skills!D7-IF(Skills!E7=TRUE,Inputs!$B$33,0))))+1)),0)</f>
        <v/>
      </c>
      <c r="S1508">
        <f>IFERROR(O1508/N1508,0)</f>
        <v/>
      </c>
      <c r="T1508">
        <f>IF(C1508,(H1508*N1508*IF(AND(Inputs!$B$39&lt;&gt;"pvp",Inputs!$B$44&gt;0),((Skills!G7*((R1508-1)*IF(Skills!H7&gt;0,Skills!I7/Skills!H7,1)+IF(Skills!H7&gt;0,MIN(Skills!I7,MAX(0,MAX(0,Inputs!$B$44-B1537)-((R1508-1)*IF(Inputs!$B$39="pvp",15,MAX(0.1,Skills!D7-IF(Skills!E7=TRUE,Inputs!$B$33,0))))))/Skills!H7,1)))/Inputs!$B$44),G1508*Q1508))*IF(Inputs!$B$39="pvp",1,1+(Inputs!$B$21+0+Skills!P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Skills!E7=TRUE,Inputs!$B$33,0))))))/Skills!H7,1)))/Inputs!$B$44),G1508*Q1508))*IF(Inputs!$B$39="pvp",1,(1+(Inputs!$B$22+Skills!Q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IFERROR(1/IF(Inputs!$B$39="pvp",15,MAX(0.1,Skills!D9-IF(Skills!E9=TRUE,Inputs!$B$33,0))),0)</f>
        <v/>
      </c>
      <c r="R1510">
        <f>IF(AND(Inputs!$B$39&lt;&gt;"pvp",Inputs!$B$44&gt;0),IF(MAX(0,Inputs!$B$44-B1537)&lt;=0,0,(INT(MAX(0,Inputs!$B$44-B1537)/IF(Inputs!$B$39="pvp",15,MAX(0.1,Skills!D9-IF(Skills!E9=TRUE,Inputs!$B$33,0))))+1)),0)</f>
        <v/>
      </c>
      <c r="S1510">
        <f>IFERROR(O1510/N1510,0)</f>
        <v/>
      </c>
      <c r="T1510">
        <f>IF(C1510,(H1510*N1510*IF(AND(Inputs!$B$39&lt;&gt;"pvp",Inputs!$B$44&gt;0),((Skills!G9*((R1510-1)*IF(Skills!H9&gt;0,Skills!I9/Skills!H9,1)+IF(Skills!H9&gt;0,MIN(Skills!I9,MAX(0,MAX(0,Inputs!$B$44-B1537)-((R1510-1)*IF(Inputs!$B$39="pvp",15,MAX(0.1,Skills!D9-IF(Skills!E9=TRUE,Inputs!$B$33,0))))))/Skills!H9,1)))/Inputs!$B$44),G1510*Q1510))*IF(Inputs!$B$39="pvp",1,1+(Inputs!$B$21+0+Skills!P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Skills!E9=TRUE,Inputs!$B$33,0))))))/Skills!H9,1)))/Inputs!$B$44),G1510*Q1510))*IF(Inputs!$B$39="pvp",1,(1+(Inputs!$B$22+Skills!Q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IFERROR(1/IF(Inputs!$B$39="pvp",15,MAX(0.1,Skills!D10-IF(Skills!E10=TRUE,Inputs!$B$33,0))),0)</f>
        <v/>
      </c>
      <c r="R1511">
        <f>IF(AND(Inputs!$B$39&lt;&gt;"pvp",Inputs!$B$44&gt;0),IF(MAX(0,Inputs!$B$44-B1537)&lt;=0,0,(INT(MAX(0,Inputs!$B$44-B1537)/IF(Inputs!$B$39="pvp",15,MAX(0.1,Skills!D10-IF(Skills!E10=TRUE,Inputs!$B$33,0))))+1)),0)</f>
        <v/>
      </c>
      <c r="S1511">
        <f>IFERROR(O1511/N1511,0)</f>
        <v/>
      </c>
      <c r="T1511">
        <f>IF(C1511,(H1511*N1511*IF(AND(Inputs!$B$39&lt;&gt;"pvp",Inputs!$B$44&gt;0),((Skills!G10*((R1511-1)*IF(Skills!H10&gt;0,Skills!I10/Skills!H10,1)+IF(Skills!H10&gt;0,MIN(Skills!I10,MAX(0,MAX(0,Inputs!$B$44-B1537)-((R1511-1)*IF(Inputs!$B$39="pvp",15,MAX(0.1,Skills!D10-IF(Skills!E10=TRUE,Inputs!$B$33,0))))))/Skills!H10,1)))/Inputs!$B$44),G1511*Q1511))*IF(Inputs!$B$39="pvp",1,1+(Inputs!$B$21+0+Skills!P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Skills!E10=TRUE,Inputs!$B$33,0))))))/Skills!H10,1)))/Inputs!$B$44),G1511*Q1511))*IF(Inputs!$B$39="pvp",1,(1+(Inputs!$B$22+Skills!Q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IFERROR(1/IF(Inputs!$B$39="pvp",15,MAX(0.1,Skills!D12-IF(Skills!E12=TRUE,Inputs!$B$33,0))),0)</f>
        <v/>
      </c>
      <c r="R1513">
        <f>IF(AND(Inputs!$B$39&lt;&gt;"pvp",Inputs!$B$44&gt;0),IF(MAX(0,Inputs!$B$44-B1537)&lt;=0,0,(INT(MAX(0,Inputs!$B$44-B1537)/IF(Inputs!$B$39="pvp",15,MAX(0.1,Skills!D12-IF(Skills!E12=TRUE,Inputs!$B$33,0))))+1)),0)</f>
        <v/>
      </c>
      <c r="S1513">
        <f>IFERROR(O1513/N1513,0)</f>
        <v/>
      </c>
      <c r="T1513">
        <f>IF(C1513,(H1513*N1513*IF(AND(Inputs!$B$39&lt;&gt;"pvp",Inputs!$B$44&gt;0),((Skills!G12*((R1513-1)*IF(Skills!H12&gt;0,Skills!I12/Skills!H12,1)+IF(Skills!H12&gt;0,MIN(Skills!I12,MAX(0,MAX(0,Inputs!$B$44-B1537)-((R1513-1)*IF(Inputs!$B$39="pvp",15,MAX(0.1,Skills!D12-IF(Skills!E12=TRUE,Inputs!$B$33,0))))))/Skills!H12,1)))/Inputs!$B$44),G1513*Q1513))*IF(Inputs!$B$39="pvp",1,1+(Inputs!$B$21+0+Skills!P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Skills!E12=TRUE,Inputs!$B$33,0))))))/Skills!H12,1)))/Inputs!$B$44),G1513*Q1513))*IF(Inputs!$B$39="pvp",1,(1+(Inputs!$B$22+Skills!Q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IFERROR(1/IF(Inputs!$B$39="pvp",15,MAX(0.1,Skills!D13-IF(Skills!E13=TRUE,Inputs!$B$33,0))),0)</f>
        <v/>
      </c>
      <c r="R1514">
        <f>IF(AND(Inputs!$B$39&lt;&gt;"pvp",Inputs!$B$44&gt;0),IF(Inputs!$B$44&lt;=0,0,(INT(Inputs!$B$44/IF(Inputs!$B$39="pvp",15,MAX(0.1,Skills!D13-IF(Skills!E13=TRUE,Inputs!$B$33,0))))+1)),0)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IFERROR(1/IF(Inputs!$B$39="pvp",15,MAX(0.1,Skills!D14-IF(Skills!E14=TRUE,Inputs!$B$33,0))),0)</f>
        <v/>
      </c>
      <c r="R1515">
        <f>IF(AND(Inputs!$B$39&lt;&gt;"pvp",Inputs!$B$44&gt;0),IF(Inputs!$B$44&lt;=0,0,(INT(Inputs!$B$44/IF(Inputs!$B$39="pvp",15,MAX(0.1,Skills!D14-IF(Skills!E14=TRUE,Inputs!$B$33,0))))+1)),0)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IFERROR(1/IF(Inputs!$B$39="pvp",15,MAX(0.1,Skills!D15-IF(Skills!E15=TRUE,Inputs!$B$33,0))),0)</f>
        <v/>
      </c>
      <c r="R1516">
        <f>IF(AND(Inputs!$B$39&lt;&gt;"pvp",Inputs!$B$44&gt;0),IF(Inputs!$B$44&lt;=0,0,(INT(Inputs!$B$44/IF(Inputs!$B$39="pvp",15,MAX(0.1,Skills!D15-IF(Skills!E15=TRUE,Inputs!$B$33,0))))+1)),0)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IFERROR(1/IF(Inputs!$B$39="pvp",15,MAX(0.1,Skills!D16-IF(Skills!E16=TRUE,Inputs!$B$33,0))),0)</f>
        <v/>
      </c>
      <c r="R1517">
        <f>IF(AND(Inputs!$B$39&lt;&gt;"pvp",Inputs!$B$44&gt;0),IF(Inputs!$B$44&lt;=0,0,(INT(Inputs!$B$44/IF(Inputs!$B$39="pvp",15,MAX(0.1,Skills!D16-IF(Skills!E16=TRUE,Inputs!$B$33,0))))+1)),0)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IFERROR(1/IF(Inputs!$B$39="pvp",15,MAX(0.1,Skills!D17-IF(Skills!E17=TRUE,Inputs!$B$33,0))),0)</f>
        <v/>
      </c>
      <c r="R1518">
        <f>IF(AND(Inputs!$B$39&lt;&gt;"pvp",Inputs!$B$44&gt;0),IF(Inputs!$B$44&lt;=0,0,(INT(Inputs!$B$44/IF(Inputs!$B$39="pvp",15,MAX(0.1,Skills!D17-IF(Skills!E17=TRUE,Inputs!$B$33,0))))+1)),0)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IFERROR(1/IF(Inputs!$B$39="pvp",15,MAX(0.1,Skills!D18-IF(Skills!E18=TRUE,Inputs!$B$33,0))),0)</f>
        <v/>
      </c>
      <c r="R1519">
        <f>IF(AND(Inputs!$B$39&lt;&gt;"pvp",Inputs!$B$44&gt;0),IF(Inputs!$B$44&lt;=0,0,(INT(Inputs!$B$44/IF(Inputs!$B$39="pvp",15,MAX(0.1,Skills!D18-IF(Skills!E18=TRUE,Inputs!$B$33,0))))+1)),0)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IFERROR(1/IF(Inputs!$B$39="pvp",15,MAX(0.1,Skills!D19-IF(Skills!E19=TRUE,Inputs!$B$33,0))),0)</f>
        <v/>
      </c>
      <c r="R1520">
        <f>IF(AND(Inputs!$B$39&lt;&gt;"pvp",Inputs!$B$44&gt;0),IF(Inputs!$B$44&lt;=0,0,(INT(Inputs!$B$44/IF(Inputs!$B$39="pvp",15,MAX(0.1,Skills!D19-IF(Skills!E19=TRUE,Inputs!$B$33,0))))+1)),0)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IFERROR(1/IF(Inputs!$B$39="pvp",15,MAX(0.1,Skills!D20-IF(Skills!E20=TRUE,Inputs!$B$33,0))),0)</f>
        <v/>
      </c>
      <c r="R1521">
        <f>IF(AND(Inputs!$B$39&lt;&gt;"pvp",Inputs!$B$44&gt;0),IF(Inputs!$B$44&lt;=0,0,(INT(Inputs!$B$44/IF(Inputs!$B$39="pvp",15,MAX(0.1,Skills!D20-IF(Skills!E20=TRUE,Inputs!$B$33,0))))+1)),0)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Skills!T18*(1+Inputs!$B$35/100))+MIN((Skills!T18*(1+Inputs!$B$35/100)),MAX(0,Inputs!$B$44-((R1519-1)*Skills!D18))))/Inputs!$B$44),IF(Inputs!$B$39="pvp",MIN((Skills!T18*(1+Inputs!$B$35/100)),15)/15,(Skills!T18*(1+Inputs!$B$35/100))/Skills!D18)))</f>
        <v/>
      </c>
    </row>
    <row r="1531">
      <c r="A1531" t="inlineStr">
        <is>
          <t>Attack Speed Buff Bonus %</t>
        </is>
      </c>
      <c r="B1531">
        <f>((C1521=TRUE)*F1521*IF(AND(Inputs!$B$39&lt;&gt;"pvp",Inputs!$B$44&gt;0),(((R1521-1)*(Skills!T20*(1+Inputs!$B$35/100))+MIN((Skills!T20*(1+Inputs!$B$35/100)),MAX(0,Inputs!$B$44-((R1521-1)*Skills!D20))))/Inputs!$B$44),IF(Inputs!$B$39="pvp",MIN((Skills!T20*(1+Inputs!$B$35/100)),15)/15,(Skills!T20*(1+Inputs!$B$35/100))/Skills!D20)))</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Skills!T19*(1+Inputs!$B$35/100))+MIN((Skills!T19*(1+Inputs!$B$35/100)),MAX(0,Inputs!$B$44-((R1520-1)*Skills!D19))))/Inputs!$B$44),IF(Inputs!$B$39="pvp",MIN((Skills!T19*(1+Inputs!$B$35/100)),15)/15,(Skills!T19*(1+Inputs!$B$35/100))/Skills!D19)))</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IFERROR(1/IF(Inputs!$B$39="pvp",15,MAX(0.1,Skills!D5-IF(Skills!E5=TRUE,Inputs!$B$33,0))),0)</f>
        <v/>
      </c>
      <c r="R1548">
        <f>IF(AND(Inputs!$B$39&lt;&gt;"pvp",Inputs!$B$44&gt;0),IF(MAX(0,Inputs!$B$44-B1579)&lt;=0,0,(INT(MAX(0,Inputs!$B$44-B1579)/IF(Inputs!$B$39="pvp",15,MAX(0.1,Skills!D5-IF(Skills!E5=TRUE,Inputs!$B$33,0))))+1)),0)</f>
        <v/>
      </c>
      <c r="S1548">
        <f>IFERROR(O1548/N1548,0)</f>
        <v/>
      </c>
      <c r="T1548">
        <f>IF(C1548,(H1548*N1548*IF(AND(Inputs!$B$39&lt;&gt;"pvp",Inputs!$B$44&gt;0),((Skills!G5*((R1548-1)*IF(Skills!H5&gt;0,Skills!I5/Skills!H5,1)+IF(Skills!H5&gt;0,MIN(Skills!I5,MAX(0,MAX(0,Inputs!$B$44-B1579)-((R1548-1)*IF(Inputs!$B$39="pvp",15,MAX(0.1,Skills!D5-IF(Skills!E5=TRUE,Inputs!$B$33,0))))))/Skills!H5,1)))/Inputs!$B$44),G1548*Q1548))*IF(Inputs!$B$39="pvp",1,1+(Inputs!$B$21+0+Skills!P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Skills!E5=TRUE,Inputs!$B$33,0))))))/Skills!H5,1)))/Inputs!$B$44),G1548*Q1548))*IF(Inputs!$B$39="pvp",1,(1+(Inputs!$B$22+Skills!Q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IFERROR(1/IF(Inputs!$B$39="pvp",15,MAX(0.1,Skills!D6-IF(Skills!E6=TRUE,Inputs!$B$33,0))),0)</f>
        <v/>
      </c>
      <c r="R1549">
        <f>IF(AND(Inputs!$B$39&lt;&gt;"pvp",Inputs!$B$44&gt;0),IF(MAX(0,Inputs!$B$44-B1579)&lt;=0,0,(INT(MAX(0,Inputs!$B$44-B1579)/IF(Inputs!$B$39="pvp",15,MAX(0.1,Skills!D6-IF(Skills!E6=TRUE,Inputs!$B$33,0))))+1)),0)</f>
        <v/>
      </c>
      <c r="S1549">
        <f>IFERROR(O1549/N1549,0)</f>
        <v/>
      </c>
      <c r="T1549">
        <f>IF(C1549,(H1549*N1549*IF(AND(Inputs!$B$39&lt;&gt;"pvp",Inputs!$B$44&gt;0),((Skills!G6*((R1549-1)*IF(Skills!H6&gt;0,Skills!I6/Skills!H6,1)+IF(Skills!H6&gt;0,MIN(Skills!I6,MAX(0,MAX(0,Inputs!$B$44-B1579)-((R1549-1)*IF(Inputs!$B$39="pvp",15,MAX(0.1,Skills!D6-IF(Skills!E6=TRUE,Inputs!$B$33,0))))))/Skills!H6,1)))/Inputs!$B$44),G1549*Q1549))*IF(Inputs!$B$39="pvp",1,1+(Inputs!$B$21+0+Skills!P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Skills!E6=TRUE,Inputs!$B$33,0))))))/Skills!H6,1)))/Inputs!$B$44),G1549*Q1549))*IF(Inputs!$B$39="pvp",1,(1+(Inputs!$B$22+Skills!Q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IFERROR(1/IF(Inputs!$B$39="pvp",15,MAX(0.1,Skills!D7-IF(Skills!E7=TRUE,Inputs!$B$33,0))),0)</f>
        <v/>
      </c>
      <c r="R1550">
        <f>IF(AND(Inputs!$B$39&lt;&gt;"pvp",Inputs!$B$44&gt;0),IF(MAX(0,Inputs!$B$44-B1579)&lt;=0,0,(INT(MAX(0,Inputs!$B$44-B1579)/IF(Inputs!$B$39="pvp",15,MAX(0.1,Skills!D7-IF(Skills!E7=TRUE,Inputs!$B$33,0))))+1)),0)</f>
        <v/>
      </c>
      <c r="S1550">
        <f>IFERROR(O1550/N1550,0)</f>
        <v/>
      </c>
      <c r="T1550">
        <f>IF(C1550,(H1550*N1550*IF(AND(Inputs!$B$39&lt;&gt;"pvp",Inputs!$B$44&gt;0),((Skills!G7*((R1550-1)*IF(Skills!H7&gt;0,Skills!I7/Skills!H7,1)+IF(Skills!H7&gt;0,MIN(Skills!I7,MAX(0,MAX(0,Inputs!$B$44-B1579)-((R1550-1)*IF(Inputs!$B$39="pvp",15,MAX(0.1,Skills!D7-IF(Skills!E7=TRUE,Inputs!$B$33,0))))))/Skills!H7,1)))/Inputs!$B$44),G1550*Q1550))*IF(Inputs!$B$39="pvp",1,1+(Inputs!$B$21+0+Skills!P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Skills!E7=TRUE,Inputs!$B$33,0))))))/Skills!H7,1)))/Inputs!$B$44),G1550*Q1550))*IF(Inputs!$B$39="pvp",1,(1+(Inputs!$B$22+Skills!Q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IFERROR(1/IF(Inputs!$B$39="pvp",15,MAX(0.1,Skills!D9-IF(Skills!E9=TRUE,Inputs!$B$33,0))),0)</f>
        <v/>
      </c>
      <c r="R1552">
        <f>IF(AND(Inputs!$B$39&lt;&gt;"pvp",Inputs!$B$44&gt;0),IF(MAX(0,Inputs!$B$44-B1579)&lt;=0,0,(INT(MAX(0,Inputs!$B$44-B1579)/IF(Inputs!$B$39="pvp",15,MAX(0.1,Skills!D9-IF(Skills!E9=TRUE,Inputs!$B$33,0))))+1)),0)</f>
        <v/>
      </c>
      <c r="S1552">
        <f>IFERROR(O1552/N1552,0)</f>
        <v/>
      </c>
      <c r="T1552">
        <f>IF(C1552,(H1552*N1552*IF(AND(Inputs!$B$39&lt;&gt;"pvp",Inputs!$B$44&gt;0),((Skills!G9*((R1552-1)*IF(Skills!H9&gt;0,Skills!I9/Skills!H9,1)+IF(Skills!H9&gt;0,MIN(Skills!I9,MAX(0,MAX(0,Inputs!$B$44-B1579)-((R1552-1)*IF(Inputs!$B$39="pvp",15,MAX(0.1,Skills!D9-IF(Skills!E9=TRUE,Inputs!$B$33,0))))))/Skills!H9,1)))/Inputs!$B$44),G1552*Q1552))*IF(Inputs!$B$39="pvp",1,1+(Inputs!$B$21+0+Skills!P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Skills!E9=TRUE,Inputs!$B$33,0))))))/Skills!H9,1)))/Inputs!$B$44),G1552*Q1552))*IF(Inputs!$B$39="pvp",1,(1+(Inputs!$B$22+Skills!Q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IFERROR(1/IF(Inputs!$B$39="pvp",15,MAX(0.1,Skills!D10-IF(Skills!E10=TRUE,Inputs!$B$33,0))),0)</f>
        <v/>
      </c>
      <c r="R1553">
        <f>IF(AND(Inputs!$B$39&lt;&gt;"pvp",Inputs!$B$44&gt;0),IF(MAX(0,Inputs!$B$44-B1579)&lt;=0,0,(INT(MAX(0,Inputs!$B$44-B1579)/IF(Inputs!$B$39="pvp",15,MAX(0.1,Skills!D10-IF(Skills!E10=TRUE,Inputs!$B$33,0))))+1)),0)</f>
        <v/>
      </c>
      <c r="S1553">
        <f>IFERROR(O1553/N1553,0)</f>
        <v/>
      </c>
      <c r="T1553">
        <f>IF(C1553,(H1553*N1553*IF(AND(Inputs!$B$39&lt;&gt;"pvp",Inputs!$B$44&gt;0),((Skills!G10*((R1553-1)*IF(Skills!H10&gt;0,Skills!I10/Skills!H10,1)+IF(Skills!H10&gt;0,MIN(Skills!I10,MAX(0,MAX(0,Inputs!$B$44-B1579)-((R1553-1)*IF(Inputs!$B$39="pvp",15,MAX(0.1,Skills!D10-IF(Skills!E10=TRUE,Inputs!$B$33,0))))))/Skills!H10,1)))/Inputs!$B$44),G1553*Q1553))*IF(Inputs!$B$39="pvp",1,1+(Inputs!$B$21+0+Skills!P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Skills!E10=TRUE,Inputs!$B$33,0))))))/Skills!H10,1)))/Inputs!$B$44),G1553*Q1553))*IF(Inputs!$B$39="pvp",1,(1+(Inputs!$B$22+Skills!Q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IFERROR(1/IF(Inputs!$B$39="pvp",15,MAX(0.1,Skills!D12-IF(Skills!E12=TRUE,Inputs!$B$33,0))),0)</f>
        <v/>
      </c>
      <c r="R1555">
        <f>IF(AND(Inputs!$B$39&lt;&gt;"pvp",Inputs!$B$44&gt;0),IF(MAX(0,Inputs!$B$44-B1579)&lt;=0,0,(INT(MAX(0,Inputs!$B$44-B1579)/IF(Inputs!$B$39="pvp",15,MAX(0.1,Skills!D12-IF(Skills!E12=TRUE,Inputs!$B$33,0))))+1)),0)</f>
        <v/>
      </c>
      <c r="S1555">
        <f>IFERROR(O1555/N1555,0)</f>
        <v/>
      </c>
      <c r="T1555">
        <f>IF(C1555,(H1555*N1555*IF(AND(Inputs!$B$39&lt;&gt;"pvp",Inputs!$B$44&gt;0),((Skills!G12*((R1555-1)*IF(Skills!H12&gt;0,Skills!I12/Skills!H12,1)+IF(Skills!H12&gt;0,MIN(Skills!I12,MAX(0,MAX(0,Inputs!$B$44-B1579)-((R1555-1)*IF(Inputs!$B$39="pvp",15,MAX(0.1,Skills!D12-IF(Skills!E12=TRUE,Inputs!$B$33,0))))))/Skills!H12,1)))/Inputs!$B$44),G1555*Q1555))*IF(Inputs!$B$39="pvp",1,1+(Inputs!$B$21+0+Skills!P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Skills!E12=TRUE,Inputs!$B$33,0))))))/Skills!H12,1)))/Inputs!$B$44),G1555*Q1555))*IF(Inputs!$B$39="pvp",1,(1+(Inputs!$B$22+Skills!Q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IFERROR(1/IF(Inputs!$B$39="pvp",15,MAX(0.1,Skills!D13-IF(Skills!E13=TRUE,Inputs!$B$33,0))),0)</f>
        <v/>
      </c>
      <c r="R1556">
        <f>IF(AND(Inputs!$B$39&lt;&gt;"pvp",Inputs!$B$44&gt;0),IF(Inputs!$B$44&lt;=0,0,(INT(Inputs!$B$44/IF(Inputs!$B$39="pvp",15,MAX(0.1,Skills!D13-IF(Skills!E13=TRUE,Inputs!$B$33,0))))+1)),0)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IFERROR(1/IF(Inputs!$B$39="pvp",15,MAX(0.1,Skills!D14-IF(Skills!E14=TRUE,Inputs!$B$33,0))),0)</f>
        <v/>
      </c>
      <c r="R1557">
        <f>IF(AND(Inputs!$B$39&lt;&gt;"pvp",Inputs!$B$44&gt;0),IF(Inputs!$B$44&lt;=0,0,(INT(Inputs!$B$44/IF(Inputs!$B$39="pvp",15,MAX(0.1,Skills!D14-IF(Skills!E14=TRUE,Inputs!$B$33,0))))+1)),0)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IFERROR(1/IF(Inputs!$B$39="pvp",15,MAX(0.1,Skills!D15-IF(Skills!E15=TRUE,Inputs!$B$33,0))),0)</f>
        <v/>
      </c>
      <c r="R1558">
        <f>IF(AND(Inputs!$B$39&lt;&gt;"pvp",Inputs!$B$44&gt;0),IF(Inputs!$B$44&lt;=0,0,(INT(Inputs!$B$44/IF(Inputs!$B$39="pvp",15,MAX(0.1,Skills!D15-IF(Skills!E15=TRUE,Inputs!$B$33,0))))+1)),0)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IFERROR(1/IF(Inputs!$B$39="pvp",15,MAX(0.1,Skills!D16-IF(Skills!E16=TRUE,Inputs!$B$33,0))),0)</f>
        <v/>
      </c>
      <c r="R1559">
        <f>IF(AND(Inputs!$B$39&lt;&gt;"pvp",Inputs!$B$44&gt;0),IF(Inputs!$B$44&lt;=0,0,(INT(Inputs!$B$44/IF(Inputs!$B$39="pvp",15,MAX(0.1,Skills!D16-IF(Skills!E16=TRUE,Inputs!$B$33,0))))+1)),0)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IFERROR(1/IF(Inputs!$B$39="pvp",15,MAX(0.1,Skills!D17-IF(Skills!E17=TRUE,Inputs!$B$33,0))),0)</f>
        <v/>
      </c>
      <c r="R1560">
        <f>IF(AND(Inputs!$B$39&lt;&gt;"pvp",Inputs!$B$44&gt;0),IF(Inputs!$B$44&lt;=0,0,(INT(Inputs!$B$44/IF(Inputs!$B$39="pvp",15,MAX(0.1,Skills!D17-IF(Skills!E17=TRUE,Inputs!$B$33,0))))+1)),0)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IFERROR(1/IF(Inputs!$B$39="pvp",15,MAX(0.1,Skills!D18-IF(Skills!E18=TRUE,Inputs!$B$33,0))),0)</f>
        <v/>
      </c>
      <c r="R1561">
        <f>IF(AND(Inputs!$B$39&lt;&gt;"pvp",Inputs!$B$44&gt;0),IF(Inputs!$B$44&lt;=0,0,(INT(Inputs!$B$44/IF(Inputs!$B$39="pvp",15,MAX(0.1,Skills!D18-IF(Skills!E18=TRUE,Inputs!$B$33,0))))+1)),0)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IFERROR(1/IF(Inputs!$B$39="pvp",15,MAX(0.1,Skills!D19-IF(Skills!E19=TRUE,Inputs!$B$33,0))),0)</f>
        <v/>
      </c>
      <c r="R1562">
        <f>IF(AND(Inputs!$B$39&lt;&gt;"pvp",Inputs!$B$44&gt;0),IF(Inputs!$B$44&lt;=0,0,(INT(Inputs!$B$44/IF(Inputs!$B$39="pvp",15,MAX(0.1,Skills!D19-IF(Skills!E19=TRUE,Inputs!$B$33,0))))+1)),0)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IFERROR(1/IF(Inputs!$B$39="pvp",15,MAX(0.1,Skills!D20-IF(Skills!E20=TRUE,Inputs!$B$33,0))),0)</f>
        <v/>
      </c>
      <c r="R1563">
        <f>IF(AND(Inputs!$B$39&lt;&gt;"pvp",Inputs!$B$44&gt;0),IF(Inputs!$B$44&lt;=0,0,(INT(Inputs!$B$44/IF(Inputs!$B$39="pvp",15,MAX(0.1,Skills!D20-IF(Skills!E20=TRUE,Inputs!$B$33,0))))+1)),0)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Skills!T18*(1+Inputs!$B$35/100))+MIN((Skills!T18*(1+Inputs!$B$35/100)),MAX(0,Inputs!$B$44-((R1561-1)*Skills!D18))))/Inputs!$B$44),IF(Inputs!$B$39="pvp",MIN((Skills!T18*(1+Inputs!$B$35/100)),15)/15,(Skills!T18*(1+Inputs!$B$35/100))/Skills!D18)))</f>
        <v/>
      </c>
    </row>
    <row r="1573">
      <c r="A1573" t="inlineStr">
        <is>
          <t>Attack Speed Buff Bonus %</t>
        </is>
      </c>
      <c r="B1573">
        <f>((C1563=TRUE)*F1563*IF(AND(Inputs!$B$39&lt;&gt;"pvp",Inputs!$B$44&gt;0),(((R1563-1)*(Skills!T20*(1+Inputs!$B$35/100))+MIN((Skills!T20*(1+Inputs!$B$35/100)),MAX(0,Inputs!$B$44-((R1563-1)*Skills!D20))))/Inputs!$B$44),IF(Inputs!$B$39="pvp",MIN((Skills!T20*(1+Inputs!$B$35/100)),15)/15,(Skills!T20*(1+Inputs!$B$35/100))/Skills!D20)))</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Skills!T19*(1+Inputs!$B$35/100))+MIN((Skills!T19*(1+Inputs!$B$35/100)),MAX(0,Inputs!$B$44-((R1562-1)*Skills!D19))))/Inputs!$B$44),IF(Inputs!$B$39="pvp",MIN((Skills!T19*(1+Inputs!$B$35/100)),15)/15,(Skills!T19*(1+Inputs!$B$35/100))/Skills!D19)))</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IFERROR(1/IF(Inputs!$B$39="pvp",15,MAX(0.1,Skills!D5-IF(Skills!E5=TRUE,Inputs!$B$33,0))),0)</f>
        <v/>
      </c>
      <c r="R1590">
        <f>IF(AND(Inputs!$B$39&lt;&gt;"pvp",Inputs!$B$44&gt;0),IF(MAX(0,Inputs!$B$44-B1621)&lt;=0,0,(INT(MAX(0,Inputs!$B$44-B1621)/IF(Inputs!$B$39="pvp",15,MAX(0.1,Skills!D5-IF(Skills!E5=TRUE,Inputs!$B$33,0))))+1)),0)</f>
        <v/>
      </c>
      <c r="S1590">
        <f>IFERROR(O1590/N1590,0)</f>
        <v/>
      </c>
      <c r="T1590">
        <f>IF(C1590,(H1590*N1590*IF(AND(Inputs!$B$39&lt;&gt;"pvp",Inputs!$B$44&gt;0),((Skills!G5*((R1590-1)*IF(Skills!H5&gt;0,Skills!I5/Skills!H5,1)+IF(Skills!H5&gt;0,MIN(Skills!I5,MAX(0,MAX(0,Inputs!$B$44-B1621)-((R1590-1)*IF(Inputs!$B$39="pvp",15,MAX(0.1,Skills!D5-IF(Skills!E5=TRUE,Inputs!$B$33,0))))))/Skills!H5,1)))/Inputs!$B$44),G1590*Q1590))*IF(Inputs!$B$39="pvp",1,1+(Inputs!$B$21+0+Skills!P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Skills!E5=TRUE,Inputs!$B$33,0))))))/Skills!H5,1)))/Inputs!$B$44),G1590*Q1590))*IF(Inputs!$B$39="pvp",1,(1+(Inputs!$B$22+Skills!Q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IFERROR(1/IF(Inputs!$B$39="pvp",15,MAX(0.1,Skills!D6-IF(Skills!E6=TRUE,Inputs!$B$33,0))),0)</f>
        <v/>
      </c>
      <c r="R1591">
        <f>IF(AND(Inputs!$B$39&lt;&gt;"pvp",Inputs!$B$44&gt;0),IF(MAX(0,Inputs!$B$44-B1621)&lt;=0,0,(INT(MAX(0,Inputs!$B$44-B1621)/IF(Inputs!$B$39="pvp",15,MAX(0.1,Skills!D6-IF(Skills!E6=TRUE,Inputs!$B$33,0))))+1)),0)</f>
        <v/>
      </c>
      <c r="S1591">
        <f>IFERROR(O1591/N1591,0)</f>
        <v/>
      </c>
      <c r="T1591">
        <f>IF(C1591,(H1591*N1591*IF(AND(Inputs!$B$39&lt;&gt;"pvp",Inputs!$B$44&gt;0),((Skills!G6*((R1591-1)*IF(Skills!H6&gt;0,Skills!I6/Skills!H6,1)+IF(Skills!H6&gt;0,MIN(Skills!I6,MAX(0,MAX(0,Inputs!$B$44-B1621)-((R1591-1)*IF(Inputs!$B$39="pvp",15,MAX(0.1,Skills!D6-IF(Skills!E6=TRUE,Inputs!$B$33,0))))))/Skills!H6,1)))/Inputs!$B$44),G1591*Q1591))*IF(Inputs!$B$39="pvp",1,1+(Inputs!$B$21+0+Skills!P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Skills!E6=TRUE,Inputs!$B$33,0))))))/Skills!H6,1)))/Inputs!$B$44),G1591*Q1591))*IF(Inputs!$B$39="pvp",1,(1+(Inputs!$B$22+Skills!Q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IFERROR(1/IF(Inputs!$B$39="pvp",15,MAX(0.1,Skills!D7-IF(Skills!E7=TRUE,Inputs!$B$33,0))),0)</f>
        <v/>
      </c>
      <c r="R1592">
        <f>IF(AND(Inputs!$B$39&lt;&gt;"pvp",Inputs!$B$44&gt;0),IF(MAX(0,Inputs!$B$44-B1621)&lt;=0,0,(INT(MAX(0,Inputs!$B$44-B1621)/IF(Inputs!$B$39="pvp",15,MAX(0.1,Skills!D7-IF(Skills!E7=TRUE,Inputs!$B$33,0))))+1)),0)</f>
        <v/>
      </c>
      <c r="S1592">
        <f>IFERROR(O1592/N1592,0)</f>
        <v/>
      </c>
      <c r="T1592">
        <f>IF(C1592,(H1592*N1592*IF(AND(Inputs!$B$39&lt;&gt;"pvp",Inputs!$B$44&gt;0),((Skills!G7*((R1592-1)*IF(Skills!H7&gt;0,Skills!I7/Skills!H7,1)+IF(Skills!H7&gt;0,MIN(Skills!I7,MAX(0,MAX(0,Inputs!$B$44-B1621)-((R1592-1)*IF(Inputs!$B$39="pvp",15,MAX(0.1,Skills!D7-IF(Skills!E7=TRUE,Inputs!$B$33,0))))))/Skills!H7,1)))/Inputs!$B$44),G1592*Q1592))*IF(Inputs!$B$39="pvp",1,1+(Inputs!$B$21+0+Skills!P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Skills!E7=TRUE,Inputs!$B$33,0))))))/Skills!H7,1)))/Inputs!$B$44),G1592*Q1592))*IF(Inputs!$B$39="pvp",1,(1+(Inputs!$B$22+Skills!Q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IFERROR(1/IF(Inputs!$B$39="pvp",15,MAX(0.1,Skills!D9-IF(Skills!E9=TRUE,Inputs!$B$33,0))),0)</f>
        <v/>
      </c>
      <c r="R1594">
        <f>IF(AND(Inputs!$B$39&lt;&gt;"pvp",Inputs!$B$44&gt;0),IF(MAX(0,Inputs!$B$44-B1621)&lt;=0,0,(INT(MAX(0,Inputs!$B$44-B1621)/IF(Inputs!$B$39="pvp",15,MAX(0.1,Skills!D9-IF(Skills!E9=TRUE,Inputs!$B$33,0))))+1)),0)</f>
        <v/>
      </c>
      <c r="S1594">
        <f>IFERROR(O1594/N1594,0)</f>
        <v/>
      </c>
      <c r="T1594">
        <f>IF(C1594,(H1594*N1594*IF(AND(Inputs!$B$39&lt;&gt;"pvp",Inputs!$B$44&gt;0),((Skills!G9*((R1594-1)*IF(Skills!H9&gt;0,Skills!I9/Skills!H9,1)+IF(Skills!H9&gt;0,MIN(Skills!I9,MAX(0,MAX(0,Inputs!$B$44-B1621)-((R1594-1)*IF(Inputs!$B$39="pvp",15,MAX(0.1,Skills!D9-IF(Skills!E9=TRUE,Inputs!$B$33,0))))))/Skills!H9,1)))/Inputs!$B$44),G1594*Q1594))*IF(Inputs!$B$39="pvp",1,1+(Inputs!$B$21+0+Skills!P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Skills!E9=TRUE,Inputs!$B$33,0))))))/Skills!H9,1)))/Inputs!$B$44),G1594*Q1594))*IF(Inputs!$B$39="pvp",1,(1+(Inputs!$B$22+Skills!Q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IFERROR(1/IF(Inputs!$B$39="pvp",15,MAX(0.1,Skills!D10-IF(Skills!E10=TRUE,Inputs!$B$33,0))),0)</f>
        <v/>
      </c>
      <c r="R1595">
        <f>IF(AND(Inputs!$B$39&lt;&gt;"pvp",Inputs!$B$44&gt;0),IF(MAX(0,Inputs!$B$44-B1621)&lt;=0,0,(INT(MAX(0,Inputs!$B$44-B1621)/IF(Inputs!$B$39="pvp",15,MAX(0.1,Skills!D10-IF(Skills!E10=TRUE,Inputs!$B$33,0))))+1)),0)</f>
        <v/>
      </c>
      <c r="S1595">
        <f>IFERROR(O1595/N1595,0)</f>
        <v/>
      </c>
      <c r="T1595">
        <f>IF(C1595,(H1595*N1595*IF(AND(Inputs!$B$39&lt;&gt;"pvp",Inputs!$B$44&gt;0),((Skills!G10*((R1595-1)*IF(Skills!H10&gt;0,Skills!I10/Skills!H10,1)+IF(Skills!H10&gt;0,MIN(Skills!I10,MAX(0,MAX(0,Inputs!$B$44-B1621)-((R1595-1)*IF(Inputs!$B$39="pvp",15,MAX(0.1,Skills!D10-IF(Skills!E10=TRUE,Inputs!$B$33,0))))))/Skills!H10,1)))/Inputs!$B$44),G1595*Q1595))*IF(Inputs!$B$39="pvp",1,1+(Inputs!$B$21+0+Skills!P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Skills!E10=TRUE,Inputs!$B$33,0))))))/Skills!H10,1)))/Inputs!$B$44),G1595*Q1595))*IF(Inputs!$B$39="pvp",1,(1+(Inputs!$B$22+Skills!Q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IFERROR(1/IF(Inputs!$B$39="pvp",15,MAX(0.1,Skills!D12-IF(Skills!E12=TRUE,Inputs!$B$33,0))),0)</f>
        <v/>
      </c>
      <c r="R1597">
        <f>IF(AND(Inputs!$B$39&lt;&gt;"pvp",Inputs!$B$44&gt;0),IF(MAX(0,Inputs!$B$44-B1621)&lt;=0,0,(INT(MAX(0,Inputs!$B$44-B1621)/IF(Inputs!$B$39="pvp",15,MAX(0.1,Skills!D12-IF(Skills!E12=TRUE,Inputs!$B$33,0))))+1)),0)</f>
        <v/>
      </c>
      <c r="S1597">
        <f>IFERROR(O1597/N1597,0)</f>
        <v/>
      </c>
      <c r="T1597">
        <f>IF(C1597,(H1597*N1597*IF(AND(Inputs!$B$39&lt;&gt;"pvp",Inputs!$B$44&gt;0),((Skills!G12*((R1597-1)*IF(Skills!H12&gt;0,Skills!I12/Skills!H12,1)+IF(Skills!H12&gt;0,MIN(Skills!I12,MAX(0,MAX(0,Inputs!$B$44-B1621)-((R1597-1)*IF(Inputs!$B$39="pvp",15,MAX(0.1,Skills!D12-IF(Skills!E12=TRUE,Inputs!$B$33,0))))))/Skills!H12,1)))/Inputs!$B$44),G1597*Q1597))*IF(Inputs!$B$39="pvp",1,1+(Inputs!$B$21+0+Skills!P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Skills!E12=TRUE,Inputs!$B$33,0))))))/Skills!H12,1)))/Inputs!$B$44),G1597*Q1597))*IF(Inputs!$B$39="pvp",1,(1+(Inputs!$B$22+Skills!Q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IFERROR(1/IF(Inputs!$B$39="pvp",15,MAX(0.1,Skills!D13-IF(Skills!E13=TRUE,Inputs!$B$33,0))),0)</f>
        <v/>
      </c>
      <c r="R1598">
        <f>IF(AND(Inputs!$B$39&lt;&gt;"pvp",Inputs!$B$44&gt;0),IF(Inputs!$B$44&lt;=0,0,(INT(Inputs!$B$44/IF(Inputs!$B$39="pvp",15,MAX(0.1,Skills!D13-IF(Skills!E13=TRUE,Inputs!$B$33,0))))+1)),0)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IFERROR(1/IF(Inputs!$B$39="pvp",15,MAX(0.1,Skills!D14-IF(Skills!E14=TRUE,Inputs!$B$33,0))),0)</f>
        <v/>
      </c>
      <c r="R1599">
        <f>IF(AND(Inputs!$B$39&lt;&gt;"pvp",Inputs!$B$44&gt;0),IF(Inputs!$B$44&lt;=0,0,(INT(Inputs!$B$44/IF(Inputs!$B$39="pvp",15,MAX(0.1,Skills!D14-IF(Skills!E14=TRUE,Inputs!$B$33,0))))+1)),0)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IFERROR(1/IF(Inputs!$B$39="pvp",15,MAX(0.1,Skills!D15-IF(Skills!E15=TRUE,Inputs!$B$33,0))),0)</f>
        <v/>
      </c>
      <c r="R1600">
        <f>IF(AND(Inputs!$B$39&lt;&gt;"pvp",Inputs!$B$44&gt;0),IF(Inputs!$B$44&lt;=0,0,(INT(Inputs!$B$44/IF(Inputs!$B$39="pvp",15,MAX(0.1,Skills!D15-IF(Skills!E15=TRUE,Inputs!$B$33,0))))+1)),0)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IFERROR(1/IF(Inputs!$B$39="pvp",15,MAX(0.1,Skills!D16-IF(Skills!E16=TRUE,Inputs!$B$33,0))),0)</f>
        <v/>
      </c>
      <c r="R1601">
        <f>IF(AND(Inputs!$B$39&lt;&gt;"pvp",Inputs!$B$44&gt;0),IF(Inputs!$B$44&lt;=0,0,(INT(Inputs!$B$44/IF(Inputs!$B$39="pvp",15,MAX(0.1,Skills!D16-IF(Skills!E16=TRUE,Inputs!$B$33,0))))+1)),0)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IFERROR(1/IF(Inputs!$B$39="pvp",15,MAX(0.1,Skills!D17-IF(Skills!E17=TRUE,Inputs!$B$33,0))),0)</f>
        <v/>
      </c>
      <c r="R1602">
        <f>IF(AND(Inputs!$B$39&lt;&gt;"pvp",Inputs!$B$44&gt;0),IF(Inputs!$B$44&lt;=0,0,(INT(Inputs!$B$44/IF(Inputs!$B$39="pvp",15,MAX(0.1,Skills!D17-IF(Skills!E17=TRUE,Inputs!$B$33,0))))+1)),0)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IFERROR(1/IF(Inputs!$B$39="pvp",15,MAX(0.1,Skills!D18-IF(Skills!E18=TRUE,Inputs!$B$33,0))),0)</f>
        <v/>
      </c>
      <c r="R1603">
        <f>IF(AND(Inputs!$B$39&lt;&gt;"pvp",Inputs!$B$44&gt;0),IF(Inputs!$B$44&lt;=0,0,(INT(Inputs!$B$44/IF(Inputs!$B$39="pvp",15,MAX(0.1,Skills!D18-IF(Skills!E18=TRUE,Inputs!$B$33,0))))+1)),0)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IFERROR(1/IF(Inputs!$B$39="pvp",15,MAX(0.1,Skills!D19-IF(Skills!E19=TRUE,Inputs!$B$33,0))),0)</f>
        <v/>
      </c>
      <c r="R1604">
        <f>IF(AND(Inputs!$B$39&lt;&gt;"pvp",Inputs!$B$44&gt;0),IF(Inputs!$B$44&lt;=0,0,(INT(Inputs!$B$44/IF(Inputs!$B$39="pvp",15,MAX(0.1,Skills!D19-IF(Skills!E19=TRUE,Inputs!$B$33,0))))+1)),0)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IFERROR(1/IF(Inputs!$B$39="pvp",15,MAX(0.1,Skills!D20-IF(Skills!E20=TRUE,Inputs!$B$33,0))),0)</f>
        <v/>
      </c>
      <c r="R1605">
        <f>IF(AND(Inputs!$B$39&lt;&gt;"pvp",Inputs!$B$44&gt;0),IF(Inputs!$B$44&lt;=0,0,(INT(Inputs!$B$44/IF(Inputs!$B$39="pvp",15,MAX(0.1,Skills!D20-IF(Skills!E20=TRUE,Inputs!$B$33,0))))+1)),0)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Skills!T18*(1+Inputs!$B$35/100))+MIN((Skills!T18*(1+Inputs!$B$35/100)),MAX(0,Inputs!$B$44-((R1603-1)*Skills!D18))))/Inputs!$B$44),IF(Inputs!$B$39="pvp",MIN((Skills!T18*(1+Inputs!$B$35/100)),15)/15,(Skills!T18*(1+Inputs!$B$35/100))/Skills!D18)))</f>
        <v/>
      </c>
    </row>
    <row r="1615">
      <c r="A1615" t="inlineStr">
        <is>
          <t>Attack Speed Buff Bonus %</t>
        </is>
      </c>
      <c r="B1615">
        <f>((C1605=TRUE)*F1605*IF(AND(Inputs!$B$39&lt;&gt;"pvp",Inputs!$B$44&gt;0),(((R1605-1)*(Skills!T20*(1+Inputs!$B$35/100))+MIN((Skills!T20*(1+Inputs!$B$35/100)),MAX(0,Inputs!$B$44-((R1605-1)*Skills!D20))))/Inputs!$B$44),IF(Inputs!$B$39="pvp",MIN((Skills!T20*(1+Inputs!$B$35/100)),15)/15,(Skills!T20*(1+Inputs!$B$35/100))/Skills!D20)))</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Skills!T19*(1+Inputs!$B$35/100))+MIN((Skills!T19*(1+Inputs!$B$35/100)),MAX(0,Inputs!$B$44-((R1604-1)*Skills!D19))))/Inputs!$B$44),IF(Inputs!$B$39="pvp",MIN((Skills!T19*(1+Inputs!$B$35/100)),15)/15,(Skills!T19*(1+Inputs!$B$35/100))/Skills!D19)))</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IFERROR(1/IF(Inputs!$B$39="pvp",15,MAX(0.1,Skills!D5-IF(Skills!E5=TRUE,Inputs!$B$33,0))),0)</f>
        <v/>
      </c>
      <c r="R1632">
        <f>IF(AND(Inputs!$B$39&lt;&gt;"pvp",Inputs!$B$44&gt;0),IF(MAX(0,Inputs!$B$44-B1663)&lt;=0,0,(INT(MAX(0,Inputs!$B$44-B1663)/IF(Inputs!$B$39="pvp",15,MAX(0.1,Skills!D5-IF(Skills!E5=TRUE,Inputs!$B$33,0))))+1)),0)</f>
        <v/>
      </c>
      <c r="S1632">
        <f>IFERROR(O1632/N1632,0)</f>
        <v/>
      </c>
      <c r="T1632">
        <f>IF(C1632,(H1632*N1632*IF(AND(Inputs!$B$39&lt;&gt;"pvp",Inputs!$B$44&gt;0),((Skills!G5*((R1632-1)*IF(Skills!H5&gt;0,Skills!I5/Skills!H5,1)+IF(Skills!H5&gt;0,MIN(Skills!I5,MAX(0,MAX(0,Inputs!$B$44-B1663)-((R1632-1)*IF(Inputs!$B$39="pvp",15,MAX(0.1,Skills!D5-IF(Skills!E5=TRUE,Inputs!$B$33,0))))))/Skills!H5,1)))/Inputs!$B$44),G1632*Q1632))*IF(Inputs!$B$39="pvp",1,1+(Inputs!$B$21+0+Skills!P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Skills!E5=TRUE,Inputs!$B$33,0))))))/Skills!H5,1)))/Inputs!$B$44),G1632*Q1632))*IF(Inputs!$B$39="pvp",1,(1+(Inputs!$B$22+Skills!Q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IFERROR(1/IF(Inputs!$B$39="pvp",15,MAX(0.1,Skills!D6-IF(Skills!E6=TRUE,Inputs!$B$33,0))),0)</f>
        <v/>
      </c>
      <c r="R1633">
        <f>IF(AND(Inputs!$B$39&lt;&gt;"pvp",Inputs!$B$44&gt;0),IF(MAX(0,Inputs!$B$44-B1663)&lt;=0,0,(INT(MAX(0,Inputs!$B$44-B1663)/IF(Inputs!$B$39="pvp",15,MAX(0.1,Skills!D6-IF(Skills!E6=TRUE,Inputs!$B$33,0))))+1)),0)</f>
        <v/>
      </c>
      <c r="S1633">
        <f>IFERROR(O1633/N1633,0)</f>
        <v/>
      </c>
      <c r="T1633">
        <f>IF(C1633,(H1633*N1633*IF(AND(Inputs!$B$39&lt;&gt;"pvp",Inputs!$B$44&gt;0),((Skills!G6*((R1633-1)*IF(Skills!H6&gt;0,Skills!I6/Skills!H6,1)+IF(Skills!H6&gt;0,MIN(Skills!I6,MAX(0,MAX(0,Inputs!$B$44-B1663)-((R1633-1)*IF(Inputs!$B$39="pvp",15,MAX(0.1,Skills!D6-IF(Skills!E6=TRUE,Inputs!$B$33,0))))))/Skills!H6,1)))/Inputs!$B$44),G1633*Q1633))*IF(Inputs!$B$39="pvp",1,1+(Inputs!$B$21+0+Skills!P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Skills!E6=TRUE,Inputs!$B$33,0))))))/Skills!H6,1)))/Inputs!$B$44),G1633*Q1633))*IF(Inputs!$B$39="pvp",1,(1+(Inputs!$B$22+Skills!Q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IFERROR(1/IF(Inputs!$B$39="pvp",15,MAX(0.1,Skills!D7-IF(Skills!E7=TRUE,Inputs!$B$33,0))),0)</f>
        <v/>
      </c>
      <c r="R1634">
        <f>IF(AND(Inputs!$B$39&lt;&gt;"pvp",Inputs!$B$44&gt;0),IF(MAX(0,Inputs!$B$44-B1663)&lt;=0,0,(INT(MAX(0,Inputs!$B$44-B1663)/IF(Inputs!$B$39="pvp",15,MAX(0.1,Skills!D7-IF(Skills!E7=TRUE,Inputs!$B$33,0))))+1)),0)</f>
        <v/>
      </c>
      <c r="S1634">
        <f>IFERROR(O1634/N1634,0)</f>
        <v/>
      </c>
      <c r="T1634">
        <f>IF(C1634,(H1634*N1634*IF(AND(Inputs!$B$39&lt;&gt;"pvp",Inputs!$B$44&gt;0),((Skills!G7*((R1634-1)*IF(Skills!H7&gt;0,Skills!I7/Skills!H7,1)+IF(Skills!H7&gt;0,MIN(Skills!I7,MAX(0,MAX(0,Inputs!$B$44-B1663)-((R1634-1)*IF(Inputs!$B$39="pvp",15,MAX(0.1,Skills!D7-IF(Skills!E7=TRUE,Inputs!$B$33,0))))))/Skills!H7,1)))/Inputs!$B$44),G1634*Q1634))*IF(Inputs!$B$39="pvp",1,1+(Inputs!$B$21+0+Skills!P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Skills!E7=TRUE,Inputs!$B$33,0))))))/Skills!H7,1)))/Inputs!$B$44),G1634*Q1634))*IF(Inputs!$B$39="pvp",1,(1+(Inputs!$B$22+Skills!Q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IFERROR(1/IF(Inputs!$B$39="pvp",15,MAX(0.1,Skills!D9-IF(Skills!E9=TRUE,Inputs!$B$33,0))),0)</f>
        <v/>
      </c>
      <c r="R1636">
        <f>IF(AND(Inputs!$B$39&lt;&gt;"pvp",Inputs!$B$44&gt;0),IF(MAX(0,Inputs!$B$44-B1663)&lt;=0,0,(INT(MAX(0,Inputs!$B$44-B1663)/IF(Inputs!$B$39="pvp",15,MAX(0.1,Skills!D9-IF(Skills!E9=TRUE,Inputs!$B$33,0))))+1)),0)</f>
        <v/>
      </c>
      <c r="S1636">
        <f>IFERROR(O1636/N1636,0)</f>
        <v/>
      </c>
      <c r="T1636">
        <f>IF(C1636,(H1636*N1636*IF(AND(Inputs!$B$39&lt;&gt;"pvp",Inputs!$B$44&gt;0),((Skills!G9*((R1636-1)*IF(Skills!H9&gt;0,Skills!I9/Skills!H9,1)+IF(Skills!H9&gt;0,MIN(Skills!I9,MAX(0,MAX(0,Inputs!$B$44-B1663)-((R1636-1)*IF(Inputs!$B$39="pvp",15,MAX(0.1,Skills!D9-IF(Skills!E9=TRUE,Inputs!$B$33,0))))))/Skills!H9,1)))/Inputs!$B$44),G1636*Q1636))*IF(Inputs!$B$39="pvp",1,1+(Inputs!$B$21+0+Skills!P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Skills!E9=TRUE,Inputs!$B$33,0))))))/Skills!H9,1)))/Inputs!$B$44),G1636*Q1636))*IF(Inputs!$B$39="pvp",1,(1+(Inputs!$B$22+Skills!Q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IFERROR(1/IF(Inputs!$B$39="pvp",15,MAX(0.1,Skills!D10-IF(Skills!E10=TRUE,Inputs!$B$33,0))),0)</f>
        <v/>
      </c>
      <c r="R1637">
        <f>IF(AND(Inputs!$B$39&lt;&gt;"pvp",Inputs!$B$44&gt;0),IF(MAX(0,Inputs!$B$44-B1663)&lt;=0,0,(INT(MAX(0,Inputs!$B$44-B1663)/IF(Inputs!$B$39="pvp",15,MAX(0.1,Skills!D10-IF(Skills!E10=TRUE,Inputs!$B$33,0))))+1)),0)</f>
        <v/>
      </c>
      <c r="S1637">
        <f>IFERROR(O1637/N1637,0)</f>
        <v/>
      </c>
      <c r="T1637">
        <f>IF(C1637,(H1637*N1637*IF(AND(Inputs!$B$39&lt;&gt;"pvp",Inputs!$B$44&gt;0),((Skills!G10*((R1637-1)*IF(Skills!H10&gt;0,Skills!I10/Skills!H10,1)+IF(Skills!H10&gt;0,MIN(Skills!I10,MAX(0,MAX(0,Inputs!$B$44-B1663)-((R1637-1)*IF(Inputs!$B$39="pvp",15,MAX(0.1,Skills!D10-IF(Skills!E10=TRUE,Inputs!$B$33,0))))))/Skills!H10,1)))/Inputs!$B$44),G1637*Q1637))*IF(Inputs!$B$39="pvp",1,1+(Inputs!$B$21+0+Skills!P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Skills!E10=TRUE,Inputs!$B$33,0))))))/Skills!H10,1)))/Inputs!$B$44),G1637*Q1637))*IF(Inputs!$B$39="pvp",1,(1+(Inputs!$B$22+Skills!Q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IFERROR(1/IF(Inputs!$B$39="pvp",15,MAX(0.1,Skills!D12-IF(Skills!E12=TRUE,Inputs!$B$33,0))),0)</f>
        <v/>
      </c>
      <c r="R1639">
        <f>IF(AND(Inputs!$B$39&lt;&gt;"pvp",Inputs!$B$44&gt;0),IF(MAX(0,Inputs!$B$44-B1663)&lt;=0,0,(INT(MAX(0,Inputs!$B$44-B1663)/IF(Inputs!$B$39="pvp",15,MAX(0.1,Skills!D12-IF(Skills!E12=TRUE,Inputs!$B$33,0))))+1)),0)</f>
        <v/>
      </c>
      <c r="S1639">
        <f>IFERROR(O1639/N1639,0)</f>
        <v/>
      </c>
      <c r="T1639">
        <f>IF(C1639,(H1639*N1639*IF(AND(Inputs!$B$39&lt;&gt;"pvp",Inputs!$B$44&gt;0),((Skills!G12*((R1639-1)*IF(Skills!H12&gt;0,Skills!I12/Skills!H12,1)+IF(Skills!H12&gt;0,MIN(Skills!I12,MAX(0,MAX(0,Inputs!$B$44-B1663)-((R1639-1)*IF(Inputs!$B$39="pvp",15,MAX(0.1,Skills!D12-IF(Skills!E12=TRUE,Inputs!$B$33,0))))))/Skills!H12,1)))/Inputs!$B$44),G1639*Q1639))*IF(Inputs!$B$39="pvp",1,1+(Inputs!$B$21+0+Skills!P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Skills!E12=TRUE,Inputs!$B$33,0))))))/Skills!H12,1)))/Inputs!$B$44),G1639*Q1639))*IF(Inputs!$B$39="pvp",1,(1+(Inputs!$B$22+Skills!Q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IFERROR(1/IF(Inputs!$B$39="pvp",15,MAX(0.1,Skills!D13-IF(Skills!E13=TRUE,Inputs!$B$33,0))),0)</f>
        <v/>
      </c>
      <c r="R1640">
        <f>IF(AND(Inputs!$B$39&lt;&gt;"pvp",Inputs!$B$44&gt;0),IF(Inputs!$B$44&lt;=0,0,(INT(Inputs!$B$44/IF(Inputs!$B$39="pvp",15,MAX(0.1,Skills!D13-IF(Skills!E13=TRUE,Inputs!$B$33,0))))+1)),0)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IFERROR(1/IF(Inputs!$B$39="pvp",15,MAX(0.1,Skills!D14-IF(Skills!E14=TRUE,Inputs!$B$33,0))),0)</f>
        <v/>
      </c>
      <c r="R1641">
        <f>IF(AND(Inputs!$B$39&lt;&gt;"pvp",Inputs!$B$44&gt;0),IF(Inputs!$B$44&lt;=0,0,(INT(Inputs!$B$44/IF(Inputs!$B$39="pvp",15,MAX(0.1,Skills!D14-IF(Skills!E14=TRUE,Inputs!$B$33,0))))+1)),0)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IFERROR(1/IF(Inputs!$B$39="pvp",15,MAX(0.1,Skills!D15-IF(Skills!E15=TRUE,Inputs!$B$33,0))),0)</f>
        <v/>
      </c>
      <c r="R1642">
        <f>IF(AND(Inputs!$B$39&lt;&gt;"pvp",Inputs!$B$44&gt;0),IF(Inputs!$B$44&lt;=0,0,(INT(Inputs!$B$44/IF(Inputs!$B$39="pvp",15,MAX(0.1,Skills!D15-IF(Skills!E15=TRUE,Inputs!$B$33,0))))+1)),0)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IFERROR(1/IF(Inputs!$B$39="pvp",15,MAX(0.1,Skills!D16-IF(Skills!E16=TRUE,Inputs!$B$33,0))),0)</f>
        <v/>
      </c>
      <c r="R1643">
        <f>IF(AND(Inputs!$B$39&lt;&gt;"pvp",Inputs!$B$44&gt;0),IF(Inputs!$B$44&lt;=0,0,(INT(Inputs!$B$44/IF(Inputs!$B$39="pvp",15,MAX(0.1,Skills!D16-IF(Skills!E16=TRUE,Inputs!$B$33,0))))+1)),0)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IFERROR(1/IF(Inputs!$B$39="pvp",15,MAX(0.1,Skills!D17-IF(Skills!E17=TRUE,Inputs!$B$33,0))),0)</f>
        <v/>
      </c>
      <c r="R1644">
        <f>IF(AND(Inputs!$B$39&lt;&gt;"pvp",Inputs!$B$44&gt;0),IF(Inputs!$B$44&lt;=0,0,(INT(Inputs!$B$44/IF(Inputs!$B$39="pvp",15,MAX(0.1,Skills!D17-IF(Skills!E17=TRUE,Inputs!$B$33,0))))+1)),0)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IFERROR(1/IF(Inputs!$B$39="pvp",15,MAX(0.1,Skills!D18-IF(Skills!E18=TRUE,Inputs!$B$33,0))),0)</f>
        <v/>
      </c>
      <c r="R1645">
        <f>IF(AND(Inputs!$B$39&lt;&gt;"pvp",Inputs!$B$44&gt;0),IF(Inputs!$B$44&lt;=0,0,(INT(Inputs!$B$44/IF(Inputs!$B$39="pvp",15,MAX(0.1,Skills!D18-IF(Skills!E18=TRUE,Inputs!$B$33,0))))+1)),0)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IFERROR(1/IF(Inputs!$B$39="pvp",15,MAX(0.1,Skills!D19-IF(Skills!E19=TRUE,Inputs!$B$33,0))),0)</f>
        <v/>
      </c>
      <c r="R1646">
        <f>IF(AND(Inputs!$B$39&lt;&gt;"pvp",Inputs!$B$44&gt;0),IF(Inputs!$B$44&lt;=0,0,(INT(Inputs!$B$44/IF(Inputs!$B$39="pvp",15,MAX(0.1,Skills!D19-IF(Skills!E19=TRUE,Inputs!$B$33,0))))+1)),0)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IFERROR(1/IF(Inputs!$B$39="pvp",15,MAX(0.1,Skills!D20-IF(Skills!E20=TRUE,Inputs!$B$33,0))),0)</f>
        <v/>
      </c>
      <c r="R1647">
        <f>IF(AND(Inputs!$B$39&lt;&gt;"pvp",Inputs!$B$44&gt;0),IF(Inputs!$B$44&lt;=0,0,(INT(Inputs!$B$44/IF(Inputs!$B$39="pvp",15,MAX(0.1,Skills!D20-IF(Skills!E20=TRUE,Inputs!$B$33,0))))+1)),0)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Skills!T18*(1+Inputs!$B$35/100))+MIN((Skills!T18*(1+Inputs!$B$35/100)),MAX(0,Inputs!$B$44-((R1645-1)*Skills!D18))))/Inputs!$B$44),IF(Inputs!$B$39="pvp",MIN((Skills!T18*(1+Inputs!$B$35/100)),15)/15,(Skills!T18*(1+Inputs!$B$35/100))/Skills!D18)))</f>
        <v/>
      </c>
    </row>
    <row r="1657">
      <c r="A1657" t="inlineStr">
        <is>
          <t>Attack Speed Buff Bonus %</t>
        </is>
      </c>
      <c r="B1657">
        <f>((C1647=TRUE)*F1647*IF(AND(Inputs!$B$39&lt;&gt;"pvp",Inputs!$B$44&gt;0),(((R1647-1)*(Skills!T20*(1+Inputs!$B$35/100))+MIN((Skills!T20*(1+Inputs!$B$35/100)),MAX(0,Inputs!$B$44-((R1647-1)*Skills!D20))))/Inputs!$B$44),IF(Inputs!$B$39="pvp",MIN((Skills!T20*(1+Inputs!$B$35/100)),15)/15,(Skills!T20*(1+Inputs!$B$35/100))/Skills!D20)))</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Skills!T19*(1+Inputs!$B$35/100))+MIN((Skills!T19*(1+Inputs!$B$35/100)),MAX(0,Inputs!$B$44-((R1646-1)*Skills!D19))))/Inputs!$B$44),IF(Inputs!$B$39="pvp",MIN((Skills!T19*(1+Inputs!$B$35/100)),15)/15,(Skills!T19*(1+Inputs!$B$35/100))/Skills!D19)))</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IFERROR(1/IF(Inputs!$B$39="pvp",15,MAX(0.1,Skills!D5-IF(Skills!E5=TRUE,Inputs!$B$33,0))),0)</f>
        <v/>
      </c>
      <c r="R1674">
        <f>IF(AND(Inputs!$B$39&lt;&gt;"pvp",Inputs!$B$44&gt;0),IF(MAX(0,Inputs!$B$44-B1705)&lt;=0,0,(INT(MAX(0,Inputs!$B$44-B1705)/IF(Inputs!$B$39="pvp",15,MAX(0.1,Skills!D5-IF(Skills!E5=TRUE,Inputs!$B$33,0))))+1)),0)</f>
        <v/>
      </c>
      <c r="S1674">
        <f>IFERROR(O1674/N1674,0)</f>
        <v/>
      </c>
      <c r="T1674">
        <f>IF(C1674,(H1674*N1674*IF(AND(Inputs!$B$39&lt;&gt;"pvp",Inputs!$B$44&gt;0),((Skills!G5*((R1674-1)*IF(Skills!H5&gt;0,Skills!I5/Skills!H5,1)+IF(Skills!H5&gt;0,MIN(Skills!I5,MAX(0,MAX(0,Inputs!$B$44-B1705)-((R1674-1)*IF(Inputs!$B$39="pvp",15,MAX(0.1,Skills!D5-IF(Skills!E5=TRUE,Inputs!$B$33,0))))))/Skills!H5,1)))/Inputs!$B$44),G1674*Q1674))*IF(Inputs!$B$39="pvp",1,1+(Inputs!$B$21+0+Skills!P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Skills!E5=TRUE,Inputs!$B$33,0))))))/Skills!H5,1)))/Inputs!$B$44),G1674*Q1674))*IF(Inputs!$B$39="pvp",1,(1+(Inputs!$B$22+Skills!Q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IFERROR(1/IF(Inputs!$B$39="pvp",15,MAX(0.1,Skills!D6-IF(Skills!E6=TRUE,Inputs!$B$33,0))),0)</f>
        <v/>
      </c>
      <c r="R1675">
        <f>IF(AND(Inputs!$B$39&lt;&gt;"pvp",Inputs!$B$44&gt;0),IF(MAX(0,Inputs!$B$44-B1705)&lt;=0,0,(INT(MAX(0,Inputs!$B$44-B1705)/IF(Inputs!$B$39="pvp",15,MAX(0.1,Skills!D6-IF(Skills!E6=TRUE,Inputs!$B$33,0))))+1)),0)</f>
        <v/>
      </c>
      <c r="S1675">
        <f>IFERROR(O1675/N1675,0)</f>
        <v/>
      </c>
      <c r="T1675">
        <f>IF(C1675,(H1675*N1675*IF(AND(Inputs!$B$39&lt;&gt;"pvp",Inputs!$B$44&gt;0),((Skills!G6*((R1675-1)*IF(Skills!H6&gt;0,Skills!I6/Skills!H6,1)+IF(Skills!H6&gt;0,MIN(Skills!I6,MAX(0,MAX(0,Inputs!$B$44-B1705)-((R1675-1)*IF(Inputs!$B$39="pvp",15,MAX(0.1,Skills!D6-IF(Skills!E6=TRUE,Inputs!$B$33,0))))))/Skills!H6,1)))/Inputs!$B$44),G1675*Q1675))*IF(Inputs!$B$39="pvp",1,1+(Inputs!$B$21+0+Skills!P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Skills!E6=TRUE,Inputs!$B$33,0))))))/Skills!H6,1)))/Inputs!$B$44),G1675*Q1675))*IF(Inputs!$B$39="pvp",1,(1+(Inputs!$B$22+Skills!Q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IFERROR(1/IF(Inputs!$B$39="pvp",15,MAX(0.1,Skills!D7-IF(Skills!E7=TRUE,Inputs!$B$33,0))),0)</f>
        <v/>
      </c>
      <c r="R1676">
        <f>IF(AND(Inputs!$B$39&lt;&gt;"pvp",Inputs!$B$44&gt;0),IF(MAX(0,Inputs!$B$44-B1705)&lt;=0,0,(INT(MAX(0,Inputs!$B$44-B1705)/IF(Inputs!$B$39="pvp",15,MAX(0.1,Skills!D7-IF(Skills!E7=TRUE,Inputs!$B$33,0))))+1)),0)</f>
        <v/>
      </c>
      <c r="S1676">
        <f>IFERROR(O1676/N1676,0)</f>
        <v/>
      </c>
      <c r="T1676">
        <f>IF(C1676,(H1676*N1676*IF(AND(Inputs!$B$39&lt;&gt;"pvp",Inputs!$B$44&gt;0),((Skills!G7*((R1676-1)*IF(Skills!H7&gt;0,Skills!I7/Skills!H7,1)+IF(Skills!H7&gt;0,MIN(Skills!I7,MAX(0,MAX(0,Inputs!$B$44-B1705)-((R1676-1)*IF(Inputs!$B$39="pvp",15,MAX(0.1,Skills!D7-IF(Skills!E7=TRUE,Inputs!$B$33,0))))))/Skills!H7,1)))/Inputs!$B$44),G1676*Q1676))*IF(Inputs!$B$39="pvp",1,1+(Inputs!$B$21+0+Skills!P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Skills!E7=TRUE,Inputs!$B$33,0))))))/Skills!H7,1)))/Inputs!$B$44),G1676*Q1676))*IF(Inputs!$B$39="pvp",1,(1+(Inputs!$B$22+Skills!Q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IFERROR(1/IF(Inputs!$B$39="pvp",15,MAX(0.1,Skills!D9-IF(Skills!E9=TRUE,Inputs!$B$33,0))),0)</f>
        <v/>
      </c>
      <c r="R1678">
        <f>IF(AND(Inputs!$B$39&lt;&gt;"pvp",Inputs!$B$44&gt;0),IF(MAX(0,Inputs!$B$44-B1705)&lt;=0,0,(INT(MAX(0,Inputs!$B$44-B1705)/IF(Inputs!$B$39="pvp",15,MAX(0.1,Skills!D9-IF(Skills!E9=TRUE,Inputs!$B$33,0))))+1)),0)</f>
        <v/>
      </c>
      <c r="S1678">
        <f>IFERROR(O1678/N1678,0)</f>
        <v/>
      </c>
      <c r="T1678">
        <f>IF(C1678,(H1678*N1678*IF(AND(Inputs!$B$39&lt;&gt;"pvp",Inputs!$B$44&gt;0),((Skills!G9*((R1678-1)*IF(Skills!H9&gt;0,Skills!I9/Skills!H9,1)+IF(Skills!H9&gt;0,MIN(Skills!I9,MAX(0,MAX(0,Inputs!$B$44-B1705)-((R1678-1)*IF(Inputs!$B$39="pvp",15,MAX(0.1,Skills!D9-IF(Skills!E9=TRUE,Inputs!$B$33,0))))))/Skills!H9,1)))/Inputs!$B$44),G1678*Q1678))*IF(Inputs!$B$39="pvp",1,1+(Inputs!$B$21+0+Skills!P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Skills!E9=TRUE,Inputs!$B$33,0))))))/Skills!H9,1)))/Inputs!$B$44),G1678*Q1678))*IF(Inputs!$B$39="pvp",1,(1+(Inputs!$B$22+Skills!Q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IFERROR(1/IF(Inputs!$B$39="pvp",15,MAX(0.1,Skills!D10-IF(Skills!E10=TRUE,Inputs!$B$33,0))),0)</f>
        <v/>
      </c>
      <c r="R1679">
        <f>IF(AND(Inputs!$B$39&lt;&gt;"pvp",Inputs!$B$44&gt;0),IF(MAX(0,Inputs!$B$44-B1705)&lt;=0,0,(INT(MAX(0,Inputs!$B$44-B1705)/IF(Inputs!$B$39="pvp",15,MAX(0.1,Skills!D10-IF(Skills!E10=TRUE,Inputs!$B$33,0))))+1)),0)</f>
        <v/>
      </c>
      <c r="S1679">
        <f>IFERROR(O1679/N1679,0)</f>
        <v/>
      </c>
      <c r="T1679">
        <f>IF(C1679,(H1679*N1679*IF(AND(Inputs!$B$39&lt;&gt;"pvp",Inputs!$B$44&gt;0),((Skills!G10*((R1679-1)*IF(Skills!H10&gt;0,Skills!I10/Skills!H10,1)+IF(Skills!H10&gt;0,MIN(Skills!I10,MAX(0,MAX(0,Inputs!$B$44-B1705)-((R1679-1)*IF(Inputs!$B$39="pvp",15,MAX(0.1,Skills!D10-IF(Skills!E10=TRUE,Inputs!$B$33,0))))))/Skills!H10,1)))/Inputs!$B$44),G1679*Q1679))*IF(Inputs!$B$39="pvp",1,1+(Inputs!$B$21+0+Skills!P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Skills!E10=TRUE,Inputs!$B$33,0))))))/Skills!H10,1)))/Inputs!$B$44),G1679*Q1679))*IF(Inputs!$B$39="pvp",1,(1+(Inputs!$B$22+Skills!Q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IFERROR(1/IF(Inputs!$B$39="pvp",15,MAX(0.1,Skills!D12-IF(Skills!E12=TRUE,Inputs!$B$33,0))),0)</f>
        <v/>
      </c>
      <c r="R1681">
        <f>IF(AND(Inputs!$B$39&lt;&gt;"pvp",Inputs!$B$44&gt;0),IF(MAX(0,Inputs!$B$44-B1705)&lt;=0,0,(INT(MAX(0,Inputs!$B$44-B1705)/IF(Inputs!$B$39="pvp",15,MAX(0.1,Skills!D12-IF(Skills!E12=TRUE,Inputs!$B$33,0))))+1)),0)</f>
        <v/>
      </c>
      <c r="S1681">
        <f>IFERROR(O1681/N1681,0)</f>
        <v/>
      </c>
      <c r="T1681">
        <f>IF(C1681,(H1681*N1681*IF(AND(Inputs!$B$39&lt;&gt;"pvp",Inputs!$B$44&gt;0),((Skills!G12*((R1681-1)*IF(Skills!H12&gt;0,Skills!I12/Skills!H12,1)+IF(Skills!H12&gt;0,MIN(Skills!I12,MAX(0,MAX(0,Inputs!$B$44-B1705)-((R1681-1)*IF(Inputs!$B$39="pvp",15,MAX(0.1,Skills!D12-IF(Skills!E12=TRUE,Inputs!$B$33,0))))))/Skills!H12,1)))/Inputs!$B$44),G1681*Q1681))*IF(Inputs!$B$39="pvp",1,1+(Inputs!$B$21+0+Skills!P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Skills!E12=TRUE,Inputs!$B$33,0))))))/Skills!H12,1)))/Inputs!$B$44),G1681*Q1681))*IF(Inputs!$B$39="pvp",1,(1+(Inputs!$B$22+Skills!Q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IFERROR(1/IF(Inputs!$B$39="pvp",15,MAX(0.1,Skills!D13-IF(Skills!E13=TRUE,Inputs!$B$33,0))),0)</f>
        <v/>
      </c>
      <c r="R1682">
        <f>IF(AND(Inputs!$B$39&lt;&gt;"pvp",Inputs!$B$44&gt;0),IF(Inputs!$B$44&lt;=0,0,(INT(Inputs!$B$44/IF(Inputs!$B$39="pvp",15,MAX(0.1,Skills!D13-IF(Skills!E13=TRUE,Inputs!$B$33,0))))+1)),0)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IFERROR(1/IF(Inputs!$B$39="pvp",15,MAX(0.1,Skills!D14-IF(Skills!E14=TRUE,Inputs!$B$33,0))),0)</f>
        <v/>
      </c>
      <c r="R1683">
        <f>IF(AND(Inputs!$B$39&lt;&gt;"pvp",Inputs!$B$44&gt;0),IF(Inputs!$B$44&lt;=0,0,(INT(Inputs!$B$44/IF(Inputs!$B$39="pvp",15,MAX(0.1,Skills!D14-IF(Skills!E14=TRUE,Inputs!$B$33,0))))+1)),0)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IFERROR(1/IF(Inputs!$B$39="pvp",15,MAX(0.1,Skills!D15-IF(Skills!E15=TRUE,Inputs!$B$33,0))),0)</f>
        <v/>
      </c>
      <c r="R1684">
        <f>IF(AND(Inputs!$B$39&lt;&gt;"pvp",Inputs!$B$44&gt;0),IF(Inputs!$B$44&lt;=0,0,(INT(Inputs!$B$44/IF(Inputs!$B$39="pvp",15,MAX(0.1,Skills!D15-IF(Skills!E15=TRUE,Inputs!$B$33,0))))+1)),0)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IFERROR(1/IF(Inputs!$B$39="pvp",15,MAX(0.1,Skills!D16-IF(Skills!E16=TRUE,Inputs!$B$33,0))),0)</f>
        <v/>
      </c>
      <c r="R1685">
        <f>IF(AND(Inputs!$B$39&lt;&gt;"pvp",Inputs!$B$44&gt;0),IF(Inputs!$B$44&lt;=0,0,(INT(Inputs!$B$44/IF(Inputs!$B$39="pvp",15,MAX(0.1,Skills!D16-IF(Skills!E16=TRUE,Inputs!$B$33,0))))+1)),0)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IFERROR(1/IF(Inputs!$B$39="pvp",15,MAX(0.1,Skills!D17-IF(Skills!E17=TRUE,Inputs!$B$33,0))),0)</f>
        <v/>
      </c>
      <c r="R1686">
        <f>IF(AND(Inputs!$B$39&lt;&gt;"pvp",Inputs!$B$44&gt;0),IF(Inputs!$B$44&lt;=0,0,(INT(Inputs!$B$44/IF(Inputs!$B$39="pvp",15,MAX(0.1,Skills!D17-IF(Skills!E17=TRUE,Inputs!$B$33,0))))+1)),0)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IFERROR(1/IF(Inputs!$B$39="pvp",15,MAX(0.1,Skills!D18-IF(Skills!E18=TRUE,Inputs!$B$33,0))),0)</f>
        <v/>
      </c>
      <c r="R1687">
        <f>IF(AND(Inputs!$B$39&lt;&gt;"pvp",Inputs!$B$44&gt;0),IF(Inputs!$B$44&lt;=0,0,(INT(Inputs!$B$44/IF(Inputs!$B$39="pvp",15,MAX(0.1,Skills!D18-IF(Skills!E18=TRUE,Inputs!$B$33,0))))+1)),0)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IFERROR(1/IF(Inputs!$B$39="pvp",15,MAX(0.1,Skills!D19-IF(Skills!E19=TRUE,Inputs!$B$33,0))),0)</f>
        <v/>
      </c>
      <c r="R1688">
        <f>IF(AND(Inputs!$B$39&lt;&gt;"pvp",Inputs!$B$44&gt;0),IF(Inputs!$B$44&lt;=0,0,(INT(Inputs!$B$44/IF(Inputs!$B$39="pvp",15,MAX(0.1,Skills!D19-IF(Skills!E19=TRUE,Inputs!$B$33,0))))+1)),0)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IFERROR(1/IF(Inputs!$B$39="pvp",15,MAX(0.1,Skills!D20-IF(Skills!E20=TRUE,Inputs!$B$33,0))),0)</f>
        <v/>
      </c>
      <c r="R1689">
        <f>IF(AND(Inputs!$B$39&lt;&gt;"pvp",Inputs!$B$44&gt;0),IF(Inputs!$B$44&lt;=0,0,(INT(Inputs!$B$44/IF(Inputs!$B$39="pvp",15,MAX(0.1,Skills!D20-IF(Skills!E20=TRUE,Inputs!$B$33,0))))+1)),0)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Skills!T18*(1+Inputs!$B$35/100))+MIN((Skills!T18*(1+Inputs!$B$35/100)),MAX(0,Inputs!$B$44-((R1687-1)*Skills!D18))))/Inputs!$B$44),IF(Inputs!$B$39="pvp",MIN((Skills!T18*(1+Inputs!$B$35/100)),15)/15,(Skills!T18*(1+Inputs!$B$35/100))/Skills!D18)))</f>
        <v/>
      </c>
    </row>
    <row r="1699">
      <c r="A1699" t="inlineStr">
        <is>
          <t>Attack Speed Buff Bonus %</t>
        </is>
      </c>
      <c r="B1699">
        <f>((C1689=TRUE)*F1689*IF(AND(Inputs!$B$39&lt;&gt;"pvp",Inputs!$B$44&gt;0),(((R1689-1)*(Skills!T20*(1+Inputs!$B$35/100))+MIN((Skills!T20*(1+Inputs!$B$35/100)),MAX(0,Inputs!$B$44-((R1689-1)*Skills!D20))))/Inputs!$B$44),IF(Inputs!$B$39="pvp",MIN((Skills!T20*(1+Inputs!$B$35/100)),15)/15,(Skills!T20*(1+Inputs!$B$35/100))/Skills!D20)))</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Skills!T19*(1+Inputs!$B$35/100))+MIN((Skills!T19*(1+Inputs!$B$35/100)),MAX(0,Inputs!$B$44-((R1688-1)*Skills!D19))))/Inputs!$B$44),IF(Inputs!$B$39="pvp",MIN((Skills!T19*(1+Inputs!$B$35/100)),15)/15,(Skills!T19*(1+Inputs!$B$35/100))/Skills!D19)))</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IFERROR(1/IF(Inputs!$B$39="pvp",15,MAX(0.1,Skills!D5-IF(Skills!E5=TRUE,Inputs!$B$33,0))),0)</f>
        <v/>
      </c>
      <c r="R1716">
        <f>IF(AND(Inputs!$B$39&lt;&gt;"pvp",Inputs!$B$44&gt;0),IF(MAX(0,Inputs!$B$44-B1747)&lt;=0,0,(INT(MAX(0,Inputs!$B$44-B1747)/IF(Inputs!$B$39="pvp",15,MAX(0.1,Skills!D5-IF(Skills!E5=TRUE,Inputs!$B$33,0))))+1)),0)</f>
        <v/>
      </c>
      <c r="S1716">
        <f>IFERROR(O1716/N1716,0)</f>
        <v/>
      </c>
      <c r="T1716">
        <f>IF(C1716,(H1716*N1716*IF(AND(Inputs!$B$39&lt;&gt;"pvp",Inputs!$B$44&gt;0),((Skills!G5*((R1716-1)*IF(Skills!H5&gt;0,Skills!I5/Skills!H5,1)+IF(Skills!H5&gt;0,MIN(Skills!I5,MAX(0,MAX(0,Inputs!$B$44-B1747)-((R1716-1)*IF(Inputs!$B$39="pvp",15,MAX(0.1,Skills!D5-IF(Skills!E5=TRUE,Inputs!$B$33,0))))))/Skills!H5,1)))/Inputs!$B$44),G1716*Q1716))*IF(Inputs!$B$39="pvp",1,1+(Inputs!$B$21+0+Skills!P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Skills!E5=TRUE,Inputs!$B$33,0))))))/Skills!H5,1)))/Inputs!$B$44),G1716*Q1716))*IF(Inputs!$B$39="pvp",1,(1+(Inputs!$B$22+Skills!Q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IFERROR(1/IF(Inputs!$B$39="pvp",15,MAX(0.1,Skills!D6-IF(Skills!E6=TRUE,Inputs!$B$33,0))),0)</f>
        <v/>
      </c>
      <c r="R1717">
        <f>IF(AND(Inputs!$B$39&lt;&gt;"pvp",Inputs!$B$44&gt;0),IF(MAX(0,Inputs!$B$44-B1747)&lt;=0,0,(INT(MAX(0,Inputs!$B$44-B1747)/IF(Inputs!$B$39="pvp",15,MAX(0.1,Skills!D6-IF(Skills!E6=TRUE,Inputs!$B$33,0))))+1)),0)</f>
        <v/>
      </c>
      <c r="S1717">
        <f>IFERROR(O1717/N1717,0)</f>
        <v/>
      </c>
      <c r="T1717">
        <f>IF(C1717,(H1717*N1717*IF(AND(Inputs!$B$39&lt;&gt;"pvp",Inputs!$B$44&gt;0),((Skills!G6*((R1717-1)*IF(Skills!H6&gt;0,Skills!I6/Skills!H6,1)+IF(Skills!H6&gt;0,MIN(Skills!I6,MAX(0,MAX(0,Inputs!$B$44-B1747)-((R1717-1)*IF(Inputs!$B$39="pvp",15,MAX(0.1,Skills!D6-IF(Skills!E6=TRUE,Inputs!$B$33,0))))))/Skills!H6,1)))/Inputs!$B$44),G1717*Q1717))*IF(Inputs!$B$39="pvp",1,1+(Inputs!$B$21+0+Skills!P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Skills!E6=TRUE,Inputs!$B$33,0))))))/Skills!H6,1)))/Inputs!$B$44),G1717*Q1717))*IF(Inputs!$B$39="pvp",1,(1+(Inputs!$B$22+Skills!Q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IFERROR(1/IF(Inputs!$B$39="pvp",15,MAX(0.1,Skills!D7-IF(Skills!E7=TRUE,Inputs!$B$33,0))),0)</f>
        <v/>
      </c>
      <c r="R1718">
        <f>IF(AND(Inputs!$B$39&lt;&gt;"pvp",Inputs!$B$44&gt;0),IF(MAX(0,Inputs!$B$44-B1747)&lt;=0,0,(INT(MAX(0,Inputs!$B$44-B1747)/IF(Inputs!$B$39="pvp",15,MAX(0.1,Skills!D7-IF(Skills!E7=TRUE,Inputs!$B$33,0))))+1)),0)</f>
        <v/>
      </c>
      <c r="S1718">
        <f>IFERROR(O1718/N1718,0)</f>
        <v/>
      </c>
      <c r="T1718">
        <f>IF(C1718,(H1718*N1718*IF(AND(Inputs!$B$39&lt;&gt;"pvp",Inputs!$B$44&gt;0),((Skills!G7*((R1718-1)*IF(Skills!H7&gt;0,Skills!I7/Skills!H7,1)+IF(Skills!H7&gt;0,MIN(Skills!I7,MAX(0,MAX(0,Inputs!$B$44-B1747)-((R1718-1)*IF(Inputs!$B$39="pvp",15,MAX(0.1,Skills!D7-IF(Skills!E7=TRUE,Inputs!$B$33,0))))))/Skills!H7,1)))/Inputs!$B$44),G1718*Q1718))*IF(Inputs!$B$39="pvp",1,1+(Inputs!$B$21+0+Skills!P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Skills!E7=TRUE,Inputs!$B$33,0))))))/Skills!H7,1)))/Inputs!$B$44),G1718*Q1718))*IF(Inputs!$B$39="pvp",1,(1+(Inputs!$B$22+Skills!Q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IFERROR(1/IF(Inputs!$B$39="pvp",15,MAX(0.1,Skills!D9-IF(Skills!E9=TRUE,Inputs!$B$33,0))),0)</f>
        <v/>
      </c>
      <c r="R1720">
        <f>IF(AND(Inputs!$B$39&lt;&gt;"pvp",Inputs!$B$44&gt;0),IF(MAX(0,Inputs!$B$44-B1747)&lt;=0,0,(INT(MAX(0,Inputs!$B$44-B1747)/IF(Inputs!$B$39="pvp",15,MAX(0.1,Skills!D9-IF(Skills!E9=TRUE,Inputs!$B$33,0))))+1)),0)</f>
        <v/>
      </c>
      <c r="S1720">
        <f>IFERROR(O1720/N1720,0)</f>
        <v/>
      </c>
      <c r="T1720">
        <f>IF(C1720,(H1720*N1720*IF(AND(Inputs!$B$39&lt;&gt;"pvp",Inputs!$B$44&gt;0),((Skills!G9*((R1720-1)*IF(Skills!H9&gt;0,Skills!I9/Skills!H9,1)+IF(Skills!H9&gt;0,MIN(Skills!I9,MAX(0,MAX(0,Inputs!$B$44-B1747)-((R1720-1)*IF(Inputs!$B$39="pvp",15,MAX(0.1,Skills!D9-IF(Skills!E9=TRUE,Inputs!$B$33,0))))))/Skills!H9,1)))/Inputs!$B$44),G1720*Q1720))*IF(Inputs!$B$39="pvp",1,1+(Inputs!$B$21+0+Skills!P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Skills!E9=TRUE,Inputs!$B$33,0))))))/Skills!H9,1)))/Inputs!$B$44),G1720*Q1720))*IF(Inputs!$B$39="pvp",1,(1+(Inputs!$B$22+Skills!Q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IFERROR(1/IF(Inputs!$B$39="pvp",15,MAX(0.1,Skills!D10-IF(Skills!E10=TRUE,Inputs!$B$33,0))),0)</f>
        <v/>
      </c>
      <c r="R1721">
        <f>IF(AND(Inputs!$B$39&lt;&gt;"pvp",Inputs!$B$44&gt;0),IF(MAX(0,Inputs!$B$44-B1747)&lt;=0,0,(INT(MAX(0,Inputs!$B$44-B1747)/IF(Inputs!$B$39="pvp",15,MAX(0.1,Skills!D10-IF(Skills!E10=TRUE,Inputs!$B$33,0))))+1)),0)</f>
        <v/>
      </c>
      <c r="S1721">
        <f>IFERROR(O1721/N1721,0)</f>
        <v/>
      </c>
      <c r="T1721">
        <f>IF(C1721,(H1721*N1721*IF(AND(Inputs!$B$39&lt;&gt;"pvp",Inputs!$B$44&gt;0),((Skills!G10*((R1721-1)*IF(Skills!H10&gt;0,Skills!I10/Skills!H10,1)+IF(Skills!H10&gt;0,MIN(Skills!I10,MAX(0,MAX(0,Inputs!$B$44-B1747)-((R1721-1)*IF(Inputs!$B$39="pvp",15,MAX(0.1,Skills!D10-IF(Skills!E10=TRUE,Inputs!$B$33,0))))))/Skills!H10,1)))/Inputs!$B$44),G1721*Q1721))*IF(Inputs!$B$39="pvp",1,1+(Inputs!$B$21+0+Skills!P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Skills!E10=TRUE,Inputs!$B$33,0))))))/Skills!H10,1)))/Inputs!$B$44),G1721*Q1721))*IF(Inputs!$B$39="pvp",1,(1+(Inputs!$B$22+Skills!Q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IFERROR(1/IF(Inputs!$B$39="pvp",15,MAX(0.1,Skills!D12-IF(Skills!E12=TRUE,Inputs!$B$33,0))),0)</f>
        <v/>
      </c>
      <c r="R1723">
        <f>IF(AND(Inputs!$B$39&lt;&gt;"pvp",Inputs!$B$44&gt;0),IF(MAX(0,Inputs!$B$44-B1747)&lt;=0,0,(INT(MAX(0,Inputs!$B$44-B1747)/IF(Inputs!$B$39="pvp",15,MAX(0.1,Skills!D12-IF(Skills!E12=TRUE,Inputs!$B$33,0))))+1)),0)</f>
        <v/>
      </c>
      <c r="S1723">
        <f>IFERROR(O1723/N1723,0)</f>
        <v/>
      </c>
      <c r="T1723">
        <f>IF(C1723,(H1723*N1723*IF(AND(Inputs!$B$39&lt;&gt;"pvp",Inputs!$B$44&gt;0),((Skills!G12*((R1723-1)*IF(Skills!H12&gt;0,Skills!I12/Skills!H12,1)+IF(Skills!H12&gt;0,MIN(Skills!I12,MAX(0,MAX(0,Inputs!$B$44-B1747)-((R1723-1)*IF(Inputs!$B$39="pvp",15,MAX(0.1,Skills!D12-IF(Skills!E12=TRUE,Inputs!$B$33,0))))))/Skills!H12,1)))/Inputs!$B$44),G1723*Q1723))*IF(Inputs!$B$39="pvp",1,1+(Inputs!$B$21+0+Skills!P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Skills!E12=TRUE,Inputs!$B$33,0))))))/Skills!H12,1)))/Inputs!$B$44),G1723*Q1723))*IF(Inputs!$B$39="pvp",1,(1+(Inputs!$B$22+Skills!Q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IFERROR(1/IF(Inputs!$B$39="pvp",15,MAX(0.1,Skills!D13-IF(Skills!E13=TRUE,Inputs!$B$33,0))),0)</f>
        <v/>
      </c>
      <c r="R1724">
        <f>IF(AND(Inputs!$B$39&lt;&gt;"pvp",Inputs!$B$44&gt;0),IF(Inputs!$B$44&lt;=0,0,(INT(Inputs!$B$44/IF(Inputs!$B$39="pvp",15,MAX(0.1,Skills!D13-IF(Skills!E13=TRUE,Inputs!$B$33,0))))+1)),0)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IFERROR(1/IF(Inputs!$B$39="pvp",15,MAX(0.1,Skills!D14-IF(Skills!E14=TRUE,Inputs!$B$33,0))),0)</f>
        <v/>
      </c>
      <c r="R1725">
        <f>IF(AND(Inputs!$B$39&lt;&gt;"pvp",Inputs!$B$44&gt;0),IF(Inputs!$B$44&lt;=0,0,(INT(Inputs!$B$44/IF(Inputs!$B$39="pvp",15,MAX(0.1,Skills!D14-IF(Skills!E14=TRUE,Inputs!$B$33,0))))+1)),0)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IFERROR(1/IF(Inputs!$B$39="pvp",15,MAX(0.1,Skills!D15-IF(Skills!E15=TRUE,Inputs!$B$33,0))),0)</f>
        <v/>
      </c>
      <c r="R1726">
        <f>IF(AND(Inputs!$B$39&lt;&gt;"pvp",Inputs!$B$44&gt;0),IF(Inputs!$B$44&lt;=0,0,(INT(Inputs!$B$44/IF(Inputs!$B$39="pvp",15,MAX(0.1,Skills!D15-IF(Skills!E15=TRUE,Inputs!$B$33,0))))+1)),0)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IFERROR(1/IF(Inputs!$B$39="pvp",15,MAX(0.1,Skills!D16-IF(Skills!E16=TRUE,Inputs!$B$33,0))),0)</f>
        <v/>
      </c>
      <c r="R1727">
        <f>IF(AND(Inputs!$B$39&lt;&gt;"pvp",Inputs!$B$44&gt;0),IF(Inputs!$B$44&lt;=0,0,(INT(Inputs!$B$44/IF(Inputs!$B$39="pvp",15,MAX(0.1,Skills!D16-IF(Skills!E16=TRUE,Inputs!$B$33,0))))+1)),0)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IFERROR(1/IF(Inputs!$B$39="pvp",15,MAX(0.1,Skills!D17-IF(Skills!E17=TRUE,Inputs!$B$33,0))),0)</f>
        <v/>
      </c>
      <c r="R1728">
        <f>IF(AND(Inputs!$B$39&lt;&gt;"pvp",Inputs!$B$44&gt;0),IF(Inputs!$B$44&lt;=0,0,(INT(Inputs!$B$44/IF(Inputs!$B$39="pvp",15,MAX(0.1,Skills!D17-IF(Skills!E17=TRUE,Inputs!$B$33,0))))+1)),0)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IFERROR(1/IF(Inputs!$B$39="pvp",15,MAX(0.1,Skills!D18-IF(Skills!E18=TRUE,Inputs!$B$33,0))),0)</f>
        <v/>
      </c>
      <c r="R1729">
        <f>IF(AND(Inputs!$B$39&lt;&gt;"pvp",Inputs!$B$44&gt;0),IF(Inputs!$B$44&lt;=0,0,(INT(Inputs!$B$44/IF(Inputs!$B$39="pvp",15,MAX(0.1,Skills!D18-IF(Skills!E18=TRUE,Inputs!$B$33,0))))+1)),0)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IFERROR(1/IF(Inputs!$B$39="pvp",15,MAX(0.1,Skills!D19-IF(Skills!E19=TRUE,Inputs!$B$33,0))),0)</f>
        <v/>
      </c>
      <c r="R1730">
        <f>IF(AND(Inputs!$B$39&lt;&gt;"pvp",Inputs!$B$44&gt;0),IF(Inputs!$B$44&lt;=0,0,(INT(Inputs!$B$44/IF(Inputs!$B$39="pvp",15,MAX(0.1,Skills!D19-IF(Skills!E19=TRUE,Inputs!$B$33,0))))+1)),0)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IFERROR(1/IF(Inputs!$B$39="pvp",15,MAX(0.1,Skills!D20-IF(Skills!E20=TRUE,Inputs!$B$33,0))),0)</f>
        <v/>
      </c>
      <c r="R1731">
        <f>IF(AND(Inputs!$B$39&lt;&gt;"pvp",Inputs!$B$44&gt;0),IF(Inputs!$B$44&lt;=0,0,(INT(Inputs!$B$44/IF(Inputs!$B$39="pvp",15,MAX(0.1,Skills!D20-IF(Skills!E20=TRUE,Inputs!$B$33,0))))+1)),0)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Skills!T18*(1+Inputs!$B$35/100))+MIN((Skills!T18*(1+Inputs!$B$35/100)),MAX(0,Inputs!$B$44-((R1729-1)*Skills!D18))))/Inputs!$B$44),IF(Inputs!$B$39="pvp",MIN((Skills!T18*(1+Inputs!$B$35/100)),15)/15,(Skills!T18*(1+Inputs!$B$35/100))/Skills!D18)))</f>
        <v/>
      </c>
    </row>
    <row r="1741">
      <c r="A1741" t="inlineStr">
        <is>
          <t>Attack Speed Buff Bonus %</t>
        </is>
      </c>
      <c r="B1741">
        <f>((C1731=TRUE)*F1731*IF(AND(Inputs!$B$39&lt;&gt;"pvp",Inputs!$B$44&gt;0),(((R1731-1)*(Skills!T20*(1+Inputs!$B$35/100))+MIN((Skills!T20*(1+Inputs!$B$35/100)),MAX(0,Inputs!$B$44-((R1731-1)*Skills!D20))))/Inputs!$B$44),IF(Inputs!$B$39="pvp",MIN((Skills!T20*(1+Inputs!$B$35/100)),15)/15,(Skills!T20*(1+Inputs!$B$35/100))/Skills!D20)))</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Skills!T19*(1+Inputs!$B$35/100))+MIN((Skills!T19*(1+Inputs!$B$35/100)),MAX(0,Inputs!$B$44-((R1730-1)*Skills!D19))))/Inputs!$B$44),IF(Inputs!$B$39="pvp",MIN((Skills!T19*(1+Inputs!$B$35/100)),15)/15,(Skills!T19*(1+Inputs!$B$35/100))/Skills!D19)))</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IFERROR(1/IF(Inputs!$B$39="pvp",15,MAX(0.1,Skills!D5-IF(Skills!E5=TRUE,Inputs!$B$33,0))),0)</f>
        <v/>
      </c>
      <c r="R1758">
        <f>IF(AND(Inputs!$B$39&lt;&gt;"pvp",Inputs!$B$44&gt;0),IF(MAX(0,Inputs!$B$44-B1789)&lt;=0,0,(INT(MAX(0,Inputs!$B$44-B1789)/IF(Inputs!$B$39="pvp",15,MAX(0.1,Skills!D5-IF(Skills!E5=TRUE,Inputs!$B$33,0))))+1)),0)</f>
        <v/>
      </c>
      <c r="S1758">
        <f>IFERROR(O1758/N1758,0)</f>
        <v/>
      </c>
      <c r="T1758">
        <f>IF(C1758,(H1758*N1758*IF(AND(Inputs!$B$39&lt;&gt;"pvp",Inputs!$B$44&gt;0),((Skills!G5*((R1758-1)*IF(Skills!H5&gt;0,Skills!I5/Skills!H5,1)+IF(Skills!H5&gt;0,MIN(Skills!I5,MAX(0,MAX(0,Inputs!$B$44-B1789)-((R1758-1)*IF(Inputs!$B$39="pvp",15,MAX(0.1,Skills!D5-IF(Skills!E5=TRUE,Inputs!$B$33,0))))))/Skills!H5,1)))/Inputs!$B$44),G1758*Q1758))*IF(Inputs!$B$39="pvp",1,1+(Inputs!$B$21+0+Skills!P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Skills!E5=TRUE,Inputs!$B$33,0))))))/Skills!H5,1)))/Inputs!$B$44),G1758*Q1758))*IF(Inputs!$B$39="pvp",1,(1+(Inputs!$B$22+Skills!Q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IFERROR(1/IF(Inputs!$B$39="pvp",15,MAX(0.1,Skills!D6-IF(Skills!E6=TRUE,Inputs!$B$33,0))),0)</f>
        <v/>
      </c>
      <c r="R1759">
        <f>IF(AND(Inputs!$B$39&lt;&gt;"pvp",Inputs!$B$44&gt;0),IF(MAX(0,Inputs!$B$44-B1789)&lt;=0,0,(INT(MAX(0,Inputs!$B$44-B1789)/IF(Inputs!$B$39="pvp",15,MAX(0.1,Skills!D6-IF(Skills!E6=TRUE,Inputs!$B$33,0))))+1)),0)</f>
        <v/>
      </c>
      <c r="S1759">
        <f>IFERROR(O1759/N1759,0)</f>
        <v/>
      </c>
      <c r="T1759">
        <f>IF(C1759,(H1759*N1759*IF(AND(Inputs!$B$39&lt;&gt;"pvp",Inputs!$B$44&gt;0),((Skills!G6*((R1759-1)*IF(Skills!H6&gt;0,Skills!I6/Skills!H6,1)+IF(Skills!H6&gt;0,MIN(Skills!I6,MAX(0,MAX(0,Inputs!$B$44-B1789)-((R1759-1)*IF(Inputs!$B$39="pvp",15,MAX(0.1,Skills!D6-IF(Skills!E6=TRUE,Inputs!$B$33,0))))))/Skills!H6,1)))/Inputs!$B$44),G1759*Q1759))*IF(Inputs!$B$39="pvp",1,1+(Inputs!$B$21+0+Skills!P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Skills!E6=TRUE,Inputs!$B$33,0))))))/Skills!H6,1)))/Inputs!$B$44),G1759*Q1759))*IF(Inputs!$B$39="pvp",1,(1+(Inputs!$B$22+Skills!Q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IFERROR(1/IF(Inputs!$B$39="pvp",15,MAX(0.1,Skills!D7-IF(Skills!E7=TRUE,Inputs!$B$33,0))),0)</f>
        <v/>
      </c>
      <c r="R1760">
        <f>IF(AND(Inputs!$B$39&lt;&gt;"pvp",Inputs!$B$44&gt;0),IF(MAX(0,Inputs!$B$44-B1789)&lt;=0,0,(INT(MAX(0,Inputs!$B$44-B1789)/IF(Inputs!$B$39="pvp",15,MAX(0.1,Skills!D7-IF(Skills!E7=TRUE,Inputs!$B$33,0))))+1)),0)</f>
        <v/>
      </c>
      <c r="S1760">
        <f>IFERROR(O1760/N1760,0)</f>
        <v/>
      </c>
      <c r="T1760">
        <f>IF(C1760,(H1760*N1760*IF(AND(Inputs!$B$39&lt;&gt;"pvp",Inputs!$B$44&gt;0),((Skills!G7*((R1760-1)*IF(Skills!H7&gt;0,Skills!I7/Skills!H7,1)+IF(Skills!H7&gt;0,MIN(Skills!I7,MAX(0,MAX(0,Inputs!$B$44-B1789)-((R1760-1)*IF(Inputs!$B$39="pvp",15,MAX(0.1,Skills!D7-IF(Skills!E7=TRUE,Inputs!$B$33,0))))))/Skills!H7,1)))/Inputs!$B$44),G1760*Q1760))*IF(Inputs!$B$39="pvp",1,1+(Inputs!$B$21+0+Skills!P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Skills!E7=TRUE,Inputs!$B$33,0))))))/Skills!H7,1)))/Inputs!$B$44),G1760*Q1760))*IF(Inputs!$B$39="pvp",1,(1+(Inputs!$B$22+Skills!Q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IFERROR(1/IF(Inputs!$B$39="pvp",15,MAX(0.1,Skills!D9-IF(Skills!E9=TRUE,Inputs!$B$33,0))),0)</f>
        <v/>
      </c>
      <c r="R1762">
        <f>IF(AND(Inputs!$B$39&lt;&gt;"pvp",Inputs!$B$44&gt;0),IF(MAX(0,Inputs!$B$44-B1789)&lt;=0,0,(INT(MAX(0,Inputs!$B$44-B1789)/IF(Inputs!$B$39="pvp",15,MAX(0.1,Skills!D9-IF(Skills!E9=TRUE,Inputs!$B$33,0))))+1)),0)</f>
        <v/>
      </c>
      <c r="S1762">
        <f>IFERROR(O1762/N1762,0)</f>
        <v/>
      </c>
      <c r="T1762">
        <f>IF(C1762,(H1762*N1762*IF(AND(Inputs!$B$39&lt;&gt;"pvp",Inputs!$B$44&gt;0),((Skills!G9*((R1762-1)*IF(Skills!H9&gt;0,Skills!I9/Skills!H9,1)+IF(Skills!H9&gt;0,MIN(Skills!I9,MAX(0,MAX(0,Inputs!$B$44-B1789)-((R1762-1)*IF(Inputs!$B$39="pvp",15,MAX(0.1,Skills!D9-IF(Skills!E9=TRUE,Inputs!$B$33,0))))))/Skills!H9,1)))/Inputs!$B$44),G1762*Q1762))*IF(Inputs!$B$39="pvp",1,1+(Inputs!$B$21+0+Skills!P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Skills!E9=TRUE,Inputs!$B$33,0))))))/Skills!H9,1)))/Inputs!$B$44),G1762*Q1762))*IF(Inputs!$B$39="pvp",1,(1+(Inputs!$B$22+Skills!Q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IFERROR(1/IF(Inputs!$B$39="pvp",15,MAX(0.1,Skills!D10-IF(Skills!E10=TRUE,Inputs!$B$33,0))),0)</f>
        <v/>
      </c>
      <c r="R1763">
        <f>IF(AND(Inputs!$B$39&lt;&gt;"pvp",Inputs!$B$44&gt;0),IF(MAX(0,Inputs!$B$44-B1789)&lt;=0,0,(INT(MAX(0,Inputs!$B$44-B1789)/IF(Inputs!$B$39="pvp",15,MAX(0.1,Skills!D10-IF(Skills!E10=TRUE,Inputs!$B$33,0))))+1)),0)</f>
        <v/>
      </c>
      <c r="S1763">
        <f>IFERROR(O1763/N1763,0)</f>
        <v/>
      </c>
      <c r="T1763">
        <f>IF(C1763,(H1763*N1763*IF(AND(Inputs!$B$39&lt;&gt;"pvp",Inputs!$B$44&gt;0),((Skills!G10*((R1763-1)*IF(Skills!H10&gt;0,Skills!I10/Skills!H10,1)+IF(Skills!H10&gt;0,MIN(Skills!I10,MAX(0,MAX(0,Inputs!$B$44-B1789)-((R1763-1)*IF(Inputs!$B$39="pvp",15,MAX(0.1,Skills!D10-IF(Skills!E10=TRUE,Inputs!$B$33,0))))))/Skills!H10,1)))/Inputs!$B$44),G1763*Q1763))*IF(Inputs!$B$39="pvp",1,1+(Inputs!$B$21+0+Skills!P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Skills!E10=TRUE,Inputs!$B$33,0))))))/Skills!H10,1)))/Inputs!$B$44),G1763*Q1763))*IF(Inputs!$B$39="pvp",1,(1+(Inputs!$B$22+Skills!Q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IFERROR(1/IF(Inputs!$B$39="pvp",15,MAX(0.1,Skills!D12-IF(Skills!E12=TRUE,Inputs!$B$33,0))),0)</f>
        <v/>
      </c>
      <c r="R1765">
        <f>IF(AND(Inputs!$B$39&lt;&gt;"pvp",Inputs!$B$44&gt;0),IF(MAX(0,Inputs!$B$44-B1789)&lt;=0,0,(INT(MAX(0,Inputs!$B$44-B1789)/IF(Inputs!$B$39="pvp",15,MAX(0.1,Skills!D12-IF(Skills!E12=TRUE,Inputs!$B$33,0))))+1)),0)</f>
        <v/>
      </c>
      <c r="S1765">
        <f>IFERROR(O1765/N1765,0)</f>
        <v/>
      </c>
      <c r="T1765">
        <f>IF(C1765,(H1765*N1765*IF(AND(Inputs!$B$39&lt;&gt;"pvp",Inputs!$B$44&gt;0),((Skills!G12*((R1765-1)*IF(Skills!H12&gt;0,Skills!I12/Skills!H12,1)+IF(Skills!H12&gt;0,MIN(Skills!I12,MAX(0,MAX(0,Inputs!$B$44-B1789)-((R1765-1)*IF(Inputs!$B$39="pvp",15,MAX(0.1,Skills!D12-IF(Skills!E12=TRUE,Inputs!$B$33,0))))))/Skills!H12,1)))/Inputs!$B$44),G1765*Q1765))*IF(Inputs!$B$39="pvp",1,1+(Inputs!$B$21+0+Skills!P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Skills!E12=TRUE,Inputs!$B$33,0))))))/Skills!H12,1)))/Inputs!$B$44),G1765*Q1765))*IF(Inputs!$B$39="pvp",1,(1+(Inputs!$B$22+Skills!Q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IFERROR(1/IF(Inputs!$B$39="pvp",15,MAX(0.1,Skills!D13-IF(Skills!E13=TRUE,Inputs!$B$33,0))),0)</f>
        <v/>
      </c>
      <c r="R1766">
        <f>IF(AND(Inputs!$B$39&lt;&gt;"pvp",Inputs!$B$44&gt;0),IF(Inputs!$B$44&lt;=0,0,(INT(Inputs!$B$44/IF(Inputs!$B$39="pvp",15,MAX(0.1,Skills!D13-IF(Skills!E13=TRUE,Inputs!$B$33,0))))+1)),0)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IFERROR(1/IF(Inputs!$B$39="pvp",15,MAX(0.1,Skills!D14-IF(Skills!E14=TRUE,Inputs!$B$33,0))),0)</f>
        <v/>
      </c>
      <c r="R1767">
        <f>IF(AND(Inputs!$B$39&lt;&gt;"pvp",Inputs!$B$44&gt;0),IF(Inputs!$B$44&lt;=0,0,(INT(Inputs!$B$44/IF(Inputs!$B$39="pvp",15,MAX(0.1,Skills!D14-IF(Skills!E14=TRUE,Inputs!$B$33,0))))+1)),0)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IFERROR(1/IF(Inputs!$B$39="pvp",15,MAX(0.1,Skills!D15-IF(Skills!E15=TRUE,Inputs!$B$33,0))),0)</f>
        <v/>
      </c>
      <c r="R1768">
        <f>IF(AND(Inputs!$B$39&lt;&gt;"pvp",Inputs!$B$44&gt;0),IF(Inputs!$B$44&lt;=0,0,(INT(Inputs!$B$44/IF(Inputs!$B$39="pvp",15,MAX(0.1,Skills!D15-IF(Skills!E15=TRUE,Inputs!$B$33,0))))+1)),0)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IFERROR(1/IF(Inputs!$B$39="pvp",15,MAX(0.1,Skills!D16-IF(Skills!E16=TRUE,Inputs!$B$33,0))),0)</f>
        <v/>
      </c>
      <c r="R1769">
        <f>IF(AND(Inputs!$B$39&lt;&gt;"pvp",Inputs!$B$44&gt;0),IF(Inputs!$B$44&lt;=0,0,(INT(Inputs!$B$44/IF(Inputs!$B$39="pvp",15,MAX(0.1,Skills!D16-IF(Skills!E16=TRUE,Inputs!$B$33,0))))+1)),0)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IFERROR(1/IF(Inputs!$B$39="pvp",15,MAX(0.1,Skills!D17-IF(Skills!E17=TRUE,Inputs!$B$33,0))),0)</f>
        <v/>
      </c>
      <c r="R1770">
        <f>IF(AND(Inputs!$B$39&lt;&gt;"pvp",Inputs!$B$44&gt;0),IF(Inputs!$B$44&lt;=0,0,(INT(Inputs!$B$44/IF(Inputs!$B$39="pvp",15,MAX(0.1,Skills!D17-IF(Skills!E17=TRUE,Inputs!$B$33,0))))+1)),0)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IFERROR(1/IF(Inputs!$B$39="pvp",15,MAX(0.1,Skills!D18-IF(Skills!E18=TRUE,Inputs!$B$33,0))),0)</f>
        <v/>
      </c>
      <c r="R1771">
        <f>IF(AND(Inputs!$B$39&lt;&gt;"pvp",Inputs!$B$44&gt;0),IF(Inputs!$B$44&lt;=0,0,(INT(Inputs!$B$44/IF(Inputs!$B$39="pvp",15,MAX(0.1,Skills!D18-IF(Skills!E18=TRUE,Inputs!$B$33,0))))+1)),0)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IFERROR(1/IF(Inputs!$B$39="pvp",15,MAX(0.1,Skills!D19-IF(Skills!E19=TRUE,Inputs!$B$33,0))),0)</f>
        <v/>
      </c>
      <c r="R1772">
        <f>IF(AND(Inputs!$B$39&lt;&gt;"pvp",Inputs!$B$44&gt;0),IF(Inputs!$B$44&lt;=0,0,(INT(Inputs!$B$44/IF(Inputs!$B$39="pvp",15,MAX(0.1,Skills!D19-IF(Skills!E19=TRUE,Inputs!$B$33,0))))+1)),0)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IFERROR(1/IF(Inputs!$B$39="pvp",15,MAX(0.1,Skills!D20-IF(Skills!E20=TRUE,Inputs!$B$33,0))),0)</f>
        <v/>
      </c>
      <c r="R1773">
        <f>IF(AND(Inputs!$B$39&lt;&gt;"pvp",Inputs!$B$44&gt;0),IF(Inputs!$B$44&lt;=0,0,(INT(Inputs!$B$44/IF(Inputs!$B$39="pvp",15,MAX(0.1,Skills!D20-IF(Skills!E20=TRUE,Inputs!$B$33,0))))+1)),0)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Skills!T18*(1+Inputs!$B$35/100))+MIN((Skills!T18*(1+Inputs!$B$35/100)),MAX(0,Inputs!$B$44-((R1771-1)*Skills!D18))))/Inputs!$B$44),IF(Inputs!$B$39="pvp",MIN((Skills!T18*(1+Inputs!$B$35/100)),15)/15,(Skills!T18*(1+Inputs!$B$35/100))/Skills!D18)))</f>
        <v/>
      </c>
    </row>
    <row r="1783">
      <c r="A1783" t="inlineStr">
        <is>
          <t>Attack Speed Buff Bonus %</t>
        </is>
      </c>
      <c r="B1783">
        <f>((C1773=TRUE)*F1773*IF(AND(Inputs!$B$39&lt;&gt;"pvp",Inputs!$B$44&gt;0),(((R1773-1)*(Skills!T20*(1+Inputs!$B$35/100))+MIN((Skills!T20*(1+Inputs!$B$35/100)),MAX(0,Inputs!$B$44-((R1773-1)*Skills!D20))))/Inputs!$B$44),IF(Inputs!$B$39="pvp",MIN((Skills!T20*(1+Inputs!$B$35/100)),15)/15,(Skills!T20*(1+Inputs!$B$35/100))/Skills!D20)))</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Skills!T19*(1+Inputs!$B$35/100))+MIN((Skills!T19*(1+Inputs!$B$35/100)),MAX(0,Inputs!$B$44-((R1772-1)*Skills!D19))))/Inputs!$B$44),IF(Inputs!$B$39="pvp",MIN((Skills!T19*(1+Inputs!$B$35/100)),15)/15,(Skills!T19*(1+Inputs!$B$35/100))/Skills!D19)))</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IFERROR(1/IF(Inputs!$B$39="pvp",15,MAX(0.1,Skills!D5-IF(Skills!E5=TRUE,Inputs!$B$33,0))),0)</f>
        <v/>
      </c>
      <c r="R1800">
        <f>IF(AND(Inputs!$B$39&lt;&gt;"pvp",Inputs!$B$44&gt;0),IF(MAX(0,Inputs!$B$44-B1831)&lt;=0,0,(INT(MAX(0,Inputs!$B$44-B1831)/IF(Inputs!$B$39="pvp",15,MAX(0.1,Skills!D5-IF(Skills!E5=TRUE,Inputs!$B$33,0))))+1)),0)</f>
        <v/>
      </c>
      <c r="S1800">
        <f>IFERROR(O1800/N1800,0)</f>
        <v/>
      </c>
      <c r="T1800">
        <f>IF(C1800,(H1800*N1800*IF(AND(Inputs!$B$39&lt;&gt;"pvp",Inputs!$B$44&gt;0),((Skills!G5*((R1800-1)*IF(Skills!H5&gt;0,Skills!I5/Skills!H5,1)+IF(Skills!H5&gt;0,MIN(Skills!I5,MAX(0,MAX(0,Inputs!$B$44-B1831)-((R1800-1)*IF(Inputs!$B$39="pvp",15,MAX(0.1,Skills!D5-IF(Skills!E5=TRUE,Inputs!$B$33,0))))))/Skills!H5,1)))/Inputs!$B$44),G1800*Q1800))*IF(Inputs!$B$39="pvp",1,1+(Inputs!$B$21+0+Skills!P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Skills!E5=TRUE,Inputs!$B$33,0))))))/Skills!H5,1)))/Inputs!$B$44),G1800*Q1800))*IF(Inputs!$B$39="pvp",1,(1+(Inputs!$B$22+Skills!Q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IFERROR(1/IF(Inputs!$B$39="pvp",15,MAX(0.1,Skills!D6-IF(Skills!E6=TRUE,Inputs!$B$33,0))),0)</f>
        <v/>
      </c>
      <c r="R1801">
        <f>IF(AND(Inputs!$B$39&lt;&gt;"pvp",Inputs!$B$44&gt;0),IF(MAX(0,Inputs!$B$44-B1831)&lt;=0,0,(INT(MAX(0,Inputs!$B$44-B1831)/IF(Inputs!$B$39="pvp",15,MAX(0.1,Skills!D6-IF(Skills!E6=TRUE,Inputs!$B$33,0))))+1)),0)</f>
        <v/>
      </c>
      <c r="S1801">
        <f>IFERROR(O1801/N1801,0)</f>
        <v/>
      </c>
      <c r="T1801">
        <f>IF(C1801,(H1801*N1801*IF(AND(Inputs!$B$39&lt;&gt;"pvp",Inputs!$B$44&gt;0),((Skills!G6*((R1801-1)*IF(Skills!H6&gt;0,Skills!I6/Skills!H6,1)+IF(Skills!H6&gt;0,MIN(Skills!I6,MAX(0,MAX(0,Inputs!$B$44-B1831)-((R1801-1)*IF(Inputs!$B$39="pvp",15,MAX(0.1,Skills!D6-IF(Skills!E6=TRUE,Inputs!$B$33,0))))))/Skills!H6,1)))/Inputs!$B$44),G1801*Q1801))*IF(Inputs!$B$39="pvp",1,1+(Inputs!$B$21+0+Skills!P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Skills!E6=TRUE,Inputs!$B$33,0))))))/Skills!H6,1)))/Inputs!$B$44),G1801*Q1801))*IF(Inputs!$B$39="pvp",1,(1+(Inputs!$B$22+Skills!Q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IFERROR(1/IF(Inputs!$B$39="pvp",15,MAX(0.1,Skills!D7-IF(Skills!E7=TRUE,Inputs!$B$33,0))),0)</f>
        <v/>
      </c>
      <c r="R1802">
        <f>IF(AND(Inputs!$B$39&lt;&gt;"pvp",Inputs!$B$44&gt;0),IF(MAX(0,Inputs!$B$44-B1831)&lt;=0,0,(INT(MAX(0,Inputs!$B$44-B1831)/IF(Inputs!$B$39="pvp",15,MAX(0.1,Skills!D7-IF(Skills!E7=TRUE,Inputs!$B$33,0))))+1)),0)</f>
        <v/>
      </c>
      <c r="S1802">
        <f>IFERROR(O1802/N1802,0)</f>
        <v/>
      </c>
      <c r="T1802">
        <f>IF(C1802,(H1802*N1802*IF(AND(Inputs!$B$39&lt;&gt;"pvp",Inputs!$B$44&gt;0),((Skills!G7*((R1802-1)*IF(Skills!H7&gt;0,Skills!I7/Skills!H7,1)+IF(Skills!H7&gt;0,MIN(Skills!I7,MAX(0,MAX(0,Inputs!$B$44-B1831)-((R1802-1)*IF(Inputs!$B$39="pvp",15,MAX(0.1,Skills!D7-IF(Skills!E7=TRUE,Inputs!$B$33,0))))))/Skills!H7,1)))/Inputs!$B$44),G1802*Q1802))*IF(Inputs!$B$39="pvp",1,1+(Inputs!$B$21+0+Skills!P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Skills!E7=TRUE,Inputs!$B$33,0))))))/Skills!H7,1)))/Inputs!$B$44),G1802*Q1802))*IF(Inputs!$B$39="pvp",1,(1+(Inputs!$B$22+Skills!Q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IFERROR(1/IF(Inputs!$B$39="pvp",15,MAX(0.1,Skills!D9-IF(Skills!E9=TRUE,Inputs!$B$33,0))),0)</f>
        <v/>
      </c>
      <c r="R1804">
        <f>IF(AND(Inputs!$B$39&lt;&gt;"pvp",Inputs!$B$44&gt;0),IF(MAX(0,Inputs!$B$44-B1831)&lt;=0,0,(INT(MAX(0,Inputs!$B$44-B1831)/IF(Inputs!$B$39="pvp",15,MAX(0.1,Skills!D9-IF(Skills!E9=TRUE,Inputs!$B$33,0))))+1)),0)</f>
        <v/>
      </c>
      <c r="S1804">
        <f>IFERROR(O1804/N1804,0)</f>
        <v/>
      </c>
      <c r="T1804">
        <f>IF(C1804,(H1804*N1804*IF(AND(Inputs!$B$39&lt;&gt;"pvp",Inputs!$B$44&gt;0),((Skills!G9*((R1804-1)*IF(Skills!H9&gt;0,Skills!I9/Skills!H9,1)+IF(Skills!H9&gt;0,MIN(Skills!I9,MAX(0,MAX(0,Inputs!$B$44-B1831)-((R1804-1)*IF(Inputs!$B$39="pvp",15,MAX(0.1,Skills!D9-IF(Skills!E9=TRUE,Inputs!$B$33,0))))))/Skills!H9,1)))/Inputs!$B$44),G1804*Q1804))*IF(Inputs!$B$39="pvp",1,1+(Inputs!$B$21+0+Skills!P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Skills!E9=TRUE,Inputs!$B$33,0))))))/Skills!H9,1)))/Inputs!$B$44),G1804*Q1804))*IF(Inputs!$B$39="pvp",1,(1+(Inputs!$B$22+Skills!Q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IFERROR(1/IF(Inputs!$B$39="pvp",15,MAX(0.1,Skills!D10-IF(Skills!E10=TRUE,Inputs!$B$33,0))),0)</f>
        <v/>
      </c>
      <c r="R1805">
        <f>IF(AND(Inputs!$B$39&lt;&gt;"pvp",Inputs!$B$44&gt;0),IF(MAX(0,Inputs!$B$44-B1831)&lt;=0,0,(INT(MAX(0,Inputs!$B$44-B1831)/IF(Inputs!$B$39="pvp",15,MAX(0.1,Skills!D10-IF(Skills!E10=TRUE,Inputs!$B$33,0))))+1)),0)</f>
        <v/>
      </c>
      <c r="S1805">
        <f>IFERROR(O1805/N1805,0)</f>
        <v/>
      </c>
      <c r="T1805">
        <f>IF(C1805,(H1805*N1805*IF(AND(Inputs!$B$39&lt;&gt;"pvp",Inputs!$B$44&gt;0),((Skills!G10*((R1805-1)*IF(Skills!H10&gt;0,Skills!I10/Skills!H10,1)+IF(Skills!H10&gt;0,MIN(Skills!I10,MAX(0,MAX(0,Inputs!$B$44-B1831)-((R1805-1)*IF(Inputs!$B$39="pvp",15,MAX(0.1,Skills!D10-IF(Skills!E10=TRUE,Inputs!$B$33,0))))))/Skills!H10,1)))/Inputs!$B$44),G1805*Q1805))*IF(Inputs!$B$39="pvp",1,1+(Inputs!$B$21+0+Skills!P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Skills!E10=TRUE,Inputs!$B$33,0))))))/Skills!H10,1)))/Inputs!$B$44),G1805*Q1805))*IF(Inputs!$B$39="pvp",1,(1+(Inputs!$B$22+Skills!Q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IFERROR(1/IF(Inputs!$B$39="pvp",15,MAX(0.1,Skills!D12-IF(Skills!E12=TRUE,Inputs!$B$33,0))),0)</f>
        <v/>
      </c>
      <c r="R1807">
        <f>IF(AND(Inputs!$B$39&lt;&gt;"pvp",Inputs!$B$44&gt;0),IF(MAX(0,Inputs!$B$44-B1831)&lt;=0,0,(INT(MAX(0,Inputs!$B$44-B1831)/IF(Inputs!$B$39="pvp",15,MAX(0.1,Skills!D12-IF(Skills!E12=TRUE,Inputs!$B$33,0))))+1)),0)</f>
        <v/>
      </c>
      <c r="S1807">
        <f>IFERROR(O1807/N1807,0)</f>
        <v/>
      </c>
      <c r="T1807">
        <f>IF(C1807,(H1807*N1807*IF(AND(Inputs!$B$39&lt;&gt;"pvp",Inputs!$B$44&gt;0),((Skills!G12*((R1807-1)*IF(Skills!H12&gt;0,Skills!I12/Skills!H12,1)+IF(Skills!H12&gt;0,MIN(Skills!I12,MAX(0,MAX(0,Inputs!$B$44-B1831)-((R1807-1)*IF(Inputs!$B$39="pvp",15,MAX(0.1,Skills!D12-IF(Skills!E12=TRUE,Inputs!$B$33,0))))))/Skills!H12,1)))/Inputs!$B$44),G1807*Q1807))*IF(Inputs!$B$39="pvp",1,1+(Inputs!$B$21+0+Skills!P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Skills!E12=TRUE,Inputs!$B$33,0))))))/Skills!H12,1)))/Inputs!$B$44),G1807*Q1807))*IF(Inputs!$B$39="pvp",1,(1+(Inputs!$B$22+Skills!Q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IFERROR(1/IF(Inputs!$B$39="pvp",15,MAX(0.1,Skills!D13-IF(Skills!E13=TRUE,Inputs!$B$33,0))),0)</f>
        <v/>
      </c>
      <c r="R1808">
        <f>IF(AND(Inputs!$B$39&lt;&gt;"pvp",Inputs!$B$44&gt;0),IF(Inputs!$B$44&lt;=0,0,(INT(Inputs!$B$44/IF(Inputs!$B$39="pvp",15,MAX(0.1,Skills!D13-IF(Skills!E13=TRUE,Inputs!$B$33,0))))+1)),0)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IFERROR(1/IF(Inputs!$B$39="pvp",15,MAX(0.1,Skills!D14-IF(Skills!E14=TRUE,Inputs!$B$33,0))),0)</f>
        <v/>
      </c>
      <c r="R1809">
        <f>IF(AND(Inputs!$B$39&lt;&gt;"pvp",Inputs!$B$44&gt;0),IF(Inputs!$B$44&lt;=0,0,(INT(Inputs!$B$44/IF(Inputs!$B$39="pvp",15,MAX(0.1,Skills!D14-IF(Skills!E14=TRUE,Inputs!$B$33,0))))+1)),0)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IFERROR(1/IF(Inputs!$B$39="pvp",15,MAX(0.1,Skills!D15-IF(Skills!E15=TRUE,Inputs!$B$33,0))),0)</f>
        <v/>
      </c>
      <c r="R1810">
        <f>IF(AND(Inputs!$B$39&lt;&gt;"pvp",Inputs!$B$44&gt;0),IF(Inputs!$B$44&lt;=0,0,(INT(Inputs!$B$44/IF(Inputs!$B$39="pvp",15,MAX(0.1,Skills!D15-IF(Skills!E15=TRUE,Inputs!$B$33,0))))+1)),0)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IFERROR(1/IF(Inputs!$B$39="pvp",15,MAX(0.1,Skills!D16-IF(Skills!E16=TRUE,Inputs!$B$33,0))),0)</f>
        <v/>
      </c>
      <c r="R1811">
        <f>IF(AND(Inputs!$B$39&lt;&gt;"pvp",Inputs!$B$44&gt;0),IF(Inputs!$B$44&lt;=0,0,(INT(Inputs!$B$44/IF(Inputs!$B$39="pvp",15,MAX(0.1,Skills!D16-IF(Skills!E16=TRUE,Inputs!$B$33,0))))+1)),0)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IFERROR(1/IF(Inputs!$B$39="pvp",15,MAX(0.1,Skills!D17-IF(Skills!E17=TRUE,Inputs!$B$33,0))),0)</f>
        <v/>
      </c>
      <c r="R1812">
        <f>IF(AND(Inputs!$B$39&lt;&gt;"pvp",Inputs!$B$44&gt;0),IF(Inputs!$B$44&lt;=0,0,(INT(Inputs!$B$44/IF(Inputs!$B$39="pvp",15,MAX(0.1,Skills!D17-IF(Skills!E17=TRUE,Inputs!$B$33,0))))+1)),0)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IFERROR(1/IF(Inputs!$B$39="pvp",15,MAX(0.1,Skills!D18-IF(Skills!E18=TRUE,Inputs!$B$33,0))),0)</f>
        <v/>
      </c>
      <c r="R1813">
        <f>IF(AND(Inputs!$B$39&lt;&gt;"pvp",Inputs!$B$44&gt;0),IF(Inputs!$B$44&lt;=0,0,(INT(Inputs!$B$44/IF(Inputs!$B$39="pvp",15,MAX(0.1,Skills!D18-IF(Skills!E18=TRUE,Inputs!$B$33,0))))+1)),0)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IFERROR(1/IF(Inputs!$B$39="pvp",15,MAX(0.1,Skills!D19-IF(Skills!E19=TRUE,Inputs!$B$33,0))),0)</f>
        <v/>
      </c>
      <c r="R1814">
        <f>IF(AND(Inputs!$B$39&lt;&gt;"pvp",Inputs!$B$44&gt;0),IF(Inputs!$B$44&lt;=0,0,(INT(Inputs!$B$44/IF(Inputs!$B$39="pvp",15,MAX(0.1,Skills!D19-IF(Skills!E19=TRUE,Inputs!$B$33,0))))+1)),0)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IFERROR(1/IF(Inputs!$B$39="pvp",15,MAX(0.1,Skills!D20-IF(Skills!E20=TRUE,Inputs!$B$33,0))),0)</f>
        <v/>
      </c>
      <c r="R1815">
        <f>IF(AND(Inputs!$B$39&lt;&gt;"pvp",Inputs!$B$44&gt;0),IF(Inputs!$B$44&lt;=0,0,(INT(Inputs!$B$44/IF(Inputs!$B$39="pvp",15,MAX(0.1,Skills!D20-IF(Skills!E20=TRUE,Inputs!$B$33,0))))+1)),0)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Skills!T18*(1+Inputs!$B$35/100))+MIN((Skills!T18*(1+Inputs!$B$35/100)),MAX(0,Inputs!$B$44-((R1813-1)*Skills!D18))))/Inputs!$B$44),IF(Inputs!$B$39="pvp",MIN((Skills!T18*(1+Inputs!$B$35/100)),15)/15,(Skills!T18*(1+Inputs!$B$35/100))/Skills!D18)))</f>
        <v/>
      </c>
    </row>
    <row r="1825">
      <c r="A1825" t="inlineStr">
        <is>
          <t>Attack Speed Buff Bonus %</t>
        </is>
      </c>
      <c r="B1825">
        <f>((C1815=TRUE)*F1815*IF(AND(Inputs!$B$39&lt;&gt;"pvp",Inputs!$B$44&gt;0),(((R1815-1)*(Skills!T20*(1+Inputs!$B$35/100))+MIN((Skills!T20*(1+Inputs!$B$35/100)),MAX(0,Inputs!$B$44-((R1815-1)*Skills!D20))))/Inputs!$B$44),IF(Inputs!$B$39="pvp",MIN((Skills!T20*(1+Inputs!$B$35/100)),15)/15,(Skills!T20*(1+Inputs!$B$35/100))/Skills!D20)))</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Skills!T19*(1+Inputs!$B$35/100))+MIN((Skills!T19*(1+Inputs!$B$35/100)),MAX(0,Inputs!$B$44-((R1814-1)*Skills!D19))))/Inputs!$B$44),IF(Inputs!$B$39="pvp",MIN((Skills!T19*(1+Inputs!$B$35/100)),15)/15,(Skills!T19*(1+Inputs!$B$35/100))/Skills!D19)))</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IFERROR(1/IF(Inputs!$B$39="pvp",15,MAX(0.1,Skills!D5-IF(Skills!E5=TRUE,Inputs!$B$33,0))),0)</f>
        <v/>
      </c>
      <c r="R1842">
        <f>IF(AND(Inputs!$B$39&lt;&gt;"pvp",Inputs!$B$44&gt;0),IF(MAX(0,Inputs!$B$44-B1873)&lt;=0,0,(INT(MAX(0,Inputs!$B$44-B1873)/IF(Inputs!$B$39="pvp",15,MAX(0.1,Skills!D5-IF(Skills!E5=TRUE,Inputs!$B$33,0))))+1)),0)</f>
        <v/>
      </c>
      <c r="S1842">
        <f>IFERROR(O1842/N1842,0)</f>
        <v/>
      </c>
      <c r="T1842">
        <f>IF(C1842,(H1842*N1842*IF(AND(Inputs!$B$39&lt;&gt;"pvp",Inputs!$B$44&gt;0),((Skills!G5*((R1842-1)*IF(Skills!H5&gt;0,Skills!I5/Skills!H5,1)+IF(Skills!H5&gt;0,MIN(Skills!I5,MAX(0,MAX(0,Inputs!$B$44-B1873)-((R1842-1)*IF(Inputs!$B$39="pvp",15,MAX(0.1,Skills!D5-IF(Skills!E5=TRUE,Inputs!$B$33,0))))))/Skills!H5,1)))/Inputs!$B$44),G1842*Q1842))*IF(Inputs!$B$39="pvp",1,1+(Inputs!$B$21+0+Skills!P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Skills!E5=TRUE,Inputs!$B$33,0))))))/Skills!H5,1)))/Inputs!$B$44),G1842*Q1842))*IF(Inputs!$B$39="pvp",1,(1+(Inputs!$B$22+Skills!Q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IFERROR(1/IF(Inputs!$B$39="pvp",15,MAX(0.1,Skills!D6-IF(Skills!E6=TRUE,Inputs!$B$33,0))),0)</f>
        <v/>
      </c>
      <c r="R1843">
        <f>IF(AND(Inputs!$B$39&lt;&gt;"pvp",Inputs!$B$44&gt;0),IF(MAX(0,Inputs!$B$44-B1873)&lt;=0,0,(INT(MAX(0,Inputs!$B$44-B1873)/IF(Inputs!$B$39="pvp",15,MAX(0.1,Skills!D6-IF(Skills!E6=TRUE,Inputs!$B$33,0))))+1)),0)</f>
        <v/>
      </c>
      <c r="S1843">
        <f>IFERROR(O1843/N1843,0)</f>
        <v/>
      </c>
      <c r="T1843">
        <f>IF(C1843,(H1843*N1843*IF(AND(Inputs!$B$39&lt;&gt;"pvp",Inputs!$B$44&gt;0),((Skills!G6*((R1843-1)*IF(Skills!H6&gt;0,Skills!I6/Skills!H6,1)+IF(Skills!H6&gt;0,MIN(Skills!I6,MAX(0,MAX(0,Inputs!$B$44-B1873)-((R1843-1)*IF(Inputs!$B$39="pvp",15,MAX(0.1,Skills!D6-IF(Skills!E6=TRUE,Inputs!$B$33,0))))))/Skills!H6,1)))/Inputs!$B$44),G1843*Q1843))*IF(Inputs!$B$39="pvp",1,1+(Inputs!$B$21+0+Skills!P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Skills!E6=TRUE,Inputs!$B$33,0))))))/Skills!H6,1)))/Inputs!$B$44),G1843*Q1843))*IF(Inputs!$B$39="pvp",1,(1+(Inputs!$B$22+Skills!Q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IFERROR(1/IF(Inputs!$B$39="pvp",15,MAX(0.1,Skills!D7-IF(Skills!E7=TRUE,Inputs!$B$33,0))),0)</f>
        <v/>
      </c>
      <c r="R1844">
        <f>IF(AND(Inputs!$B$39&lt;&gt;"pvp",Inputs!$B$44&gt;0),IF(MAX(0,Inputs!$B$44-B1873)&lt;=0,0,(INT(MAX(0,Inputs!$B$44-B1873)/IF(Inputs!$B$39="pvp",15,MAX(0.1,Skills!D7-IF(Skills!E7=TRUE,Inputs!$B$33,0))))+1)),0)</f>
        <v/>
      </c>
      <c r="S1844">
        <f>IFERROR(O1844/N1844,0)</f>
        <v/>
      </c>
      <c r="T1844">
        <f>IF(C1844,(H1844*N1844*IF(AND(Inputs!$B$39&lt;&gt;"pvp",Inputs!$B$44&gt;0),((Skills!G7*((R1844-1)*IF(Skills!H7&gt;0,Skills!I7/Skills!H7,1)+IF(Skills!H7&gt;0,MIN(Skills!I7,MAX(0,MAX(0,Inputs!$B$44-B1873)-((R1844-1)*IF(Inputs!$B$39="pvp",15,MAX(0.1,Skills!D7-IF(Skills!E7=TRUE,Inputs!$B$33,0))))))/Skills!H7,1)))/Inputs!$B$44),G1844*Q1844))*IF(Inputs!$B$39="pvp",1,1+(Inputs!$B$21+0+Skills!P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Skills!E7=TRUE,Inputs!$B$33,0))))))/Skills!H7,1)))/Inputs!$B$44),G1844*Q1844))*IF(Inputs!$B$39="pvp",1,(1+(Inputs!$B$22+Skills!Q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IFERROR(1/IF(Inputs!$B$39="pvp",15,MAX(0.1,Skills!D9-IF(Skills!E9=TRUE,Inputs!$B$33,0))),0)</f>
        <v/>
      </c>
      <c r="R1846">
        <f>IF(AND(Inputs!$B$39&lt;&gt;"pvp",Inputs!$B$44&gt;0),IF(MAX(0,Inputs!$B$44-B1873)&lt;=0,0,(INT(MAX(0,Inputs!$B$44-B1873)/IF(Inputs!$B$39="pvp",15,MAX(0.1,Skills!D9-IF(Skills!E9=TRUE,Inputs!$B$33,0))))+1)),0)</f>
        <v/>
      </c>
      <c r="S1846">
        <f>IFERROR(O1846/N1846,0)</f>
        <v/>
      </c>
      <c r="T1846">
        <f>IF(C1846,(H1846*N1846*IF(AND(Inputs!$B$39&lt;&gt;"pvp",Inputs!$B$44&gt;0),((Skills!G9*((R1846-1)*IF(Skills!H9&gt;0,Skills!I9/Skills!H9,1)+IF(Skills!H9&gt;0,MIN(Skills!I9,MAX(0,MAX(0,Inputs!$B$44-B1873)-((R1846-1)*IF(Inputs!$B$39="pvp",15,MAX(0.1,Skills!D9-IF(Skills!E9=TRUE,Inputs!$B$33,0))))))/Skills!H9,1)))/Inputs!$B$44),G1846*Q1846))*IF(Inputs!$B$39="pvp",1,1+(Inputs!$B$21+0+Skills!P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Skills!E9=TRUE,Inputs!$B$33,0))))))/Skills!H9,1)))/Inputs!$B$44),G1846*Q1846))*IF(Inputs!$B$39="pvp",1,(1+(Inputs!$B$22+Skills!Q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IFERROR(1/IF(Inputs!$B$39="pvp",15,MAX(0.1,Skills!D10-IF(Skills!E10=TRUE,Inputs!$B$33,0))),0)</f>
        <v/>
      </c>
      <c r="R1847">
        <f>IF(AND(Inputs!$B$39&lt;&gt;"pvp",Inputs!$B$44&gt;0),IF(MAX(0,Inputs!$B$44-B1873)&lt;=0,0,(INT(MAX(0,Inputs!$B$44-B1873)/IF(Inputs!$B$39="pvp",15,MAX(0.1,Skills!D10-IF(Skills!E10=TRUE,Inputs!$B$33,0))))+1)),0)</f>
        <v/>
      </c>
      <c r="S1847">
        <f>IFERROR(O1847/N1847,0)</f>
        <v/>
      </c>
      <c r="T1847">
        <f>IF(C1847,(H1847*N1847*IF(AND(Inputs!$B$39&lt;&gt;"pvp",Inputs!$B$44&gt;0),((Skills!G10*((R1847-1)*IF(Skills!H10&gt;0,Skills!I10/Skills!H10,1)+IF(Skills!H10&gt;0,MIN(Skills!I10,MAX(0,MAX(0,Inputs!$B$44-B1873)-((R1847-1)*IF(Inputs!$B$39="pvp",15,MAX(0.1,Skills!D10-IF(Skills!E10=TRUE,Inputs!$B$33,0))))))/Skills!H10,1)))/Inputs!$B$44),G1847*Q1847))*IF(Inputs!$B$39="pvp",1,1+(Inputs!$B$21+0+Skills!P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Skills!E10=TRUE,Inputs!$B$33,0))))))/Skills!H10,1)))/Inputs!$B$44),G1847*Q1847))*IF(Inputs!$B$39="pvp",1,(1+(Inputs!$B$22+Skills!Q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IFERROR(1/IF(Inputs!$B$39="pvp",15,MAX(0.1,Skills!D12-IF(Skills!E12=TRUE,Inputs!$B$33,0))),0)</f>
        <v/>
      </c>
      <c r="R1849">
        <f>IF(AND(Inputs!$B$39&lt;&gt;"pvp",Inputs!$B$44&gt;0),IF(MAX(0,Inputs!$B$44-B1873)&lt;=0,0,(INT(MAX(0,Inputs!$B$44-B1873)/IF(Inputs!$B$39="pvp",15,MAX(0.1,Skills!D12-IF(Skills!E12=TRUE,Inputs!$B$33,0))))+1)),0)</f>
        <v/>
      </c>
      <c r="S1849">
        <f>IFERROR(O1849/N1849,0)</f>
        <v/>
      </c>
      <c r="T1849">
        <f>IF(C1849,(H1849*N1849*IF(AND(Inputs!$B$39&lt;&gt;"pvp",Inputs!$B$44&gt;0),((Skills!G12*((R1849-1)*IF(Skills!H12&gt;0,Skills!I12/Skills!H12,1)+IF(Skills!H12&gt;0,MIN(Skills!I12,MAX(0,MAX(0,Inputs!$B$44-B1873)-((R1849-1)*IF(Inputs!$B$39="pvp",15,MAX(0.1,Skills!D12-IF(Skills!E12=TRUE,Inputs!$B$33,0))))))/Skills!H12,1)))/Inputs!$B$44),G1849*Q1849))*IF(Inputs!$B$39="pvp",1,1+(Inputs!$B$21+0+Skills!P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Skills!E12=TRUE,Inputs!$B$33,0))))))/Skills!H12,1)))/Inputs!$B$44),G1849*Q1849))*IF(Inputs!$B$39="pvp",1,(1+(Inputs!$B$22+Skills!Q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IFERROR(1/IF(Inputs!$B$39="pvp",15,MAX(0.1,Skills!D13-IF(Skills!E13=TRUE,Inputs!$B$33,0))),0)</f>
        <v/>
      </c>
      <c r="R1850">
        <f>IF(AND(Inputs!$B$39&lt;&gt;"pvp",Inputs!$B$44&gt;0),IF(Inputs!$B$44&lt;=0,0,(INT(Inputs!$B$44/IF(Inputs!$B$39="pvp",15,MAX(0.1,Skills!D13-IF(Skills!E13=TRUE,Inputs!$B$33,0))))+1)),0)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IFERROR(1/IF(Inputs!$B$39="pvp",15,MAX(0.1,Skills!D14-IF(Skills!E14=TRUE,Inputs!$B$33,0))),0)</f>
        <v/>
      </c>
      <c r="R1851">
        <f>IF(AND(Inputs!$B$39&lt;&gt;"pvp",Inputs!$B$44&gt;0),IF(Inputs!$B$44&lt;=0,0,(INT(Inputs!$B$44/IF(Inputs!$B$39="pvp",15,MAX(0.1,Skills!D14-IF(Skills!E14=TRUE,Inputs!$B$33,0))))+1)),0)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IFERROR(1/IF(Inputs!$B$39="pvp",15,MAX(0.1,Skills!D15-IF(Skills!E15=TRUE,Inputs!$B$33,0))),0)</f>
        <v/>
      </c>
      <c r="R1852">
        <f>IF(AND(Inputs!$B$39&lt;&gt;"pvp",Inputs!$B$44&gt;0),IF(Inputs!$B$44&lt;=0,0,(INT(Inputs!$B$44/IF(Inputs!$B$39="pvp",15,MAX(0.1,Skills!D15-IF(Skills!E15=TRUE,Inputs!$B$33,0))))+1)),0)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IFERROR(1/IF(Inputs!$B$39="pvp",15,MAX(0.1,Skills!D16-IF(Skills!E16=TRUE,Inputs!$B$33,0))),0)</f>
        <v/>
      </c>
      <c r="R1853">
        <f>IF(AND(Inputs!$B$39&lt;&gt;"pvp",Inputs!$B$44&gt;0),IF(Inputs!$B$44&lt;=0,0,(INT(Inputs!$B$44/IF(Inputs!$B$39="pvp",15,MAX(0.1,Skills!D16-IF(Skills!E16=TRUE,Inputs!$B$33,0))))+1)),0)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IFERROR(1/IF(Inputs!$B$39="pvp",15,MAX(0.1,Skills!D17-IF(Skills!E17=TRUE,Inputs!$B$33,0))),0)</f>
        <v/>
      </c>
      <c r="R1854">
        <f>IF(AND(Inputs!$B$39&lt;&gt;"pvp",Inputs!$B$44&gt;0),IF(Inputs!$B$44&lt;=0,0,(INT(Inputs!$B$44/IF(Inputs!$B$39="pvp",15,MAX(0.1,Skills!D17-IF(Skills!E17=TRUE,Inputs!$B$33,0))))+1)),0)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IFERROR(1/IF(Inputs!$B$39="pvp",15,MAX(0.1,Skills!D18-IF(Skills!E18=TRUE,Inputs!$B$33,0))),0)</f>
        <v/>
      </c>
      <c r="R1855">
        <f>IF(AND(Inputs!$B$39&lt;&gt;"pvp",Inputs!$B$44&gt;0),IF(Inputs!$B$44&lt;=0,0,(INT(Inputs!$B$44/IF(Inputs!$B$39="pvp",15,MAX(0.1,Skills!D18-IF(Skills!E18=TRUE,Inputs!$B$33,0))))+1)),0)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IFERROR(1/IF(Inputs!$B$39="pvp",15,MAX(0.1,Skills!D19-IF(Skills!E19=TRUE,Inputs!$B$33,0))),0)</f>
        <v/>
      </c>
      <c r="R1856">
        <f>IF(AND(Inputs!$B$39&lt;&gt;"pvp",Inputs!$B$44&gt;0),IF(Inputs!$B$44&lt;=0,0,(INT(Inputs!$B$44/IF(Inputs!$B$39="pvp",15,MAX(0.1,Skills!D19-IF(Skills!E19=TRUE,Inputs!$B$33,0))))+1)),0)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IFERROR(1/IF(Inputs!$B$39="pvp",15,MAX(0.1,Skills!D20-IF(Skills!E20=TRUE,Inputs!$B$33,0))),0)</f>
        <v/>
      </c>
      <c r="R1857">
        <f>IF(AND(Inputs!$B$39&lt;&gt;"pvp",Inputs!$B$44&gt;0),IF(Inputs!$B$44&lt;=0,0,(INT(Inputs!$B$44/IF(Inputs!$B$39="pvp",15,MAX(0.1,Skills!D20-IF(Skills!E20=TRUE,Inputs!$B$33,0))))+1)),0)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Skills!T18*(1+Inputs!$B$35/100))+MIN((Skills!T18*(1+Inputs!$B$35/100)),MAX(0,Inputs!$B$44-((R1855-1)*Skills!D18))))/Inputs!$B$44),IF(Inputs!$B$39="pvp",MIN((Skills!T18*(1+Inputs!$B$35/100)),15)/15,(Skills!T18*(1+Inputs!$B$35/100))/Skills!D18)))</f>
        <v/>
      </c>
    </row>
    <row r="1867">
      <c r="A1867" t="inlineStr">
        <is>
          <t>Attack Speed Buff Bonus %</t>
        </is>
      </c>
      <c r="B1867">
        <f>((C1857=TRUE)*F1857*IF(AND(Inputs!$B$39&lt;&gt;"pvp",Inputs!$B$44&gt;0),(((R1857-1)*(Skills!T20*(1+Inputs!$B$35/100))+MIN((Skills!T20*(1+Inputs!$B$35/100)),MAX(0,Inputs!$B$44-((R1857-1)*Skills!D20))))/Inputs!$B$44),IF(Inputs!$B$39="pvp",MIN((Skills!T20*(1+Inputs!$B$35/100)),15)/15,(Skills!T20*(1+Inputs!$B$35/100))/Skills!D20)))</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Skills!T19*(1+Inputs!$B$35/100))+MIN((Skills!T19*(1+Inputs!$B$35/100)),MAX(0,Inputs!$B$44-((R1856-1)*Skills!D19))))/Inputs!$B$44),IF(Inputs!$B$39="pvp",MIN((Skills!T19*(1+Inputs!$B$35/100)),15)/15,(Skills!T19*(1+Inputs!$B$35/100))/Skills!D19)))</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IFERROR(1/IF(Inputs!$B$39="pvp",15,MAX(0.1,Skills!D5-IF(Skills!E5=TRUE,Inputs!$B$33,0))),0)</f>
        <v/>
      </c>
      <c r="R1884">
        <f>IF(AND(Inputs!$B$39&lt;&gt;"pvp",Inputs!$B$44&gt;0),IF(MAX(0,Inputs!$B$44-B1915)&lt;=0,0,(INT(MAX(0,Inputs!$B$44-B1915)/IF(Inputs!$B$39="pvp",15,MAX(0.1,Skills!D5-IF(Skills!E5=TRUE,Inputs!$B$33,0))))+1)),0)</f>
        <v/>
      </c>
      <c r="S1884">
        <f>IFERROR(O1884/N1884,0)</f>
        <v/>
      </c>
      <c r="T1884">
        <f>IF(C1884,(H1884*N1884*IF(AND(Inputs!$B$39&lt;&gt;"pvp",Inputs!$B$44&gt;0),((Skills!G5*((R1884-1)*IF(Skills!H5&gt;0,Skills!I5/Skills!H5,1)+IF(Skills!H5&gt;0,MIN(Skills!I5,MAX(0,MAX(0,Inputs!$B$44-B1915)-((R1884-1)*IF(Inputs!$B$39="pvp",15,MAX(0.1,Skills!D5-IF(Skills!E5=TRUE,Inputs!$B$33,0))))))/Skills!H5,1)))/Inputs!$B$44),G1884*Q1884))*IF(Inputs!$B$39="pvp",1,1+(Inputs!$B$21+0+Skills!P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Skills!E5=TRUE,Inputs!$B$33,0))))))/Skills!H5,1)))/Inputs!$B$44),G1884*Q1884))*IF(Inputs!$B$39="pvp",1,(1+(Inputs!$B$22+Skills!Q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IFERROR(1/IF(Inputs!$B$39="pvp",15,MAX(0.1,Skills!D6-IF(Skills!E6=TRUE,Inputs!$B$33,0))),0)</f>
        <v/>
      </c>
      <c r="R1885">
        <f>IF(AND(Inputs!$B$39&lt;&gt;"pvp",Inputs!$B$44&gt;0),IF(MAX(0,Inputs!$B$44-B1915)&lt;=0,0,(INT(MAX(0,Inputs!$B$44-B1915)/IF(Inputs!$B$39="pvp",15,MAX(0.1,Skills!D6-IF(Skills!E6=TRUE,Inputs!$B$33,0))))+1)),0)</f>
        <v/>
      </c>
      <c r="S1885">
        <f>IFERROR(O1885/N1885,0)</f>
        <v/>
      </c>
      <c r="T1885">
        <f>IF(C1885,(H1885*N1885*IF(AND(Inputs!$B$39&lt;&gt;"pvp",Inputs!$B$44&gt;0),((Skills!G6*((R1885-1)*IF(Skills!H6&gt;0,Skills!I6/Skills!H6,1)+IF(Skills!H6&gt;0,MIN(Skills!I6,MAX(0,MAX(0,Inputs!$B$44-B1915)-((R1885-1)*IF(Inputs!$B$39="pvp",15,MAX(0.1,Skills!D6-IF(Skills!E6=TRUE,Inputs!$B$33,0))))))/Skills!H6,1)))/Inputs!$B$44),G1885*Q1885))*IF(Inputs!$B$39="pvp",1,1+(Inputs!$B$21+0+Skills!P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Skills!E6=TRUE,Inputs!$B$33,0))))))/Skills!H6,1)))/Inputs!$B$44),G1885*Q1885))*IF(Inputs!$B$39="pvp",1,(1+(Inputs!$B$22+Skills!Q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IFERROR(1/IF(Inputs!$B$39="pvp",15,MAX(0.1,Skills!D7-IF(Skills!E7=TRUE,Inputs!$B$33,0))),0)</f>
        <v/>
      </c>
      <c r="R1886">
        <f>IF(AND(Inputs!$B$39&lt;&gt;"pvp",Inputs!$B$44&gt;0),IF(MAX(0,Inputs!$B$44-B1915)&lt;=0,0,(INT(MAX(0,Inputs!$B$44-B1915)/IF(Inputs!$B$39="pvp",15,MAX(0.1,Skills!D7-IF(Skills!E7=TRUE,Inputs!$B$33,0))))+1)),0)</f>
        <v/>
      </c>
      <c r="S1886">
        <f>IFERROR(O1886/N1886,0)</f>
        <v/>
      </c>
      <c r="T1886">
        <f>IF(C1886,(H1886*N1886*IF(AND(Inputs!$B$39&lt;&gt;"pvp",Inputs!$B$44&gt;0),((Skills!G7*((R1886-1)*IF(Skills!H7&gt;0,Skills!I7/Skills!H7,1)+IF(Skills!H7&gt;0,MIN(Skills!I7,MAX(0,MAX(0,Inputs!$B$44-B1915)-((R1886-1)*IF(Inputs!$B$39="pvp",15,MAX(0.1,Skills!D7-IF(Skills!E7=TRUE,Inputs!$B$33,0))))))/Skills!H7,1)))/Inputs!$B$44),G1886*Q1886))*IF(Inputs!$B$39="pvp",1,1+(Inputs!$B$21+0+Skills!P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Skills!E7=TRUE,Inputs!$B$33,0))))))/Skills!H7,1)))/Inputs!$B$44),G1886*Q1886))*IF(Inputs!$B$39="pvp",1,(1+(Inputs!$B$22+Skills!Q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IFERROR(1/IF(Inputs!$B$39="pvp",15,MAX(0.1,Skills!D9-IF(Skills!E9=TRUE,Inputs!$B$33,0))),0)</f>
        <v/>
      </c>
      <c r="R1888">
        <f>IF(AND(Inputs!$B$39&lt;&gt;"pvp",Inputs!$B$44&gt;0),IF(MAX(0,Inputs!$B$44-B1915)&lt;=0,0,(INT(MAX(0,Inputs!$B$44-B1915)/IF(Inputs!$B$39="pvp",15,MAX(0.1,Skills!D9-IF(Skills!E9=TRUE,Inputs!$B$33,0))))+1)),0)</f>
        <v/>
      </c>
      <c r="S1888">
        <f>IFERROR(O1888/N1888,0)</f>
        <v/>
      </c>
      <c r="T1888">
        <f>IF(C1888,(H1888*N1888*IF(AND(Inputs!$B$39&lt;&gt;"pvp",Inputs!$B$44&gt;0),((Skills!G9*((R1888-1)*IF(Skills!H9&gt;0,Skills!I9/Skills!H9,1)+IF(Skills!H9&gt;0,MIN(Skills!I9,MAX(0,MAX(0,Inputs!$B$44-B1915)-((R1888-1)*IF(Inputs!$B$39="pvp",15,MAX(0.1,Skills!D9-IF(Skills!E9=TRUE,Inputs!$B$33,0))))))/Skills!H9,1)))/Inputs!$B$44),G1888*Q1888))*IF(Inputs!$B$39="pvp",1,1+(Inputs!$B$21+0+Skills!P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Skills!E9=TRUE,Inputs!$B$33,0))))))/Skills!H9,1)))/Inputs!$B$44),G1888*Q1888))*IF(Inputs!$B$39="pvp",1,(1+(Inputs!$B$22+Skills!Q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IFERROR(1/IF(Inputs!$B$39="pvp",15,MAX(0.1,Skills!D10-IF(Skills!E10=TRUE,Inputs!$B$33,0))),0)</f>
        <v/>
      </c>
      <c r="R1889">
        <f>IF(AND(Inputs!$B$39&lt;&gt;"pvp",Inputs!$B$44&gt;0),IF(MAX(0,Inputs!$B$44-B1915)&lt;=0,0,(INT(MAX(0,Inputs!$B$44-B1915)/IF(Inputs!$B$39="pvp",15,MAX(0.1,Skills!D10-IF(Skills!E10=TRUE,Inputs!$B$33,0))))+1)),0)</f>
        <v/>
      </c>
      <c r="S1889">
        <f>IFERROR(O1889/N1889,0)</f>
        <v/>
      </c>
      <c r="T1889">
        <f>IF(C1889,(H1889*N1889*IF(AND(Inputs!$B$39&lt;&gt;"pvp",Inputs!$B$44&gt;0),((Skills!G10*((R1889-1)*IF(Skills!H10&gt;0,Skills!I10/Skills!H10,1)+IF(Skills!H10&gt;0,MIN(Skills!I10,MAX(0,MAX(0,Inputs!$B$44-B1915)-((R1889-1)*IF(Inputs!$B$39="pvp",15,MAX(0.1,Skills!D10-IF(Skills!E10=TRUE,Inputs!$B$33,0))))))/Skills!H10,1)))/Inputs!$B$44),G1889*Q1889))*IF(Inputs!$B$39="pvp",1,1+(Inputs!$B$21+0+Skills!P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Skills!E10=TRUE,Inputs!$B$33,0))))))/Skills!H10,1)))/Inputs!$B$44),G1889*Q1889))*IF(Inputs!$B$39="pvp",1,(1+(Inputs!$B$22+Skills!Q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IFERROR(1/IF(Inputs!$B$39="pvp",15,MAX(0.1,Skills!D12-IF(Skills!E12=TRUE,Inputs!$B$33,0))),0)</f>
        <v/>
      </c>
      <c r="R1891">
        <f>IF(AND(Inputs!$B$39&lt;&gt;"pvp",Inputs!$B$44&gt;0),IF(MAX(0,Inputs!$B$44-B1915)&lt;=0,0,(INT(MAX(0,Inputs!$B$44-B1915)/IF(Inputs!$B$39="pvp",15,MAX(0.1,Skills!D12-IF(Skills!E12=TRUE,Inputs!$B$33,0))))+1)),0)</f>
        <v/>
      </c>
      <c r="S1891">
        <f>IFERROR(O1891/N1891,0)</f>
        <v/>
      </c>
      <c r="T1891">
        <f>IF(C1891,(H1891*N1891*IF(AND(Inputs!$B$39&lt;&gt;"pvp",Inputs!$B$44&gt;0),((Skills!G12*((R1891-1)*IF(Skills!H12&gt;0,Skills!I12/Skills!H12,1)+IF(Skills!H12&gt;0,MIN(Skills!I12,MAX(0,MAX(0,Inputs!$B$44-B1915)-((R1891-1)*IF(Inputs!$B$39="pvp",15,MAX(0.1,Skills!D12-IF(Skills!E12=TRUE,Inputs!$B$33,0))))))/Skills!H12,1)))/Inputs!$B$44),G1891*Q1891))*IF(Inputs!$B$39="pvp",1,1+(Inputs!$B$21+0+Skills!P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Skills!E12=TRUE,Inputs!$B$33,0))))))/Skills!H12,1)))/Inputs!$B$44),G1891*Q1891))*IF(Inputs!$B$39="pvp",1,(1+(Inputs!$B$22+Skills!Q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IFERROR(1/IF(Inputs!$B$39="pvp",15,MAX(0.1,Skills!D13-IF(Skills!E13=TRUE,Inputs!$B$33,0))),0)</f>
        <v/>
      </c>
      <c r="R1892">
        <f>IF(AND(Inputs!$B$39&lt;&gt;"pvp",Inputs!$B$44&gt;0),IF(Inputs!$B$44&lt;=0,0,(INT(Inputs!$B$44/IF(Inputs!$B$39="pvp",15,MAX(0.1,Skills!D13-IF(Skills!E13=TRUE,Inputs!$B$33,0))))+1)),0)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IFERROR(1/IF(Inputs!$B$39="pvp",15,MAX(0.1,Skills!D14-IF(Skills!E14=TRUE,Inputs!$B$33,0))),0)</f>
        <v/>
      </c>
      <c r="R1893">
        <f>IF(AND(Inputs!$B$39&lt;&gt;"pvp",Inputs!$B$44&gt;0),IF(Inputs!$B$44&lt;=0,0,(INT(Inputs!$B$44/IF(Inputs!$B$39="pvp",15,MAX(0.1,Skills!D14-IF(Skills!E14=TRUE,Inputs!$B$33,0))))+1)),0)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IFERROR(1/IF(Inputs!$B$39="pvp",15,MAX(0.1,Skills!D15-IF(Skills!E15=TRUE,Inputs!$B$33,0))),0)</f>
        <v/>
      </c>
      <c r="R1894">
        <f>IF(AND(Inputs!$B$39&lt;&gt;"pvp",Inputs!$B$44&gt;0),IF(Inputs!$B$44&lt;=0,0,(INT(Inputs!$B$44/IF(Inputs!$B$39="pvp",15,MAX(0.1,Skills!D15-IF(Skills!E15=TRUE,Inputs!$B$33,0))))+1)),0)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IFERROR(1/IF(Inputs!$B$39="pvp",15,MAX(0.1,Skills!D16-IF(Skills!E16=TRUE,Inputs!$B$33,0))),0)</f>
        <v/>
      </c>
      <c r="R1895">
        <f>IF(AND(Inputs!$B$39&lt;&gt;"pvp",Inputs!$B$44&gt;0),IF(Inputs!$B$44&lt;=0,0,(INT(Inputs!$B$44/IF(Inputs!$B$39="pvp",15,MAX(0.1,Skills!D16-IF(Skills!E16=TRUE,Inputs!$B$33,0))))+1)),0)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IFERROR(1/IF(Inputs!$B$39="pvp",15,MAX(0.1,Skills!D17-IF(Skills!E17=TRUE,Inputs!$B$33,0))),0)</f>
        <v/>
      </c>
      <c r="R1896">
        <f>IF(AND(Inputs!$B$39&lt;&gt;"pvp",Inputs!$B$44&gt;0),IF(Inputs!$B$44&lt;=0,0,(INT(Inputs!$B$44/IF(Inputs!$B$39="pvp",15,MAX(0.1,Skills!D17-IF(Skills!E17=TRUE,Inputs!$B$33,0))))+1)),0)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IFERROR(1/IF(Inputs!$B$39="pvp",15,MAX(0.1,Skills!D18-IF(Skills!E18=TRUE,Inputs!$B$33,0))),0)</f>
        <v/>
      </c>
      <c r="R1897">
        <f>IF(AND(Inputs!$B$39&lt;&gt;"pvp",Inputs!$B$44&gt;0),IF(Inputs!$B$44&lt;=0,0,(INT(Inputs!$B$44/IF(Inputs!$B$39="pvp",15,MAX(0.1,Skills!D18-IF(Skills!E18=TRUE,Inputs!$B$33,0))))+1)),0)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IFERROR(1/IF(Inputs!$B$39="pvp",15,MAX(0.1,Skills!D19-IF(Skills!E19=TRUE,Inputs!$B$33,0))),0)</f>
        <v/>
      </c>
      <c r="R1898">
        <f>IF(AND(Inputs!$B$39&lt;&gt;"pvp",Inputs!$B$44&gt;0),IF(Inputs!$B$44&lt;=0,0,(INT(Inputs!$B$44/IF(Inputs!$B$39="pvp",15,MAX(0.1,Skills!D19-IF(Skills!E19=TRUE,Inputs!$B$33,0))))+1)),0)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IFERROR(1/IF(Inputs!$B$39="pvp",15,MAX(0.1,Skills!D20-IF(Skills!E20=TRUE,Inputs!$B$33,0))),0)</f>
        <v/>
      </c>
      <c r="R1899">
        <f>IF(AND(Inputs!$B$39&lt;&gt;"pvp",Inputs!$B$44&gt;0),IF(Inputs!$B$44&lt;=0,0,(INT(Inputs!$B$44/IF(Inputs!$B$39="pvp",15,MAX(0.1,Skills!D20-IF(Skills!E20=TRUE,Inputs!$B$33,0))))+1)),0)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Skills!T18*(1+Inputs!$B$35/100))+MIN((Skills!T18*(1+Inputs!$B$35/100)),MAX(0,Inputs!$B$44-((R1897-1)*Skills!D18))))/Inputs!$B$44),IF(Inputs!$B$39="pvp",MIN((Skills!T18*(1+Inputs!$B$35/100)),15)/15,(Skills!T18*(1+Inputs!$B$35/100))/Skills!D18)))</f>
        <v/>
      </c>
    </row>
    <row r="1909">
      <c r="A1909" t="inlineStr">
        <is>
          <t>Attack Speed Buff Bonus %</t>
        </is>
      </c>
      <c r="B1909">
        <f>((C1899=TRUE)*F1899*IF(AND(Inputs!$B$39&lt;&gt;"pvp",Inputs!$B$44&gt;0),(((R1899-1)*(Skills!T20*(1+Inputs!$B$35/100))+MIN((Skills!T20*(1+Inputs!$B$35/100)),MAX(0,Inputs!$B$44-((R1899-1)*Skills!D20))))/Inputs!$B$44),IF(Inputs!$B$39="pvp",MIN((Skills!T20*(1+Inputs!$B$35/100)),15)/15,(Skills!T20*(1+Inputs!$B$35/100))/Skills!D20)))</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Skills!T19*(1+Inputs!$B$35/100))+MIN((Skills!T19*(1+Inputs!$B$35/100)),MAX(0,Inputs!$B$44-((R1898-1)*Skills!D19))))/Inputs!$B$44),IF(Inputs!$B$39="pvp",MIN((Skills!T19*(1+Inputs!$B$35/100)),15)/15,(Skills!T19*(1+Inputs!$B$35/100))/Skills!D19)))</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IFERROR(1/IF(Inputs!$B$39="pvp",15,MAX(0.1,Skills!D5-IF(Skills!E5=TRUE,Inputs!$B$33,0))),0)</f>
        <v/>
      </c>
      <c r="R1926">
        <f>IF(AND(Inputs!$B$39&lt;&gt;"pvp",Inputs!$B$44&gt;0),IF(MAX(0,Inputs!$B$44-B1957)&lt;=0,0,(INT(MAX(0,Inputs!$B$44-B1957)/IF(Inputs!$B$39="pvp",15,MAX(0.1,Skills!D5-IF(Skills!E5=TRUE,Inputs!$B$33,0))))+1)),0)</f>
        <v/>
      </c>
      <c r="S1926">
        <f>IFERROR(O1926/N1926,0)</f>
        <v/>
      </c>
      <c r="T1926">
        <f>IF(C1926,(H1926*N1926*IF(AND(Inputs!$B$39&lt;&gt;"pvp",Inputs!$B$44&gt;0),((Skills!G5*((R1926-1)*IF(Skills!H5&gt;0,Skills!I5/Skills!H5,1)+IF(Skills!H5&gt;0,MIN(Skills!I5,MAX(0,MAX(0,Inputs!$B$44-B1957)-((R1926-1)*IF(Inputs!$B$39="pvp",15,MAX(0.1,Skills!D5-IF(Skills!E5=TRUE,Inputs!$B$33,0))))))/Skills!H5,1)))/Inputs!$B$44),G1926*Q1926))*IF(Inputs!$B$39="pvp",1,1+(Inputs!$B$21+0+Skills!P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Skills!E5=TRUE,Inputs!$B$33,0))))))/Skills!H5,1)))/Inputs!$B$44),G1926*Q1926))*IF(Inputs!$B$39="pvp",1,(1+(Inputs!$B$22+Skills!Q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IFERROR(1/IF(Inputs!$B$39="pvp",15,MAX(0.1,Skills!D6-IF(Skills!E6=TRUE,Inputs!$B$33,0))),0)</f>
        <v/>
      </c>
      <c r="R1927">
        <f>IF(AND(Inputs!$B$39&lt;&gt;"pvp",Inputs!$B$44&gt;0),IF(MAX(0,Inputs!$B$44-B1957)&lt;=0,0,(INT(MAX(0,Inputs!$B$44-B1957)/IF(Inputs!$B$39="pvp",15,MAX(0.1,Skills!D6-IF(Skills!E6=TRUE,Inputs!$B$33,0))))+1)),0)</f>
        <v/>
      </c>
      <c r="S1927">
        <f>IFERROR(O1927/N1927,0)</f>
        <v/>
      </c>
      <c r="T1927">
        <f>IF(C1927,(H1927*N1927*IF(AND(Inputs!$B$39&lt;&gt;"pvp",Inputs!$B$44&gt;0),((Skills!G6*((R1927-1)*IF(Skills!H6&gt;0,Skills!I6/Skills!H6,1)+IF(Skills!H6&gt;0,MIN(Skills!I6,MAX(0,MAX(0,Inputs!$B$44-B1957)-((R1927-1)*IF(Inputs!$B$39="pvp",15,MAX(0.1,Skills!D6-IF(Skills!E6=TRUE,Inputs!$B$33,0))))))/Skills!H6,1)))/Inputs!$B$44),G1927*Q1927))*IF(Inputs!$B$39="pvp",1,1+(Inputs!$B$21+0+Skills!P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Skills!E6=TRUE,Inputs!$B$33,0))))))/Skills!H6,1)))/Inputs!$B$44),G1927*Q1927))*IF(Inputs!$B$39="pvp",1,(1+(Inputs!$B$22+Skills!Q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IFERROR(1/IF(Inputs!$B$39="pvp",15,MAX(0.1,Skills!D7-IF(Skills!E7=TRUE,Inputs!$B$33,0))),0)</f>
        <v/>
      </c>
      <c r="R1928">
        <f>IF(AND(Inputs!$B$39&lt;&gt;"pvp",Inputs!$B$44&gt;0),IF(MAX(0,Inputs!$B$44-B1957)&lt;=0,0,(INT(MAX(0,Inputs!$B$44-B1957)/IF(Inputs!$B$39="pvp",15,MAX(0.1,Skills!D7-IF(Skills!E7=TRUE,Inputs!$B$33,0))))+1)),0)</f>
        <v/>
      </c>
      <c r="S1928">
        <f>IFERROR(O1928/N1928,0)</f>
        <v/>
      </c>
      <c r="T1928">
        <f>IF(C1928,(H1928*N1928*IF(AND(Inputs!$B$39&lt;&gt;"pvp",Inputs!$B$44&gt;0),((Skills!G7*((R1928-1)*IF(Skills!H7&gt;0,Skills!I7/Skills!H7,1)+IF(Skills!H7&gt;0,MIN(Skills!I7,MAX(0,MAX(0,Inputs!$B$44-B1957)-((R1928-1)*IF(Inputs!$B$39="pvp",15,MAX(0.1,Skills!D7-IF(Skills!E7=TRUE,Inputs!$B$33,0))))))/Skills!H7,1)))/Inputs!$B$44),G1928*Q1928))*IF(Inputs!$B$39="pvp",1,1+(Inputs!$B$21+0+Skills!P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Skills!E7=TRUE,Inputs!$B$33,0))))))/Skills!H7,1)))/Inputs!$B$44),G1928*Q1928))*IF(Inputs!$B$39="pvp",1,(1+(Inputs!$B$22+Skills!Q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IFERROR(1/IF(Inputs!$B$39="pvp",15,MAX(0.1,Skills!D9-IF(Skills!E9=TRUE,Inputs!$B$33,0))),0)</f>
        <v/>
      </c>
      <c r="R1930">
        <f>IF(AND(Inputs!$B$39&lt;&gt;"pvp",Inputs!$B$44&gt;0),IF(MAX(0,Inputs!$B$44-B1957)&lt;=0,0,(INT(MAX(0,Inputs!$B$44-B1957)/IF(Inputs!$B$39="pvp",15,MAX(0.1,Skills!D9-IF(Skills!E9=TRUE,Inputs!$B$33,0))))+1)),0)</f>
        <v/>
      </c>
      <c r="S1930">
        <f>IFERROR(O1930/N1930,0)</f>
        <v/>
      </c>
      <c r="T1930">
        <f>IF(C1930,(H1930*N1930*IF(AND(Inputs!$B$39&lt;&gt;"pvp",Inputs!$B$44&gt;0),((Skills!G9*((R1930-1)*IF(Skills!H9&gt;0,Skills!I9/Skills!H9,1)+IF(Skills!H9&gt;0,MIN(Skills!I9,MAX(0,MAX(0,Inputs!$B$44-B1957)-((R1930-1)*IF(Inputs!$B$39="pvp",15,MAX(0.1,Skills!D9-IF(Skills!E9=TRUE,Inputs!$B$33,0))))))/Skills!H9,1)))/Inputs!$B$44),G1930*Q1930))*IF(Inputs!$B$39="pvp",1,1+(Inputs!$B$21+0+Skills!P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Skills!E9=TRUE,Inputs!$B$33,0))))))/Skills!H9,1)))/Inputs!$B$44),G1930*Q1930))*IF(Inputs!$B$39="pvp",1,(1+(Inputs!$B$22+Skills!Q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IFERROR(1/IF(Inputs!$B$39="pvp",15,MAX(0.1,Skills!D10-IF(Skills!E10=TRUE,Inputs!$B$33,0))),0)</f>
        <v/>
      </c>
      <c r="R1931">
        <f>IF(AND(Inputs!$B$39&lt;&gt;"pvp",Inputs!$B$44&gt;0),IF(MAX(0,Inputs!$B$44-B1957)&lt;=0,0,(INT(MAX(0,Inputs!$B$44-B1957)/IF(Inputs!$B$39="pvp",15,MAX(0.1,Skills!D10-IF(Skills!E10=TRUE,Inputs!$B$33,0))))+1)),0)</f>
        <v/>
      </c>
      <c r="S1931">
        <f>IFERROR(O1931/N1931,0)</f>
        <v/>
      </c>
      <c r="T1931">
        <f>IF(C1931,(H1931*N1931*IF(AND(Inputs!$B$39&lt;&gt;"pvp",Inputs!$B$44&gt;0),((Skills!G10*((R1931-1)*IF(Skills!H10&gt;0,Skills!I10/Skills!H10,1)+IF(Skills!H10&gt;0,MIN(Skills!I10,MAX(0,MAX(0,Inputs!$B$44-B1957)-((R1931-1)*IF(Inputs!$B$39="pvp",15,MAX(0.1,Skills!D10-IF(Skills!E10=TRUE,Inputs!$B$33,0))))))/Skills!H10,1)))/Inputs!$B$44),G1931*Q1931))*IF(Inputs!$B$39="pvp",1,1+(Inputs!$B$21+0+Skills!P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Skills!E10=TRUE,Inputs!$B$33,0))))))/Skills!H10,1)))/Inputs!$B$44),G1931*Q1931))*IF(Inputs!$B$39="pvp",1,(1+(Inputs!$B$22+Skills!Q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IFERROR(1/IF(Inputs!$B$39="pvp",15,MAX(0.1,Skills!D12-IF(Skills!E12=TRUE,Inputs!$B$33,0))),0)</f>
        <v/>
      </c>
      <c r="R1933">
        <f>IF(AND(Inputs!$B$39&lt;&gt;"pvp",Inputs!$B$44&gt;0),IF(MAX(0,Inputs!$B$44-B1957)&lt;=0,0,(INT(MAX(0,Inputs!$B$44-B1957)/IF(Inputs!$B$39="pvp",15,MAX(0.1,Skills!D12-IF(Skills!E12=TRUE,Inputs!$B$33,0))))+1)),0)</f>
        <v/>
      </c>
      <c r="S1933">
        <f>IFERROR(O1933/N1933,0)</f>
        <v/>
      </c>
      <c r="T1933">
        <f>IF(C1933,(H1933*N1933*IF(AND(Inputs!$B$39&lt;&gt;"pvp",Inputs!$B$44&gt;0),((Skills!G12*((R1933-1)*IF(Skills!H12&gt;0,Skills!I12/Skills!H12,1)+IF(Skills!H12&gt;0,MIN(Skills!I12,MAX(0,MAX(0,Inputs!$B$44-B1957)-((R1933-1)*IF(Inputs!$B$39="pvp",15,MAX(0.1,Skills!D12-IF(Skills!E12=TRUE,Inputs!$B$33,0))))))/Skills!H12,1)))/Inputs!$B$44),G1933*Q1933))*IF(Inputs!$B$39="pvp",1,1+(Inputs!$B$21+0+Skills!P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Skills!E12=TRUE,Inputs!$B$33,0))))))/Skills!H12,1)))/Inputs!$B$44),G1933*Q1933))*IF(Inputs!$B$39="pvp",1,(1+(Inputs!$B$22+Skills!Q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IFERROR(1/IF(Inputs!$B$39="pvp",15,MAX(0.1,Skills!D13-IF(Skills!E13=TRUE,Inputs!$B$33,0))),0)</f>
        <v/>
      </c>
      <c r="R1934">
        <f>IF(AND(Inputs!$B$39&lt;&gt;"pvp",Inputs!$B$44&gt;0),IF(Inputs!$B$44&lt;=0,0,(INT(Inputs!$B$44/IF(Inputs!$B$39="pvp",15,MAX(0.1,Skills!D13-IF(Skills!E13=TRUE,Inputs!$B$33,0))))+1)),0)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IFERROR(1/IF(Inputs!$B$39="pvp",15,MAX(0.1,Skills!D14-IF(Skills!E14=TRUE,Inputs!$B$33,0))),0)</f>
        <v/>
      </c>
      <c r="R1935">
        <f>IF(AND(Inputs!$B$39&lt;&gt;"pvp",Inputs!$B$44&gt;0),IF(Inputs!$B$44&lt;=0,0,(INT(Inputs!$B$44/IF(Inputs!$B$39="pvp",15,MAX(0.1,Skills!D14-IF(Skills!E14=TRUE,Inputs!$B$33,0))))+1)),0)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IFERROR(1/IF(Inputs!$B$39="pvp",15,MAX(0.1,Skills!D15-IF(Skills!E15=TRUE,Inputs!$B$33,0))),0)</f>
        <v/>
      </c>
      <c r="R1936">
        <f>IF(AND(Inputs!$B$39&lt;&gt;"pvp",Inputs!$B$44&gt;0),IF(Inputs!$B$44&lt;=0,0,(INT(Inputs!$B$44/IF(Inputs!$B$39="pvp",15,MAX(0.1,Skills!D15-IF(Skills!E15=TRUE,Inputs!$B$33,0))))+1)),0)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IFERROR(1/IF(Inputs!$B$39="pvp",15,MAX(0.1,Skills!D16-IF(Skills!E16=TRUE,Inputs!$B$33,0))),0)</f>
        <v/>
      </c>
      <c r="R1937">
        <f>IF(AND(Inputs!$B$39&lt;&gt;"pvp",Inputs!$B$44&gt;0),IF(Inputs!$B$44&lt;=0,0,(INT(Inputs!$B$44/IF(Inputs!$B$39="pvp",15,MAX(0.1,Skills!D16-IF(Skills!E16=TRUE,Inputs!$B$33,0))))+1)),0)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IFERROR(1/IF(Inputs!$B$39="pvp",15,MAX(0.1,Skills!D17-IF(Skills!E17=TRUE,Inputs!$B$33,0))),0)</f>
        <v/>
      </c>
      <c r="R1938">
        <f>IF(AND(Inputs!$B$39&lt;&gt;"pvp",Inputs!$B$44&gt;0),IF(Inputs!$B$44&lt;=0,0,(INT(Inputs!$B$44/IF(Inputs!$B$39="pvp",15,MAX(0.1,Skills!D17-IF(Skills!E17=TRUE,Inputs!$B$33,0))))+1)),0)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IFERROR(1/IF(Inputs!$B$39="pvp",15,MAX(0.1,Skills!D18-IF(Skills!E18=TRUE,Inputs!$B$33,0))),0)</f>
        <v/>
      </c>
      <c r="R1939">
        <f>IF(AND(Inputs!$B$39&lt;&gt;"pvp",Inputs!$B$44&gt;0),IF(Inputs!$B$44&lt;=0,0,(INT(Inputs!$B$44/IF(Inputs!$B$39="pvp",15,MAX(0.1,Skills!D18-IF(Skills!E18=TRUE,Inputs!$B$33,0))))+1)),0)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IFERROR(1/IF(Inputs!$B$39="pvp",15,MAX(0.1,Skills!D19-IF(Skills!E19=TRUE,Inputs!$B$33,0))),0)</f>
        <v/>
      </c>
      <c r="R1940">
        <f>IF(AND(Inputs!$B$39&lt;&gt;"pvp",Inputs!$B$44&gt;0),IF(Inputs!$B$44&lt;=0,0,(INT(Inputs!$B$44/IF(Inputs!$B$39="pvp",15,MAX(0.1,Skills!D19-IF(Skills!E19=TRUE,Inputs!$B$33,0))))+1)),0)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IFERROR(1/IF(Inputs!$B$39="pvp",15,MAX(0.1,Skills!D20-IF(Skills!E20=TRUE,Inputs!$B$33,0))),0)</f>
        <v/>
      </c>
      <c r="R1941">
        <f>IF(AND(Inputs!$B$39&lt;&gt;"pvp",Inputs!$B$44&gt;0),IF(Inputs!$B$44&lt;=0,0,(INT(Inputs!$B$44/IF(Inputs!$B$39="pvp",15,MAX(0.1,Skills!D20-IF(Skills!E20=TRUE,Inputs!$B$33,0))))+1)),0)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Skills!T18*(1+Inputs!$B$35/100))+MIN((Skills!T18*(1+Inputs!$B$35/100)),MAX(0,Inputs!$B$44-((R1939-1)*Skills!D18))))/Inputs!$B$44),IF(Inputs!$B$39="pvp",MIN((Skills!T18*(1+Inputs!$B$35/100)),15)/15,(Skills!T18*(1+Inputs!$B$35/100))/Skills!D18)))</f>
        <v/>
      </c>
    </row>
    <row r="1951">
      <c r="A1951" t="inlineStr">
        <is>
          <t>Attack Speed Buff Bonus %</t>
        </is>
      </c>
      <c r="B1951">
        <f>((C1941=TRUE)*F1941*IF(AND(Inputs!$B$39&lt;&gt;"pvp",Inputs!$B$44&gt;0),(((R1941-1)*(Skills!T20*(1+Inputs!$B$35/100))+MIN((Skills!T20*(1+Inputs!$B$35/100)),MAX(0,Inputs!$B$44-((R1941-1)*Skills!D20))))/Inputs!$B$44),IF(Inputs!$B$39="pvp",MIN((Skills!T20*(1+Inputs!$B$35/100)),15)/15,(Skills!T20*(1+Inputs!$B$35/100))/Skills!D20)))</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Skills!T19*(1+Inputs!$B$35/100))+MIN((Skills!T19*(1+Inputs!$B$35/100)),MAX(0,Inputs!$B$44-((R1940-1)*Skills!D19))))/Inputs!$B$44),IF(Inputs!$B$39="pvp",MIN((Skills!T19*(1+Inputs!$B$35/100)),15)/15,(Skills!T19*(1+Inputs!$B$35/100))/Skills!D19)))</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IFERROR(1/IF(Inputs!$B$39="pvp",15,MAX(0.1,Skills!D5-IF(Skills!E5=TRUE,Inputs!$B$33,0))),0)</f>
        <v/>
      </c>
      <c r="R1968">
        <f>IF(AND(Inputs!$B$39&lt;&gt;"pvp",Inputs!$B$44&gt;0),IF(MAX(0,Inputs!$B$44-B1999)&lt;=0,0,(INT(MAX(0,Inputs!$B$44-B1999)/IF(Inputs!$B$39="pvp",15,MAX(0.1,Skills!D5-IF(Skills!E5=TRUE,Inputs!$B$33,0))))+1)),0)</f>
        <v/>
      </c>
      <c r="S1968">
        <f>IFERROR(O1968/N1968,0)</f>
        <v/>
      </c>
      <c r="T1968">
        <f>IF(C1968,(H1968*N1968*IF(AND(Inputs!$B$39&lt;&gt;"pvp",Inputs!$B$44&gt;0),((Skills!G5*((R1968-1)*IF(Skills!H5&gt;0,Skills!I5/Skills!H5,1)+IF(Skills!H5&gt;0,MIN(Skills!I5,MAX(0,MAX(0,Inputs!$B$44-B1999)-((R1968-1)*IF(Inputs!$B$39="pvp",15,MAX(0.1,Skills!D5-IF(Skills!E5=TRUE,Inputs!$B$33,0))))))/Skills!H5,1)))/Inputs!$B$44),G1968*Q1968))*IF(Inputs!$B$39="pvp",1,1+(Inputs!$B$21+0+Skills!P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Skills!E5=TRUE,Inputs!$B$33,0))))))/Skills!H5,1)))/Inputs!$B$44),G1968*Q1968))*IF(Inputs!$B$39="pvp",1,(1+(Inputs!$B$22+Skills!Q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IFERROR(1/IF(Inputs!$B$39="pvp",15,MAX(0.1,Skills!D6-IF(Skills!E6=TRUE,Inputs!$B$33,0))),0)</f>
        <v/>
      </c>
      <c r="R1969">
        <f>IF(AND(Inputs!$B$39&lt;&gt;"pvp",Inputs!$B$44&gt;0),IF(MAX(0,Inputs!$B$44-B1999)&lt;=0,0,(INT(MAX(0,Inputs!$B$44-B1999)/IF(Inputs!$B$39="pvp",15,MAX(0.1,Skills!D6-IF(Skills!E6=TRUE,Inputs!$B$33,0))))+1)),0)</f>
        <v/>
      </c>
      <c r="S1969">
        <f>IFERROR(O1969/N1969,0)</f>
        <v/>
      </c>
      <c r="T1969">
        <f>IF(C1969,(H1969*N1969*IF(AND(Inputs!$B$39&lt;&gt;"pvp",Inputs!$B$44&gt;0),((Skills!G6*((R1969-1)*IF(Skills!H6&gt;0,Skills!I6/Skills!H6,1)+IF(Skills!H6&gt;0,MIN(Skills!I6,MAX(0,MAX(0,Inputs!$B$44-B1999)-((R1969-1)*IF(Inputs!$B$39="pvp",15,MAX(0.1,Skills!D6-IF(Skills!E6=TRUE,Inputs!$B$33,0))))))/Skills!H6,1)))/Inputs!$B$44),G1969*Q1969))*IF(Inputs!$B$39="pvp",1,1+(Inputs!$B$21+0+Skills!P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Skills!E6=TRUE,Inputs!$B$33,0))))))/Skills!H6,1)))/Inputs!$B$44),G1969*Q1969))*IF(Inputs!$B$39="pvp",1,(1+(Inputs!$B$22+Skills!Q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IFERROR(1/IF(Inputs!$B$39="pvp",15,MAX(0.1,Skills!D7-IF(Skills!E7=TRUE,Inputs!$B$33,0))),0)</f>
        <v/>
      </c>
      <c r="R1970">
        <f>IF(AND(Inputs!$B$39&lt;&gt;"pvp",Inputs!$B$44&gt;0),IF(MAX(0,Inputs!$B$44-B1999)&lt;=0,0,(INT(MAX(0,Inputs!$B$44-B1999)/IF(Inputs!$B$39="pvp",15,MAX(0.1,Skills!D7-IF(Skills!E7=TRUE,Inputs!$B$33,0))))+1)),0)</f>
        <v/>
      </c>
      <c r="S1970">
        <f>IFERROR(O1970/N1970,0)</f>
        <v/>
      </c>
      <c r="T1970">
        <f>IF(C1970,(H1970*N1970*IF(AND(Inputs!$B$39&lt;&gt;"pvp",Inputs!$B$44&gt;0),((Skills!G7*((R1970-1)*IF(Skills!H7&gt;0,Skills!I7/Skills!H7,1)+IF(Skills!H7&gt;0,MIN(Skills!I7,MAX(0,MAX(0,Inputs!$B$44-B1999)-((R1970-1)*IF(Inputs!$B$39="pvp",15,MAX(0.1,Skills!D7-IF(Skills!E7=TRUE,Inputs!$B$33,0))))))/Skills!H7,1)))/Inputs!$B$44),G1970*Q1970))*IF(Inputs!$B$39="pvp",1,1+(Inputs!$B$21+0+Skills!P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Skills!E7=TRUE,Inputs!$B$33,0))))))/Skills!H7,1)))/Inputs!$B$44),G1970*Q1970))*IF(Inputs!$B$39="pvp",1,(1+(Inputs!$B$22+Skills!Q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IFERROR(1/IF(Inputs!$B$39="pvp",15,MAX(0.1,Skills!D9-IF(Skills!E9=TRUE,Inputs!$B$33,0))),0)</f>
        <v/>
      </c>
      <c r="R1972">
        <f>IF(AND(Inputs!$B$39&lt;&gt;"pvp",Inputs!$B$44&gt;0),IF(MAX(0,Inputs!$B$44-B1999)&lt;=0,0,(INT(MAX(0,Inputs!$B$44-B1999)/IF(Inputs!$B$39="pvp",15,MAX(0.1,Skills!D9-IF(Skills!E9=TRUE,Inputs!$B$33,0))))+1)),0)</f>
        <v/>
      </c>
      <c r="S1972">
        <f>IFERROR(O1972/N1972,0)</f>
        <v/>
      </c>
      <c r="T1972">
        <f>IF(C1972,(H1972*N1972*IF(AND(Inputs!$B$39&lt;&gt;"pvp",Inputs!$B$44&gt;0),((Skills!G9*((R1972-1)*IF(Skills!H9&gt;0,Skills!I9/Skills!H9,1)+IF(Skills!H9&gt;0,MIN(Skills!I9,MAX(0,MAX(0,Inputs!$B$44-B1999)-((R1972-1)*IF(Inputs!$B$39="pvp",15,MAX(0.1,Skills!D9-IF(Skills!E9=TRUE,Inputs!$B$33,0))))))/Skills!H9,1)))/Inputs!$B$44),G1972*Q1972))*IF(Inputs!$B$39="pvp",1,1+(Inputs!$B$21+0+Skills!P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Skills!E9=TRUE,Inputs!$B$33,0))))))/Skills!H9,1)))/Inputs!$B$44),G1972*Q1972))*IF(Inputs!$B$39="pvp",1,(1+(Inputs!$B$22+Skills!Q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IFERROR(1/IF(Inputs!$B$39="pvp",15,MAX(0.1,Skills!D10-IF(Skills!E10=TRUE,Inputs!$B$33,0))),0)</f>
        <v/>
      </c>
      <c r="R1973">
        <f>IF(AND(Inputs!$B$39&lt;&gt;"pvp",Inputs!$B$44&gt;0),IF(MAX(0,Inputs!$B$44-B1999)&lt;=0,0,(INT(MAX(0,Inputs!$B$44-B1999)/IF(Inputs!$B$39="pvp",15,MAX(0.1,Skills!D10-IF(Skills!E10=TRUE,Inputs!$B$33,0))))+1)),0)</f>
        <v/>
      </c>
      <c r="S1973">
        <f>IFERROR(O1973/N1973,0)</f>
        <v/>
      </c>
      <c r="T1973">
        <f>IF(C1973,(H1973*N1973*IF(AND(Inputs!$B$39&lt;&gt;"pvp",Inputs!$B$44&gt;0),((Skills!G10*((R1973-1)*IF(Skills!H10&gt;0,Skills!I10/Skills!H10,1)+IF(Skills!H10&gt;0,MIN(Skills!I10,MAX(0,MAX(0,Inputs!$B$44-B1999)-((R1973-1)*IF(Inputs!$B$39="pvp",15,MAX(0.1,Skills!D10-IF(Skills!E10=TRUE,Inputs!$B$33,0))))))/Skills!H10,1)))/Inputs!$B$44),G1973*Q1973))*IF(Inputs!$B$39="pvp",1,1+(Inputs!$B$21+0+Skills!P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Skills!E10=TRUE,Inputs!$B$33,0))))))/Skills!H10,1)))/Inputs!$B$44),G1973*Q1973))*IF(Inputs!$B$39="pvp",1,(1+(Inputs!$B$22+Skills!Q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IFERROR(1/IF(Inputs!$B$39="pvp",15,MAX(0.1,Skills!D12-IF(Skills!E12=TRUE,Inputs!$B$33,0))),0)</f>
        <v/>
      </c>
      <c r="R1975">
        <f>IF(AND(Inputs!$B$39&lt;&gt;"pvp",Inputs!$B$44&gt;0),IF(MAX(0,Inputs!$B$44-B1999)&lt;=0,0,(INT(MAX(0,Inputs!$B$44-B1999)/IF(Inputs!$B$39="pvp",15,MAX(0.1,Skills!D12-IF(Skills!E12=TRUE,Inputs!$B$33,0))))+1)),0)</f>
        <v/>
      </c>
      <c r="S1975">
        <f>IFERROR(O1975/N1975,0)</f>
        <v/>
      </c>
      <c r="T1975">
        <f>IF(C1975,(H1975*N1975*IF(AND(Inputs!$B$39&lt;&gt;"pvp",Inputs!$B$44&gt;0),((Skills!G12*((R1975-1)*IF(Skills!H12&gt;0,Skills!I12/Skills!H12,1)+IF(Skills!H12&gt;0,MIN(Skills!I12,MAX(0,MAX(0,Inputs!$B$44-B1999)-((R1975-1)*IF(Inputs!$B$39="pvp",15,MAX(0.1,Skills!D12-IF(Skills!E12=TRUE,Inputs!$B$33,0))))))/Skills!H12,1)))/Inputs!$B$44),G1975*Q1975))*IF(Inputs!$B$39="pvp",1,1+(Inputs!$B$21+0+Skills!P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Skills!E12=TRUE,Inputs!$B$33,0))))))/Skills!H12,1)))/Inputs!$B$44),G1975*Q1975))*IF(Inputs!$B$39="pvp",1,(1+(Inputs!$B$22+Skills!Q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IFERROR(1/IF(Inputs!$B$39="pvp",15,MAX(0.1,Skills!D13-IF(Skills!E13=TRUE,Inputs!$B$33,0))),0)</f>
        <v/>
      </c>
      <c r="R1976">
        <f>IF(AND(Inputs!$B$39&lt;&gt;"pvp",Inputs!$B$44&gt;0),IF(Inputs!$B$44&lt;=0,0,(INT(Inputs!$B$44/IF(Inputs!$B$39="pvp",15,MAX(0.1,Skills!D13-IF(Skills!E13=TRUE,Inputs!$B$33,0))))+1)),0)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IFERROR(1/IF(Inputs!$B$39="pvp",15,MAX(0.1,Skills!D14-IF(Skills!E14=TRUE,Inputs!$B$33,0))),0)</f>
        <v/>
      </c>
      <c r="R1977">
        <f>IF(AND(Inputs!$B$39&lt;&gt;"pvp",Inputs!$B$44&gt;0),IF(Inputs!$B$44&lt;=0,0,(INT(Inputs!$B$44/IF(Inputs!$B$39="pvp",15,MAX(0.1,Skills!D14-IF(Skills!E14=TRUE,Inputs!$B$33,0))))+1)),0)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IFERROR(1/IF(Inputs!$B$39="pvp",15,MAX(0.1,Skills!D15-IF(Skills!E15=TRUE,Inputs!$B$33,0))),0)</f>
        <v/>
      </c>
      <c r="R1978">
        <f>IF(AND(Inputs!$B$39&lt;&gt;"pvp",Inputs!$B$44&gt;0),IF(Inputs!$B$44&lt;=0,0,(INT(Inputs!$B$44/IF(Inputs!$B$39="pvp",15,MAX(0.1,Skills!D15-IF(Skills!E15=TRUE,Inputs!$B$33,0))))+1)),0)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IFERROR(1/IF(Inputs!$B$39="pvp",15,MAX(0.1,Skills!D16-IF(Skills!E16=TRUE,Inputs!$B$33,0))),0)</f>
        <v/>
      </c>
      <c r="R1979">
        <f>IF(AND(Inputs!$B$39&lt;&gt;"pvp",Inputs!$B$44&gt;0),IF(Inputs!$B$44&lt;=0,0,(INT(Inputs!$B$44/IF(Inputs!$B$39="pvp",15,MAX(0.1,Skills!D16-IF(Skills!E16=TRUE,Inputs!$B$33,0))))+1)),0)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IFERROR(1/IF(Inputs!$B$39="pvp",15,MAX(0.1,Skills!D17-IF(Skills!E17=TRUE,Inputs!$B$33,0))),0)</f>
        <v/>
      </c>
      <c r="R1980">
        <f>IF(AND(Inputs!$B$39&lt;&gt;"pvp",Inputs!$B$44&gt;0),IF(Inputs!$B$44&lt;=0,0,(INT(Inputs!$B$44/IF(Inputs!$B$39="pvp",15,MAX(0.1,Skills!D17-IF(Skills!E17=TRUE,Inputs!$B$33,0))))+1)),0)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IFERROR(1/IF(Inputs!$B$39="pvp",15,MAX(0.1,Skills!D18-IF(Skills!E18=TRUE,Inputs!$B$33,0))),0)</f>
        <v/>
      </c>
      <c r="R1981">
        <f>IF(AND(Inputs!$B$39&lt;&gt;"pvp",Inputs!$B$44&gt;0),IF(Inputs!$B$44&lt;=0,0,(INT(Inputs!$B$44/IF(Inputs!$B$39="pvp",15,MAX(0.1,Skills!D18-IF(Skills!E18=TRUE,Inputs!$B$33,0))))+1)),0)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IFERROR(1/IF(Inputs!$B$39="pvp",15,MAX(0.1,Skills!D19-IF(Skills!E19=TRUE,Inputs!$B$33,0))),0)</f>
        <v/>
      </c>
      <c r="R1982">
        <f>IF(AND(Inputs!$B$39&lt;&gt;"pvp",Inputs!$B$44&gt;0),IF(Inputs!$B$44&lt;=0,0,(INT(Inputs!$B$44/IF(Inputs!$B$39="pvp",15,MAX(0.1,Skills!D19-IF(Skills!E19=TRUE,Inputs!$B$33,0))))+1)),0)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IFERROR(1/IF(Inputs!$B$39="pvp",15,MAX(0.1,Skills!D20-IF(Skills!E20=TRUE,Inputs!$B$33,0))),0)</f>
        <v/>
      </c>
      <c r="R1983">
        <f>IF(AND(Inputs!$B$39&lt;&gt;"pvp",Inputs!$B$44&gt;0),IF(Inputs!$B$44&lt;=0,0,(INT(Inputs!$B$44/IF(Inputs!$B$39="pvp",15,MAX(0.1,Skills!D20-IF(Skills!E20=TRUE,Inputs!$B$33,0))))+1)),0)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Skills!T18*(1+Inputs!$B$35/100))+MIN((Skills!T18*(1+Inputs!$B$35/100)),MAX(0,Inputs!$B$44-((R1981-1)*Skills!D18))))/Inputs!$B$44),IF(Inputs!$B$39="pvp",MIN((Skills!T18*(1+Inputs!$B$35/100)),15)/15,(Skills!T18*(1+Inputs!$B$35/100))/Skills!D18)))</f>
        <v/>
      </c>
    </row>
    <row r="1993">
      <c r="A1993" t="inlineStr">
        <is>
          <t>Attack Speed Buff Bonus %</t>
        </is>
      </c>
      <c r="B1993">
        <f>((C1983=TRUE)*F1983*IF(AND(Inputs!$B$39&lt;&gt;"pvp",Inputs!$B$44&gt;0),(((R1983-1)*(Skills!T20*(1+Inputs!$B$35/100))+MIN((Skills!T20*(1+Inputs!$B$35/100)),MAX(0,Inputs!$B$44-((R1983-1)*Skills!D20))))/Inputs!$B$44),IF(Inputs!$B$39="pvp",MIN((Skills!T20*(1+Inputs!$B$35/100)),15)/15,(Skills!T20*(1+Inputs!$B$35/100))/Skills!D20)))</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Skills!T19*(1+Inputs!$B$35/100))+MIN((Skills!T19*(1+Inputs!$B$35/100)),MAX(0,Inputs!$B$44-((R1982-1)*Skills!D19))))/Inputs!$B$44),IF(Inputs!$B$39="pvp",MIN((Skills!T19*(1+Inputs!$B$35/100)),15)/15,(Skills!T19*(1+Inputs!$B$35/100))/Skills!D19)))</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IFERROR(1/IF(Inputs!$B$39="pvp",15,MAX(0.1,Skills!D5-IF(Skills!E5=TRUE,Inputs!$B$33,0))),0)</f>
        <v/>
      </c>
      <c r="R2010">
        <f>IF(AND(Inputs!$B$39&lt;&gt;"pvp",Inputs!$B$44&gt;0),IF(MAX(0,Inputs!$B$44-B2041)&lt;=0,0,(INT(MAX(0,Inputs!$B$44-B2041)/IF(Inputs!$B$39="pvp",15,MAX(0.1,Skills!D5-IF(Skills!E5=TRUE,Inputs!$B$33,0))))+1)),0)</f>
        <v/>
      </c>
      <c r="S2010">
        <f>IFERROR(O2010/N2010,0)</f>
        <v/>
      </c>
      <c r="T2010">
        <f>IF(C2010,(H2010*N2010*IF(AND(Inputs!$B$39&lt;&gt;"pvp",Inputs!$B$44&gt;0),((Skills!G5*((R2010-1)*IF(Skills!H5&gt;0,Skills!I5/Skills!H5,1)+IF(Skills!H5&gt;0,MIN(Skills!I5,MAX(0,MAX(0,Inputs!$B$44-B2041)-((R2010-1)*IF(Inputs!$B$39="pvp",15,MAX(0.1,Skills!D5-IF(Skills!E5=TRUE,Inputs!$B$33,0))))))/Skills!H5,1)))/Inputs!$B$44),G2010*Q2010))*IF(Inputs!$B$39="pvp",1,1+(Inputs!$B$21+0+Skills!P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Skills!E5=TRUE,Inputs!$B$33,0))))))/Skills!H5,1)))/Inputs!$B$44),G2010*Q2010))*IF(Inputs!$B$39="pvp",1,(1+(Inputs!$B$22+Skills!Q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IFERROR(1/IF(Inputs!$B$39="pvp",15,MAX(0.1,Skills!D6-IF(Skills!E6=TRUE,Inputs!$B$33,0))),0)</f>
        <v/>
      </c>
      <c r="R2011">
        <f>IF(AND(Inputs!$B$39&lt;&gt;"pvp",Inputs!$B$44&gt;0),IF(MAX(0,Inputs!$B$44-B2041)&lt;=0,0,(INT(MAX(0,Inputs!$B$44-B2041)/IF(Inputs!$B$39="pvp",15,MAX(0.1,Skills!D6-IF(Skills!E6=TRUE,Inputs!$B$33,0))))+1)),0)</f>
        <v/>
      </c>
      <c r="S2011">
        <f>IFERROR(O2011/N2011,0)</f>
        <v/>
      </c>
      <c r="T2011">
        <f>IF(C2011,(H2011*N2011*IF(AND(Inputs!$B$39&lt;&gt;"pvp",Inputs!$B$44&gt;0),((Skills!G6*((R2011-1)*IF(Skills!H6&gt;0,Skills!I6/Skills!H6,1)+IF(Skills!H6&gt;0,MIN(Skills!I6,MAX(0,MAX(0,Inputs!$B$44-B2041)-((R2011-1)*IF(Inputs!$B$39="pvp",15,MAX(0.1,Skills!D6-IF(Skills!E6=TRUE,Inputs!$B$33,0))))))/Skills!H6,1)))/Inputs!$B$44),G2011*Q2011))*IF(Inputs!$B$39="pvp",1,1+(Inputs!$B$21+0+Skills!P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Skills!E6=TRUE,Inputs!$B$33,0))))))/Skills!H6,1)))/Inputs!$B$44),G2011*Q2011))*IF(Inputs!$B$39="pvp",1,(1+(Inputs!$B$22+Skills!Q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IFERROR(1/IF(Inputs!$B$39="pvp",15,MAX(0.1,Skills!D7-IF(Skills!E7=TRUE,Inputs!$B$33,0))),0)</f>
        <v/>
      </c>
      <c r="R2012">
        <f>IF(AND(Inputs!$B$39&lt;&gt;"pvp",Inputs!$B$44&gt;0),IF(MAX(0,Inputs!$B$44-B2041)&lt;=0,0,(INT(MAX(0,Inputs!$B$44-B2041)/IF(Inputs!$B$39="pvp",15,MAX(0.1,Skills!D7-IF(Skills!E7=TRUE,Inputs!$B$33,0))))+1)),0)</f>
        <v/>
      </c>
      <c r="S2012">
        <f>IFERROR(O2012/N2012,0)</f>
        <v/>
      </c>
      <c r="T2012">
        <f>IF(C2012,(H2012*N2012*IF(AND(Inputs!$B$39&lt;&gt;"pvp",Inputs!$B$44&gt;0),((Skills!G7*((R2012-1)*IF(Skills!H7&gt;0,Skills!I7/Skills!H7,1)+IF(Skills!H7&gt;0,MIN(Skills!I7,MAX(0,MAX(0,Inputs!$B$44-B2041)-((R2012-1)*IF(Inputs!$B$39="pvp",15,MAX(0.1,Skills!D7-IF(Skills!E7=TRUE,Inputs!$B$33,0))))))/Skills!H7,1)))/Inputs!$B$44),G2012*Q2012))*IF(Inputs!$B$39="pvp",1,1+(Inputs!$B$21+0+Skills!P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Skills!E7=TRUE,Inputs!$B$33,0))))))/Skills!H7,1)))/Inputs!$B$44),G2012*Q2012))*IF(Inputs!$B$39="pvp",1,(1+(Inputs!$B$22+Skills!Q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IFERROR(1/IF(Inputs!$B$39="pvp",15,MAX(0.1,Skills!D9-IF(Skills!E9=TRUE,Inputs!$B$33,0))),0)</f>
        <v/>
      </c>
      <c r="R2014">
        <f>IF(AND(Inputs!$B$39&lt;&gt;"pvp",Inputs!$B$44&gt;0),IF(MAX(0,Inputs!$B$44-B2041)&lt;=0,0,(INT(MAX(0,Inputs!$B$44-B2041)/IF(Inputs!$B$39="pvp",15,MAX(0.1,Skills!D9-IF(Skills!E9=TRUE,Inputs!$B$33,0))))+1)),0)</f>
        <v/>
      </c>
      <c r="S2014">
        <f>IFERROR(O2014/N2014,0)</f>
        <v/>
      </c>
      <c r="T2014">
        <f>IF(C2014,(H2014*N2014*IF(AND(Inputs!$B$39&lt;&gt;"pvp",Inputs!$B$44&gt;0),((Skills!G9*((R2014-1)*IF(Skills!H9&gt;0,Skills!I9/Skills!H9,1)+IF(Skills!H9&gt;0,MIN(Skills!I9,MAX(0,MAX(0,Inputs!$B$44-B2041)-((R2014-1)*IF(Inputs!$B$39="pvp",15,MAX(0.1,Skills!D9-IF(Skills!E9=TRUE,Inputs!$B$33,0))))))/Skills!H9,1)))/Inputs!$B$44),G2014*Q2014))*IF(Inputs!$B$39="pvp",1,1+(Inputs!$B$21+0+Skills!P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Skills!E9=TRUE,Inputs!$B$33,0))))))/Skills!H9,1)))/Inputs!$B$44),G2014*Q2014))*IF(Inputs!$B$39="pvp",1,(1+(Inputs!$B$22+Skills!Q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IFERROR(1/IF(Inputs!$B$39="pvp",15,MAX(0.1,Skills!D10-IF(Skills!E10=TRUE,Inputs!$B$33,0))),0)</f>
        <v/>
      </c>
      <c r="R2015">
        <f>IF(AND(Inputs!$B$39&lt;&gt;"pvp",Inputs!$B$44&gt;0),IF(MAX(0,Inputs!$B$44-B2041)&lt;=0,0,(INT(MAX(0,Inputs!$B$44-B2041)/IF(Inputs!$B$39="pvp",15,MAX(0.1,Skills!D10-IF(Skills!E10=TRUE,Inputs!$B$33,0))))+1)),0)</f>
        <v/>
      </c>
      <c r="S2015">
        <f>IFERROR(O2015/N2015,0)</f>
        <v/>
      </c>
      <c r="T2015">
        <f>IF(C2015,(H2015*N2015*IF(AND(Inputs!$B$39&lt;&gt;"pvp",Inputs!$B$44&gt;0),((Skills!G10*((R2015-1)*IF(Skills!H10&gt;0,Skills!I10/Skills!H10,1)+IF(Skills!H10&gt;0,MIN(Skills!I10,MAX(0,MAX(0,Inputs!$B$44-B2041)-((R2015-1)*IF(Inputs!$B$39="pvp",15,MAX(0.1,Skills!D10-IF(Skills!E10=TRUE,Inputs!$B$33,0))))))/Skills!H10,1)))/Inputs!$B$44),G2015*Q2015))*IF(Inputs!$B$39="pvp",1,1+(Inputs!$B$21+0+Skills!P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Skills!E10=TRUE,Inputs!$B$33,0))))))/Skills!H10,1)))/Inputs!$B$44),G2015*Q2015))*IF(Inputs!$B$39="pvp",1,(1+(Inputs!$B$22+Skills!Q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IFERROR(1/IF(Inputs!$B$39="pvp",15,MAX(0.1,Skills!D12-IF(Skills!E12=TRUE,Inputs!$B$33,0))),0)</f>
        <v/>
      </c>
      <c r="R2017">
        <f>IF(AND(Inputs!$B$39&lt;&gt;"pvp",Inputs!$B$44&gt;0),IF(MAX(0,Inputs!$B$44-B2041)&lt;=0,0,(INT(MAX(0,Inputs!$B$44-B2041)/IF(Inputs!$B$39="pvp",15,MAX(0.1,Skills!D12-IF(Skills!E12=TRUE,Inputs!$B$33,0))))+1)),0)</f>
        <v/>
      </c>
      <c r="S2017">
        <f>IFERROR(O2017/N2017,0)</f>
        <v/>
      </c>
      <c r="T2017">
        <f>IF(C2017,(H2017*N2017*IF(AND(Inputs!$B$39&lt;&gt;"pvp",Inputs!$B$44&gt;0),((Skills!G12*((R2017-1)*IF(Skills!H12&gt;0,Skills!I12/Skills!H12,1)+IF(Skills!H12&gt;0,MIN(Skills!I12,MAX(0,MAX(0,Inputs!$B$44-B2041)-((R2017-1)*IF(Inputs!$B$39="pvp",15,MAX(0.1,Skills!D12-IF(Skills!E12=TRUE,Inputs!$B$33,0))))))/Skills!H12,1)))/Inputs!$B$44),G2017*Q2017))*IF(Inputs!$B$39="pvp",1,1+(Inputs!$B$21+0+Skills!P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Skills!E12=TRUE,Inputs!$B$33,0))))))/Skills!H12,1)))/Inputs!$B$44),G2017*Q2017))*IF(Inputs!$B$39="pvp",1,(1+(Inputs!$B$22+Skills!Q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IFERROR(1/IF(Inputs!$B$39="pvp",15,MAX(0.1,Skills!D13-IF(Skills!E13=TRUE,Inputs!$B$33,0))),0)</f>
        <v/>
      </c>
      <c r="R2018">
        <f>IF(AND(Inputs!$B$39&lt;&gt;"pvp",Inputs!$B$44&gt;0),IF(Inputs!$B$44&lt;=0,0,(INT(Inputs!$B$44/IF(Inputs!$B$39="pvp",15,MAX(0.1,Skills!D13-IF(Skills!E13=TRUE,Inputs!$B$33,0))))+1)),0)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IFERROR(1/IF(Inputs!$B$39="pvp",15,MAX(0.1,Skills!D14-IF(Skills!E14=TRUE,Inputs!$B$33,0))),0)</f>
        <v/>
      </c>
      <c r="R2019">
        <f>IF(AND(Inputs!$B$39&lt;&gt;"pvp",Inputs!$B$44&gt;0),IF(Inputs!$B$44&lt;=0,0,(INT(Inputs!$B$44/IF(Inputs!$B$39="pvp",15,MAX(0.1,Skills!D14-IF(Skills!E14=TRUE,Inputs!$B$33,0))))+1)),0)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IFERROR(1/IF(Inputs!$B$39="pvp",15,MAX(0.1,Skills!D15-IF(Skills!E15=TRUE,Inputs!$B$33,0))),0)</f>
        <v/>
      </c>
      <c r="R2020">
        <f>IF(AND(Inputs!$B$39&lt;&gt;"pvp",Inputs!$B$44&gt;0),IF(Inputs!$B$44&lt;=0,0,(INT(Inputs!$B$44/IF(Inputs!$B$39="pvp",15,MAX(0.1,Skills!D15-IF(Skills!E15=TRUE,Inputs!$B$33,0))))+1)),0)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IFERROR(1/IF(Inputs!$B$39="pvp",15,MAX(0.1,Skills!D16-IF(Skills!E16=TRUE,Inputs!$B$33,0))),0)</f>
        <v/>
      </c>
      <c r="R2021">
        <f>IF(AND(Inputs!$B$39&lt;&gt;"pvp",Inputs!$B$44&gt;0),IF(Inputs!$B$44&lt;=0,0,(INT(Inputs!$B$44/IF(Inputs!$B$39="pvp",15,MAX(0.1,Skills!D16-IF(Skills!E16=TRUE,Inputs!$B$33,0))))+1)),0)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IFERROR(1/IF(Inputs!$B$39="pvp",15,MAX(0.1,Skills!D17-IF(Skills!E17=TRUE,Inputs!$B$33,0))),0)</f>
        <v/>
      </c>
      <c r="R2022">
        <f>IF(AND(Inputs!$B$39&lt;&gt;"pvp",Inputs!$B$44&gt;0),IF(Inputs!$B$44&lt;=0,0,(INT(Inputs!$B$44/IF(Inputs!$B$39="pvp",15,MAX(0.1,Skills!D17-IF(Skills!E17=TRUE,Inputs!$B$33,0))))+1)),0)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IFERROR(1/IF(Inputs!$B$39="pvp",15,MAX(0.1,Skills!D18-IF(Skills!E18=TRUE,Inputs!$B$33,0))),0)</f>
        <v/>
      </c>
      <c r="R2023">
        <f>IF(AND(Inputs!$B$39&lt;&gt;"pvp",Inputs!$B$44&gt;0),IF(Inputs!$B$44&lt;=0,0,(INT(Inputs!$B$44/IF(Inputs!$B$39="pvp",15,MAX(0.1,Skills!D18-IF(Skills!E18=TRUE,Inputs!$B$33,0))))+1)),0)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IFERROR(1/IF(Inputs!$B$39="pvp",15,MAX(0.1,Skills!D19-IF(Skills!E19=TRUE,Inputs!$B$33,0))),0)</f>
        <v/>
      </c>
      <c r="R2024">
        <f>IF(AND(Inputs!$B$39&lt;&gt;"pvp",Inputs!$B$44&gt;0),IF(Inputs!$B$44&lt;=0,0,(INT(Inputs!$B$44/IF(Inputs!$B$39="pvp",15,MAX(0.1,Skills!D19-IF(Skills!E19=TRUE,Inputs!$B$33,0))))+1)),0)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IFERROR(1/IF(Inputs!$B$39="pvp",15,MAX(0.1,Skills!D20-IF(Skills!E20=TRUE,Inputs!$B$33,0))),0)</f>
        <v/>
      </c>
      <c r="R2025">
        <f>IF(AND(Inputs!$B$39&lt;&gt;"pvp",Inputs!$B$44&gt;0),IF(Inputs!$B$44&lt;=0,0,(INT(Inputs!$B$44/IF(Inputs!$B$39="pvp",15,MAX(0.1,Skills!D20-IF(Skills!E20=TRUE,Inputs!$B$33,0))))+1)),0)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Skills!T18*(1+Inputs!$B$35/100))+MIN((Skills!T18*(1+Inputs!$B$35/100)),MAX(0,Inputs!$B$44-((R2023-1)*Skills!D18))))/Inputs!$B$44),IF(Inputs!$B$39="pvp",MIN((Skills!T18*(1+Inputs!$B$35/100)),15)/15,(Skills!T18*(1+Inputs!$B$35/100))/Skills!D18)))</f>
        <v/>
      </c>
    </row>
    <row r="2035">
      <c r="A2035" t="inlineStr">
        <is>
          <t>Attack Speed Buff Bonus %</t>
        </is>
      </c>
      <c r="B2035">
        <f>((C2025=TRUE)*F2025*IF(AND(Inputs!$B$39&lt;&gt;"pvp",Inputs!$B$44&gt;0),(((R2025-1)*(Skills!T20*(1+Inputs!$B$35/100))+MIN((Skills!T20*(1+Inputs!$B$35/100)),MAX(0,Inputs!$B$44-((R2025-1)*Skills!D20))))/Inputs!$B$44),IF(Inputs!$B$39="pvp",MIN((Skills!T20*(1+Inputs!$B$35/100)),15)/15,(Skills!T20*(1+Inputs!$B$35/100))/Skills!D20)))</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Skills!T19*(1+Inputs!$B$35/100))+MIN((Skills!T19*(1+Inputs!$B$35/100)),MAX(0,Inputs!$B$44-((R2024-1)*Skills!D19))))/Inputs!$B$44),IF(Inputs!$B$39="pvp",MIN((Skills!T19*(1+Inputs!$B$35/100)),15)/15,(Skills!T19*(1+Inputs!$B$35/100))/Skills!D19)))</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IFERROR(1/IF(Inputs!$B$39="pvp",15,MAX(0.1,Skills!D5-IF(Skills!E5=TRUE,Inputs!$B$33,0))),0)</f>
        <v/>
      </c>
      <c r="R2052">
        <f>IF(AND(Inputs!$B$39&lt;&gt;"pvp",Inputs!$B$44&gt;0),IF(MAX(0,Inputs!$B$44-B2083)&lt;=0,0,(INT(MAX(0,Inputs!$B$44-B2083)/IF(Inputs!$B$39="pvp",15,MAX(0.1,Skills!D5-IF(Skills!E5=TRUE,Inputs!$B$33,0))))+1)),0)</f>
        <v/>
      </c>
      <c r="S2052">
        <f>IFERROR(O2052/N2052,0)</f>
        <v/>
      </c>
      <c r="T2052">
        <f>IF(C2052,(H2052*N2052*IF(AND(Inputs!$B$39&lt;&gt;"pvp",Inputs!$B$44&gt;0),((Skills!G5*((R2052-1)*IF(Skills!H5&gt;0,Skills!I5/Skills!H5,1)+IF(Skills!H5&gt;0,MIN(Skills!I5,MAX(0,MAX(0,Inputs!$B$44-B2083)-((R2052-1)*IF(Inputs!$B$39="pvp",15,MAX(0.1,Skills!D5-IF(Skills!E5=TRUE,Inputs!$B$33,0))))))/Skills!H5,1)))/Inputs!$B$44),G2052*Q2052))*IF(Inputs!$B$39="pvp",1,1+(Inputs!$B$21+0+Skills!P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Skills!E5=TRUE,Inputs!$B$33,0))))))/Skills!H5,1)))/Inputs!$B$44),G2052*Q2052))*IF(Inputs!$B$39="pvp",1,(1+(Inputs!$B$22+Skills!Q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IFERROR(1/IF(Inputs!$B$39="pvp",15,MAX(0.1,Skills!D6-IF(Skills!E6=TRUE,Inputs!$B$33,0))),0)</f>
        <v/>
      </c>
      <c r="R2053">
        <f>IF(AND(Inputs!$B$39&lt;&gt;"pvp",Inputs!$B$44&gt;0),IF(MAX(0,Inputs!$B$44-B2083)&lt;=0,0,(INT(MAX(0,Inputs!$B$44-B2083)/IF(Inputs!$B$39="pvp",15,MAX(0.1,Skills!D6-IF(Skills!E6=TRUE,Inputs!$B$33,0))))+1)),0)</f>
        <v/>
      </c>
      <c r="S2053">
        <f>IFERROR(O2053/N2053,0)</f>
        <v/>
      </c>
      <c r="T2053">
        <f>IF(C2053,(H2053*N2053*IF(AND(Inputs!$B$39&lt;&gt;"pvp",Inputs!$B$44&gt;0),((Skills!G6*((R2053-1)*IF(Skills!H6&gt;0,Skills!I6/Skills!H6,1)+IF(Skills!H6&gt;0,MIN(Skills!I6,MAX(0,MAX(0,Inputs!$B$44-B2083)-((R2053-1)*IF(Inputs!$B$39="pvp",15,MAX(0.1,Skills!D6-IF(Skills!E6=TRUE,Inputs!$B$33,0))))))/Skills!H6,1)))/Inputs!$B$44),G2053*Q2053))*IF(Inputs!$B$39="pvp",1,1+(Inputs!$B$21+0+Skills!P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Skills!E6=TRUE,Inputs!$B$33,0))))))/Skills!H6,1)))/Inputs!$B$44),G2053*Q2053))*IF(Inputs!$B$39="pvp",1,(1+(Inputs!$B$22+Skills!Q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IFERROR(1/IF(Inputs!$B$39="pvp",15,MAX(0.1,Skills!D7-IF(Skills!E7=TRUE,Inputs!$B$33,0))),0)</f>
        <v/>
      </c>
      <c r="R2054">
        <f>IF(AND(Inputs!$B$39&lt;&gt;"pvp",Inputs!$B$44&gt;0),IF(MAX(0,Inputs!$B$44-B2083)&lt;=0,0,(INT(MAX(0,Inputs!$B$44-B2083)/IF(Inputs!$B$39="pvp",15,MAX(0.1,Skills!D7-IF(Skills!E7=TRUE,Inputs!$B$33,0))))+1)),0)</f>
        <v/>
      </c>
      <c r="S2054">
        <f>IFERROR(O2054/N2054,0)</f>
        <v/>
      </c>
      <c r="T2054">
        <f>IF(C2054,(H2054*N2054*IF(AND(Inputs!$B$39&lt;&gt;"pvp",Inputs!$B$44&gt;0),((Skills!G7*((R2054-1)*IF(Skills!H7&gt;0,Skills!I7/Skills!H7,1)+IF(Skills!H7&gt;0,MIN(Skills!I7,MAX(0,MAX(0,Inputs!$B$44-B2083)-((R2054-1)*IF(Inputs!$B$39="pvp",15,MAX(0.1,Skills!D7-IF(Skills!E7=TRUE,Inputs!$B$33,0))))))/Skills!H7,1)))/Inputs!$B$44),G2054*Q2054))*IF(Inputs!$B$39="pvp",1,1+(Inputs!$B$21+0+Skills!P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Skills!E7=TRUE,Inputs!$B$33,0))))))/Skills!H7,1)))/Inputs!$B$44),G2054*Q2054))*IF(Inputs!$B$39="pvp",1,(1+(Inputs!$B$22+Skills!Q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IFERROR(1/IF(Inputs!$B$39="pvp",15,MAX(0.1,Skills!D9-IF(Skills!E9=TRUE,Inputs!$B$33,0))),0)</f>
        <v/>
      </c>
      <c r="R2056">
        <f>IF(AND(Inputs!$B$39&lt;&gt;"pvp",Inputs!$B$44&gt;0),IF(MAX(0,Inputs!$B$44-B2083)&lt;=0,0,(INT(MAX(0,Inputs!$B$44-B2083)/IF(Inputs!$B$39="pvp",15,MAX(0.1,Skills!D9-IF(Skills!E9=TRUE,Inputs!$B$33,0))))+1)),0)</f>
        <v/>
      </c>
      <c r="S2056">
        <f>IFERROR(O2056/N2056,0)</f>
        <v/>
      </c>
      <c r="T2056">
        <f>IF(C2056,(H2056*N2056*IF(AND(Inputs!$B$39&lt;&gt;"pvp",Inputs!$B$44&gt;0),((Skills!G9*((R2056-1)*IF(Skills!H9&gt;0,Skills!I9/Skills!H9,1)+IF(Skills!H9&gt;0,MIN(Skills!I9,MAX(0,MAX(0,Inputs!$B$44-B2083)-((R2056-1)*IF(Inputs!$B$39="pvp",15,MAX(0.1,Skills!D9-IF(Skills!E9=TRUE,Inputs!$B$33,0))))))/Skills!H9,1)))/Inputs!$B$44),G2056*Q2056))*IF(Inputs!$B$39="pvp",1,1+(Inputs!$B$21+0+Skills!P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Skills!E9=TRUE,Inputs!$B$33,0))))))/Skills!H9,1)))/Inputs!$B$44),G2056*Q2056))*IF(Inputs!$B$39="pvp",1,(1+(Inputs!$B$22+Skills!Q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IFERROR(1/IF(Inputs!$B$39="pvp",15,MAX(0.1,Skills!D10-IF(Skills!E10=TRUE,Inputs!$B$33,0))),0)</f>
        <v/>
      </c>
      <c r="R2057">
        <f>IF(AND(Inputs!$B$39&lt;&gt;"pvp",Inputs!$B$44&gt;0),IF(MAX(0,Inputs!$B$44-B2083)&lt;=0,0,(INT(MAX(0,Inputs!$B$44-B2083)/IF(Inputs!$B$39="pvp",15,MAX(0.1,Skills!D10-IF(Skills!E10=TRUE,Inputs!$B$33,0))))+1)),0)</f>
        <v/>
      </c>
      <c r="S2057">
        <f>IFERROR(O2057/N2057,0)</f>
        <v/>
      </c>
      <c r="T2057">
        <f>IF(C2057,(H2057*N2057*IF(AND(Inputs!$B$39&lt;&gt;"pvp",Inputs!$B$44&gt;0),((Skills!G10*((R2057-1)*IF(Skills!H10&gt;0,Skills!I10/Skills!H10,1)+IF(Skills!H10&gt;0,MIN(Skills!I10,MAX(0,MAX(0,Inputs!$B$44-B2083)-((R2057-1)*IF(Inputs!$B$39="pvp",15,MAX(0.1,Skills!D10-IF(Skills!E10=TRUE,Inputs!$B$33,0))))))/Skills!H10,1)))/Inputs!$B$44),G2057*Q2057))*IF(Inputs!$B$39="pvp",1,1+(Inputs!$B$21+0+Skills!P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Skills!E10=TRUE,Inputs!$B$33,0))))))/Skills!H10,1)))/Inputs!$B$44),G2057*Q2057))*IF(Inputs!$B$39="pvp",1,(1+(Inputs!$B$22+Skills!Q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IFERROR(1/IF(Inputs!$B$39="pvp",15,MAX(0.1,Skills!D12-IF(Skills!E12=TRUE,Inputs!$B$33,0))),0)</f>
        <v/>
      </c>
      <c r="R2059">
        <f>IF(AND(Inputs!$B$39&lt;&gt;"pvp",Inputs!$B$44&gt;0),IF(MAX(0,Inputs!$B$44-B2083)&lt;=0,0,(INT(MAX(0,Inputs!$B$44-B2083)/IF(Inputs!$B$39="pvp",15,MAX(0.1,Skills!D12-IF(Skills!E12=TRUE,Inputs!$B$33,0))))+1)),0)</f>
        <v/>
      </c>
      <c r="S2059">
        <f>IFERROR(O2059/N2059,0)</f>
        <v/>
      </c>
      <c r="T2059">
        <f>IF(C2059,(H2059*N2059*IF(AND(Inputs!$B$39&lt;&gt;"pvp",Inputs!$B$44&gt;0),((Skills!G12*((R2059-1)*IF(Skills!H12&gt;0,Skills!I12/Skills!H12,1)+IF(Skills!H12&gt;0,MIN(Skills!I12,MAX(0,MAX(0,Inputs!$B$44-B2083)-((R2059-1)*IF(Inputs!$B$39="pvp",15,MAX(0.1,Skills!D12-IF(Skills!E12=TRUE,Inputs!$B$33,0))))))/Skills!H12,1)))/Inputs!$B$44),G2059*Q2059))*IF(Inputs!$B$39="pvp",1,1+(Inputs!$B$21+0+Skills!P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Skills!E12=TRUE,Inputs!$B$33,0))))))/Skills!H12,1)))/Inputs!$B$44),G2059*Q2059))*IF(Inputs!$B$39="pvp",1,(1+(Inputs!$B$22+Skills!Q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IFERROR(1/IF(Inputs!$B$39="pvp",15,MAX(0.1,Skills!D13-IF(Skills!E13=TRUE,Inputs!$B$33,0))),0)</f>
        <v/>
      </c>
      <c r="R2060">
        <f>IF(AND(Inputs!$B$39&lt;&gt;"pvp",Inputs!$B$44&gt;0),IF(Inputs!$B$44&lt;=0,0,(INT(Inputs!$B$44/IF(Inputs!$B$39="pvp",15,MAX(0.1,Skills!D13-IF(Skills!E13=TRUE,Inputs!$B$33,0))))+1)),0)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IFERROR(1/IF(Inputs!$B$39="pvp",15,MAX(0.1,Skills!D14-IF(Skills!E14=TRUE,Inputs!$B$33,0))),0)</f>
        <v/>
      </c>
      <c r="R2061">
        <f>IF(AND(Inputs!$B$39&lt;&gt;"pvp",Inputs!$B$44&gt;0),IF(Inputs!$B$44&lt;=0,0,(INT(Inputs!$B$44/IF(Inputs!$B$39="pvp",15,MAX(0.1,Skills!D14-IF(Skills!E14=TRUE,Inputs!$B$33,0))))+1)),0)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IFERROR(1/IF(Inputs!$B$39="pvp",15,MAX(0.1,Skills!D15-IF(Skills!E15=TRUE,Inputs!$B$33,0))),0)</f>
        <v/>
      </c>
      <c r="R2062">
        <f>IF(AND(Inputs!$B$39&lt;&gt;"pvp",Inputs!$B$44&gt;0),IF(Inputs!$B$44&lt;=0,0,(INT(Inputs!$B$44/IF(Inputs!$B$39="pvp",15,MAX(0.1,Skills!D15-IF(Skills!E15=TRUE,Inputs!$B$33,0))))+1)),0)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IFERROR(1/IF(Inputs!$B$39="pvp",15,MAX(0.1,Skills!D16-IF(Skills!E16=TRUE,Inputs!$B$33,0))),0)</f>
        <v/>
      </c>
      <c r="R2063">
        <f>IF(AND(Inputs!$B$39&lt;&gt;"pvp",Inputs!$B$44&gt;0),IF(Inputs!$B$44&lt;=0,0,(INT(Inputs!$B$44/IF(Inputs!$B$39="pvp",15,MAX(0.1,Skills!D16-IF(Skills!E16=TRUE,Inputs!$B$33,0))))+1)),0)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IFERROR(1/IF(Inputs!$B$39="pvp",15,MAX(0.1,Skills!D17-IF(Skills!E17=TRUE,Inputs!$B$33,0))),0)</f>
        <v/>
      </c>
      <c r="R2064">
        <f>IF(AND(Inputs!$B$39&lt;&gt;"pvp",Inputs!$B$44&gt;0),IF(Inputs!$B$44&lt;=0,0,(INT(Inputs!$B$44/IF(Inputs!$B$39="pvp",15,MAX(0.1,Skills!D17-IF(Skills!E17=TRUE,Inputs!$B$33,0))))+1)),0)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IFERROR(1/IF(Inputs!$B$39="pvp",15,MAX(0.1,Skills!D18-IF(Skills!E18=TRUE,Inputs!$B$33,0))),0)</f>
        <v/>
      </c>
      <c r="R2065">
        <f>IF(AND(Inputs!$B$39&lt;&gt;"pvp",Inputs!$B$44&gt;0),IF(Inputs!$B$44&lt;=0,0,(INT(Inputs!$B$44/IF(Inputs!$B$39="pvp",15,MAX(0.1,Skills!D18-IF(Skills!E18=TRUE,Inputs!$B$33,0))))+1)),0)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IFERROR(1/IF(Inputs!$B$39="pvp",15,MAX(0.1,Skills!D19-IF(Skills!E19=TRUE,Inputs!$B$33,0))),0)</f>
        <v/>
      </c>
      <c r="R2066">
        <f>IF(AND(Inputs!$B$39&lt;&gt;"pvp",Inputs!$B$44&gt;0),IF(Inputs!$B$44&lt;=0,0,(INT(Inputs!$B$44/IF(Inputs!$B$39="pvp",15,MAX(0.1,Skills!D19-IF(Skills!E19=TRUE,Inputs!$B$33,0))))+1)),0)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IFERROR(1/IF(Inputs!$B$39="pvp",15,MAX(0.1,Skills!D20-IF(Skills!E20=TRUE,Inputs!$B$33,0))),0)</f>
        <v/>
      </c>
      <c r="R2067">
        <f>IF(AND(Inputs!$B$39&lt;&gt;"pvp",Inputs!$B$44&gt;0),IF(Inputs!$B$44&lt;=0,0,(INT(Inputs!$B$44/IF(Inputs!$B$39="pvp",15,MAX(0.1,Skills!D20-IF(Skills!E20=TRUE,Inputs!$B$33,0))))+1)),0)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Skills!T18*(1+Inputs!$B$35/100))+MIN((Skills!T18*(1+Inputs!$B$35/100)),MAX(0,Inputs!$B$44-((R2065-1)*Skills!D18))))/Inputs!$B$44),IF(Inputs!$B$39="pvp",MIN((Skills!T18*(1+Inputs!$B$35/100)),15)/15,(Skills!T18*(1+Inputs!$B$35/100))/Skills!D18)))</f>
        <v/>
      </c>
    </row>
    <row r="2077">
      <c r="A2077" t="inlineStr">
        <is>
          <t>Attack Speed Buff Bonus %</t>
        </is>
      </c>
      <c r="B2077">
        <f>((C2067=TRUE)*F2067*IF(AND(Inputs!$B$39&lt;&gt;"pvp",Inputs!$B$44&gt;0),(((R2067-1)*(Skills!T20*(1+Inputs!$B$35/100))+MIN((Skills!T20*(1+Inputs!$B$35/100)),MAX(0,Inputs!$B$44-((R2067-1)*Skills!D20))))/Inputs!$B$44),IF(Inputs!$B$39="pvp",MIN((Skills!T20*(1+Inputs!$B$35/100)),15)/15,(Skills!T20*(1+Inputs!$B$35/100))/Skills!D20)))</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Skills!T19*(1+Inputs!$B$35/100))+MIN((Skills!T19*(1+Inputs!$B$35/100)),MAX(0,Inputs!$B$44-((R2066-1)*Skills!D19))))/Inputs!$B$44),IF(Inputs!$B$39="pvp",MIN((Skills!T19*(1+Inputs!$B$35/100)),15)/15,(Skills!T19*(1+Inputs!$B$35/100))/Skills!D19)))</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IFERROR(1/IF(Inputs!$B$39="pvp",15,MAX(0.1,Skills!D5-IF(Skills!E5=TRUE,Inputs!$B$33,0))),0)</f>
        <v/>
      </c>
      <c r="R2094">
        <f>IF(AND(Inputs!$B$39&lt;&gt;"pvp",Inputs!$B$44&gt;0),IF(MAX(0,Inputs!$B$44-B2125)&lt;=0,0,(INT(MAX(0,Inputs!$B$44-B2125)/IF(Inputs!$B$39="pvp",15,MAX(0.1,Skills!D5-IF(Skills!E5=TRUE,Inputs!$B$33,0))))+1)),0)</f>
        <v/>
      </c>
      <c r="S2094">
        <f>IFERROR(O2094/N2094,0)</f>
        <v/>
      </c>
      <c r="T2094">
        <f>IF(C2094,(H2094*N2094*IF(AND(Inputs!$B$39&lt;&gt;"pvp",Inputs!$B$44&gt;0),((Skills!G5*((R2094-1)*IF(Skills!H5&gt;0,Skills!I5/Skills!H5,1)+IF(Skills!H5&gt;0,MIN(Skills!I5,MAX(0,MAX(0,Inputs!$B$44-B2125)-((R2094-1)*IF(Inputs!$B$39="pvp",15,MAX(0.1,Skills!D5-IF(Skills!E5=TRUE,Inputs!$B$33,0))))))/Skills!H5,1)))/Inputs!$B$44),G2094*Q2094))*IF(Inputs!$B$39="pvp",1,1+(Inputs!$B$21+0+Skills!P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Skills!E5=TRUE,Inputs!$B$33,0))))))/Skills!H5,1)))/Inputs!$B$44),G2094*Q2094))*IF(Inputs!$B$39="pvp",1,(1+(Inputs!$B$22+Skills!Q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IFERROR(1/IF(Inputs!$B$39="pvp",15,MAX(0.1,Skills!D6-IF(Skills!E6=TRUE,Inputs!$B$33,0))),0)</f>
        <v/>
      </c>
      <c r="R2095">
        <f>IF(AND(Inputs!$B$39&lt;&gt;"pvp",Inputs!$B$44&gt;0),IF(MAX(0,Inputs!$B$44-B2125)&lt;=0,0,(INT(MAX(0,Inputs!$B$44-B2125)/IF(Inputs!$B$39="pvp",15,MAX(0.1,Skills!D6-IF(Skills!E6=TRUE,Inputs!$B$33,0))))+1)),0)</f>
        <v/>
      </c>
      <c r="S2095">
        <f>IFERROR(O2095/N2095,0)</f>
        <v/>
      </c>
      <c r="T2095">
        <f>IF(C2095,(H2095*N2095*IF(AND(Inputs!$B$39&lt;&gt;"pvp",Inputs!$B$44&gt;0),((Skills!G6*((R2095-1)*IF(Skills!H6&gt;0,Skills!I6/Skills!H6,1)+IF(Skills!H6&gt;0,MIN(Skills!I6,MAX(0,MAX(0,Inputs!$B$44-B2125)-((R2095-1)*IF(Inputs!$B$39="pvp",15,MAX(0.1,Skills!D6-IF(Skills!E6=TRUE,Inputs!$B$33,0))))))/Skills!H6,1)))/Inputs!$B$44),G2095*Q2095))*IF(Inputs!$B$39="pvp",1,1+(Inputs!$B$21+0+Skills!P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Skills!E6=TRUE,Inputs!$B$33,0))))))/Skills!H6,1)))/Inputs!$B$44),G2095*Q2095))*IF(Inputs!$B$39="pvp",1,(1+(Inputs!$B$22+Skills!Q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IFERROR(1/IF(Inputs!$B$39="pvp",15,MAX(0.1,Skills!D7-IF(Skills!E7=TRUE,Inputs!$B$33,0))),0)</f>
        <v/>
      </c>
      <c r="R2096">
        <f>IF(AND(Inputs!$B$39&lt;&gt;"pvp",Inputs!$B$44&gt;0),IF(MAX(0,Inputs!$B$44-B2125)&lt;=0,0,(INT(MAX(0,Inputs!$B$44-B2125)/IF(Inputs!$B$39="pvp",15,MAX(0.1,Skills!D7-IF(Skills!E7=TRUE,Inputs!$B$33,0))))+1)),0)</f>
        <v/>
      </c>
      <c r="S2096">
        <f>IFERROR(O2096/N2096,0)</f>
        <v/>
      </c>
      <c r="T2096">
        <f>IF(C2096,(H2096*N2096*IF(AND(Inputs!$B$39&lt;&gt;"pvp",Inputs!$B$44&gt;0),((Skills!G7*((R2096-1)*IF(Skills!H7&gt;0,Skills!I7/Skills!H7,1)+IF(Skills!H7&gt;0,MIN(Skills!I7,MAX(0,MAX(0,Inputs!$B$44-B2125)-((R2096-1)*IF(Inputs!$B$39="pvp",15,MAX(0.1,Skills!D7-IF(Skills!E7=TRUE,Inputs!$B$33,0))))))/Skills!H7,1)))/Inputs!$B$44),G2096*Q2096))*IF(Inputs!$B$39="pvp",1,1+(Inputs!$B$21+0+Skills!P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Skills!E7=TRUE,Inputs!$B$33,0))))))/Skills!H7,1)))/Inputs!$B$44),G2096*Q2096))*IF(Inputs!$B$39="pvp",1,(1+(Inputs!$B$22+Skills!Q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IFERROR(1/IF(Inputs!$B$39="pvp",15,MAX(0.1,Skills!D9-IF(Skills!E9=TRUE,Inputs!$B$33,0))),0)</f>
        <v/>
      </c>
      <c r="R2098">
        <f>IF(AND(Inputs!$B$39&lt;&gt;"pvp",Inputs!$B$44&gt;0),IF(MAX(0,Inputs!$B$44-B2125)&lt;=0,0,(INT(MAX(0,Inputs!$B$44-B2125)/IF(Inputs!$B$39="pvp",15,MAX(0.1,Skills!D9-IF(Skills!E9=TRUE,Inputs!$B$33,0))))+1)),0)</f>
        <v/>
      </c>
      <c r="S2098">
        <f>IFERROR(O2098/N2098,0)</f>
        <v/>
      </c>
      <c r="T2098">
        <f>IF(C2098,(H2098*N2098*IF(AND(Inputs!$B$39&lt;&gt;"pvp",Inputs!$B$44&gt;0),((Skills!G9*((R2098-1)*IF(Skills!H9&gt;0,Skills!I9/Skills!H9,1)+IF(Skills!H9&gt;0,MIN(Skills!I9,MAX(0,MAX(0,Inputs!$B$44-B2125)-((R2098-1)*IF(Inputs!$B$39="pvp",15,MAX(0.1,Skills!D9-IF(Skills!E9=TRUE,Inputs!$B$33,0))))))/Skills!H9,1)))/Inputs!$B$44),G2098*Q2098))*IF(Inputs!$B$39="pvp",1,1+(Inputs!$B$21+0+Skills!P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Skills!E9=TRUE,Inputs!$B$33,0))))))/Skills!H9,1)))/Inputs!$B$44),G2098*Q2098))*IF(Inputs!$B$39="pvp",1,(1+(Inputs!$B$22+Skills!Q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IFERROR(1/IF(Inputs!$B$39="pvp",15,MAX(0.1,Skills!D10-IF(Skills!E10=TRUE,Inputs!$B$33,0))),0)</f>
        <v/>
      </c>
      <c r="R2099">
        <f>IF(AND(Inputs!$B$39&lt;&gt;"pvp",Inputs!$B$44&gt;0),IF(MAX(0,Inputs!$B$44-B2125)&lt;=0,0,(INT(MAX(0,Inputs!$B$44-B2125)/IF(Inputs!$B$39="pvp",15,MAX(0.1,Skills!D10-IF(Skills!E10=TRUE,Inputs!$B$33,0))))+1)),0)</f>
        <v/>
      </c>
      <c r="S2099">
        <f>IFERROR(O2099/N2099,0)</f>
        <v/>
      </c>
      <c r="T2099">
        <f>IF(C2099,(H2099*N2099*IF(AND(Inputs!$B$39&lt;&gt;"pvp",Inputs!$B$44&gt;0),((Skills!G10*((R2099-1)*IF(Skills!H10&gt;0,Skills!I10/Skills!H10,1)+IF(Skills!H10&gt;0,MIN(Skills!I10,MAX(0,MAX(0,Inputs!$B$44-B2125)-((R2099-1)*IF(Inputs!$B$39="pvp",15,MAX(0.1,Skills!D10-IF(Skills!E10=TRUE,Inputs!$B$33,0))))))/Skills!H10,1)))/Inputs!$B$44),G2099*Q2099))*IF(Inputs!$B$39="pvp",1,1+(Inputs!$B$21+0+Skills!P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Skills!E10=TRUE,Inputs!$B$33,0))))))/Skills!H10,1)))/Inputs!$B$44),G2099*Q2099))*IF(Inputs!$B$39="pvp",1,(1+(Inputs!$B$22+Skills!Q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IFERROR(1/IF(Inputs!$B$39="pvp",15,MAX(0.1,Skills!D12-IF(Skills!E12=TRUE,Inputs!$B$33,0))),0)</f>
        <v/>
      </c>
      <c r="R2101">
        <f>IF(AND(Inputs!$B$39&lt;&gt;"pvp",Inputs!$B$44&gt;0),IF(MAX(0,Inputs!$B$44-B2125)&lt;=0,0,(INT(MAX(0,Inputs!$B$44-B2125)/IF(Inputs!$B$39="pvp",15,MAX(0.1,Skills!D12-IF(Skills!E12=TRUE,Inputs!$B$33,0))))+1)),0)</f>
        <v/>
      </c>
      <c r="S2101">
        <f>IFERROR(O2101/N2101,0)</f>
        <v/>
      </c>
      <c r="T2101">
        <f>IF(C2101,(H2101*N2101*IF(AND(Inputs!$B$39&lt;&gt;"pvp",Inputs!$B$44&gt;0),((Skills!G12*((R2101-1)*IF(Skills!H12&gt;0,Skills!I12/Skills!H12,1)+IF(Skills!H12&gt;0,MIN(Skills!I12,MAX(0,MAX(0,Inputs!$B$44-B2125)-((R2101-1)*IF(Inputs!$B$39="pvp",15,MAX(0.1,Skills!D12-IF(Skills!E12=TRUE,Inputs!$B$33,0))))))/Skills!H12,1)))/Inputs!$B$44),G2101*Q2101))*IF(Inputs!$B$39="pvp",1,1+(Inputs!$B$21+0+Skills!P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Skills!E12=TRUE,Inputs!$B$33,0))))))/Skills!H12,1)))/Inputs!$B$44),G2101*Q2101))*IF(Inputs!$B$39="pvp",1,(1+(Inputs!$B$22+Skills!Q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IFERROR(1/IF(Inputs!$B$39="pvp",15,MAX(0.1,Skills!D13-IF(Skills!E13=TRUE,Inputs!$B$33,0))),0)</f>
        <v/>
      </c>
      <c r="R2102">
        <f>IF(AND(Inputs!$B$39&lt;&gt;"pvp",Inputs!$B$44&gt;0),IF(Inputs!$B$44&lt;=0,0,(INT(Inputs!$B$44/IF(Inputs!$B$39="pvp",15,MAX(0.1,Skills!D13-IF(Skills!E13=TRUE,Inputs!$B$33,0))))+1)),0)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IFERROR(1/IF(Inputs!$B$39="pvp",15,MAX(0.1,Skills!D14-IF(Skills!E14=TRUE,Inputs!$B$33,0))),0)</f>
        <v/>
      </c>
      <c r="R2103">
        <f>IF(AND(Inputs!$B$39&lt;&gt;"pvp",Inputs!$B$44&gt;0),IF(Inputs!$B$44&lt;=0,0,(INT(Inputs!$B$44/IF(Inputs!$B$39="pvp",15,MAX(0.1,Skills!D14-IF(Skills!E14=TRUE,Inputs!$B$33,0))))+1)),0)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IFERROR(1/IF(Inputs!$B$39="pvp",15,MAX(0.1,Skills!D15-IF(Skills!E15=TRUE,Inputs!$B$33,0))),0)</f>
        <v/>
      </c>
      <c r="R2104">
        <f>IF(AND(Inputs!$B$39&lt;&gt;"pvp",Inputs!$B$44&gt;0),IF(Inputs!$B$44&lt;=0,0,(INT(Inputs!$B$44/IF(Inputs!$B$39="pvp",15,MAX(0.1,Skills!D15-IF(Skills!E15=TRUE,Inputs!$B$33,0))))+1)),0)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IFERROR(1/IF(Inputs!$B$39="pvp",15,MAX(0.1,Skills!D16-IF(Skills!E16=TRUE,Inputs!$B$33,0))),0)</f>
        <v/>
      </c>
      <c r="R2105">
        <f>IF(AND(Inputs!$B$39&lt;&gt;"pvp",Inputs!$B$44&gt;0),IF(Inputs!$B$44&lt;=0,0,(INT(Inputs!$B$44/IF(Inputs!$B$39="pvp",15,MAX(0.1,Skills!D16-IF(Skills!E16=TRUE,Inputs!$B$33,0))))+1)),0)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IFERROR(1/IF(Inputs!$B$39="pvp",15,MAX(0.1,Skills!D17-IF(Skills!E17=TRUE,Inputs!$B$33,0))),0)</f>
        <v/>
      </c>
      <c r="R2106">
        <f>IF(AND(Inputs!$B$39&lt;&gt;"pvp",Inputs!$B$44&gt;0),IF(Inputs!$B$44&lt;=0,0,(INT(Inputs!$B$44/IF(Inputs!$B$39="pvp",15,MAX(0.1,Skills!D17-IF(Skills!E17=TRUE,Inputs!$B$33,0))))+1)),0)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IFERROR(1/IF(Inputs!$B$39="pvp",15,MAX(0.1,Skills!D18-IF(Skills!E18=TRUE,Inputs!$B$33,0))),0)</f>
        <v/>
      </c>
      <c r="R2107">
        <f>IF(AND(Inputs!$B$39&lt;&gt;"pvp",Inputs!$B$44&gt;0),IF(Inputs!$B$44&lt;=0,0,(INT(Inputs!$B$44/IF(Inputs!$B$39="pvp",15,MAX(0.1,Skills!D18-IF(Skills!E18=TRUE,Inputs!$B$33,0))))+1)),0)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IFERROR(1/IF(Inputs!$B$39="pvp",15,MAX(0.1,Skills!D19-IF(Skills!E19=TRUE,Inputs!$B$33,0))),0)</f>
        <v/>
      </c>
      <c r="R2108">
        <f>IF(AND(Inputs!$B$39&lt;&gt;"pvp",Inputs!$B$44&gt;0),IF(Inputs!$B$44&lt;=0,0,(INT(Inputs!$B$44/IF(Inputs!$B$39="pvp",15,MAX(0.1,Skills!D19-IF(Skills!E19=TRUE,Inputs!$B$33,0))))+1)),0)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IFERROR(1/IF(Inputs!$B$39="pvp",15,MAX(0.1,Skills!D20-IF(Skills!E20=TRUE,Inputs!$B$33,0))),0)</f>
        <v/>
      </c>
      <c r="R2109">
        <f>IF(AND(Inputs!$B$39&lt;&gt;"pvp",Inputs!$B$44&gt;0),IF(Inputs!$B$44&lt;=0,0,(INT(Inputs!$B$44/IF(Inputs!$B$39="pvp",15,MAX(0.1,Skills!D20-IF(Skills!E20=TRUE,Inputs!$B$33,0))))+1)),0)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Skills!T18*(1+Inputs!$B$35/100))+MIN((Skills!T18*(1+Inputs!$B$35/100)),MAX(0,Inputs!$B$44-((R2107-1)*Skills!D18))))/Inputs!$B$44),IF(Inputs!$B$39="pvp",MIN((Skills!T18*(1+Inputs!$B$35/100)),15)/15,(Skills!T18*(1+Inputs!$B$35/100))/Skills!D18)))</f>
        <v/>
      </c>
    </row>
    <row r="2119">
      <c r="A2119" t="inlineStr">
        <is>
          <t>Attack Speed Buff Bonus %</t>
        </is>
      </c>
      <c r="B2119">
        <f>((C2109=TRUE)*F2109*IF(AND(Inputs!$B$39&lt;&gt;"pvp",Inputs!$B$44&gt;0),(((R2109-1)*(Skills!T20*(1+Inputs!$B$35/100))+MIN((Skills!T20*(1+Inputs!$B$35/100)),MAX(0,Inputs!$B$44-((R2109-1)*Skills!D20))))/Inputs!$B$44),IF(Inputs!$B$39="pvp",MIN((Skills!T20*(1+Inputs!$B$35/100)),15)/15,(Skills!T20*(1+Inputs!$B$35/100))/Skills!D20)))</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Skills!T19*(1+Inputs!$B$35/100))+MIN((Skills!T19*(1+Inputs!$B$35/100)),MAX(0,Inputs!$B$44-((R2108-1)*Skills!D19))))/Inputs!$B$44),IF(Inputs!$B$39="pvp",MIN((Skills!T19*(1+Inputs!$B$35/100)),15)/15,(Skills!T19*(1+Inputs!$B$35/100))/Skills!D19)))</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IFERROR(1/IF(Inputs!$B$39="pvp",15,MAX(0.1,Skills!D5-IF(Skills!E5=TRUE,Inputs!$B$33,0))),0)</f>
        <v/>
      </c>
      <c r="R2136">
        <f>IF(AND(Inputs!$B$39&lt;&gt;"pvp",Inputs!$B$44&gt;0),IF(MAX(0,Inputs!$B$44-B2167)&lt;=0,0,(INT(MAX(0,Inputs!$B$44-B2167)/IF(Inputs!$B$39="pvp",15,MAX(0.1,Skills!D5-IF(Skills!E5=TRUE,Inputs!$B$33,0))))+1)),0)</f>
        <v/>
      </c>
      <c r="S2136">
        <f>IFERROR(O2136/N2136,0)</f>
        <v/>
      </c>
      <c r="T2136">
        <f>IF(C2136,(H2136*N2136*IF(AND(Inputs!$B$39&lt;&gt;"pvp",Inputs!$B$44&gt;0),((Skills!G5*((R2136-1)*IF(Skills!H5&gt;0,Skills!I5/Skills!H5,1)+IF(Skills!H5&gt;0,MIN(Skills!I5,MAX(0,MAX(0,Inputs!$B$44-B2167)-((R2136-1)*IF(Inputs!$B$39="pvp",15,MAX(0.1,Skills!D5-IF(Skills!E5=TRUE,Inputs!$B$33,0))))))/Skills!H5,1)))/Inputs!$B$44),G2136*Q2136))*IF(Inputs!$B$39="pvp",1,1+(Inputs!$B$21+0+Skills!P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Skills!E5=TRUE,Inputs!$B$33,0))))))/Skills!H5,1)))/Inputs!$B$44),G2136*Q2136))*IF(Inputs!$B$39="pvp",1,(1+(Inputs!$B$22+Skills!Q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IFERROR(1/IF(Inputs!$B$39="pvp",15,MAX(0.1,Skills!D6-IF(Skills!E6=TRUE,Inputs!$B$33,0))),0)</f>
        <v/>
      </c>
      <c r="R2137">
        <f>IF(AND(Inputs!$B$39&lt;&gt;"pvp",Inputs!$B$44&gt;0),IF(MAX(0,Inputs!$B$44-B2167)&lt;=0,0,(INT(MAX(0,Inputs!$B$44-B2167)/IF(Inputs!$B$39="pvp",15,MAX(0.1,Skills!D6-IF(Skills!E6=TRUE,Inputs!$B$33,0))))+1)),0)</f>
        <v/>
      </c>
      <c r="S2137">
        <f>IFERROR(O2137/N2137,0)</f>
        <v/>
      </c>
      <c r="T2137">
        <f>IF(C2137,(H2137*N2137*IF(AND(Inputs!$B$39&lt;&gt;"pvp",Inputs!$B$44&gt;0),((Skills!G6*((R2137-1)*IF(Skills!H6&gt;0,Skills!I6/Skills!H6,1)+IF(Skills!H6&gt;0,MIN(Skills!I6,MAX(0,MAX(0,Inputs!$B$44-B2167)-((R2137-1)*IF(Inputs!$B$39="pvp",15,MAX(0.1,Skills!D6-IF(Skills!E6=TRUE,Inputs!$B$33,0))))))/Skills!H6,1)))/Inputs!$B$44),G2137*Q2137))*IF(Inputs!$B$39="pvp",1,1+(Inputs!$B$21+0+Skills!P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Skills!E6=TRUE,Inputs!$B$33,0))))))/Skills!H6,1)))/Inputs!$B$44),G2137*Q2137))*IF(Inputs!$B$39="pvp",1,(1+(Inputs!$B$22+Skills!Q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IFERROR(1/IF(Inputs!$B$39="pvp",15,MAX(0.1,Skills!D7-IF(Skills!E7=TRUE,Inputs!$B$33,0))),0)</f>
        <v/>
      </c>
      <c r="R2138">
        <f>IF(AND(Inputs!$B$39&lt;&gt;"pvp",Inputs!$B$44&gt;0),IF(MAX(0,Inputs!$B$44-B2167)&lt;=0,0,(INT(MAX(0,Inputs!$B$44-B2167)/IF(Inputs!$B$39="pvp",15,MAX(0.1,Skills!D7-IF(Skills!E7=TRUE,Inputs!$B$33,0))))+1)),0)</f>
        <v/>
      </c>
      <c r="S2138">
        <f>IFERROR(O2138/N2138,0)</f>
        <v/>
      </c>
      <c r="T2138">
        <f>IF(C2138,(H2138*N2138*IF(AND(Inputs!$B$39&lt;&gt;"pvp",Inputs!$B$44&gt;0),((Skills!G7*((R2138-1)*IF(Skills!H7&gt;0,Skills!I7/Skills!H7,1)+IF(Skills!H7&gt;0,MIN(Skills!I7,MAX(0,MAX(0,Inputs!$B$44-B2167)-((R2138-1)*IF(Inputs!$B$39="pvp",15,MAX(0.1,Skills!D7-IF(Skills!E7=TRUE,Inputs!$B$33,0))))))/Skills!H7,1)))/Inputs!$B$44),G2138*Q2138))*IF(Inputs!$B$39="pvp",1,1+(Inputs!$B$21+0+Skills!P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Skills!E7=TRUE,Inputs!$B$33,0))))))/Skills!H7,1)))/Inputs!$B$44),G2138*Q2138))*IF(Inputs!$B$39="pvp",1,(1+(Inputs!$B$22+Skills!Q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IFERROR(1/IF(Inputs!$B$39="pvp",15,MAX(0.1,Skills!D9-IF(Skills!E9=TRUE,Inputs!$B$33,0))),0)</f>
        <v/>
      </c>
      <c r="R2140">
        <f>IF(AND(Inputs!$B$39&lt;&gt;"pvp",Inputs!$B$44&gt;0),IF(MAX(0,Inputs!$B$44-B2167)&lt;=0,0,(INT(MAX(0,Inputs!$B$44-B2167)/IF(Inputs!$B$39="pvp",15,MAX(0.1,Skills!D9-IF(Skills!E9=TRUE,Inputs!$B$33,0))))+1)),0)</f>
        <v/>
      </c>
      <c r="S2140">
        <f>IFERROR(O2140/N2140,0)</f>
        <v/>
      </c>
      <c r="T2140">
        <f>IF(C2140,(H2140*N2140*IF(AND(Inputs!$B$39&lt;&gt;"pvp",Inputs!$B$44&gt;0),((Skills!G9*((R2140-1)*IF(Skills!H9&gt;0,Skills!I9/Skills!H9,1)+IF(Skills!H9&gt;0,MIN(Skills!I9,MAX(0,MAX(0,Inputs!$B$44-B2167)-((R2140-1)*IF(Inputs!$B$39="pvp",15,MAX(0.1,Skills!D9-IF(Skills!E9=TRUE,Inputs!$B$33,0))))))/Skills!H9,1)))/Inputs!$B$44),G2140*Q2140))*IF(Inputs!$B$39="pvp",1,1+(Inputs!$B$21+0+Skills!P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Skills!E9=TRUE,Inputs!$B$33,0))))))/Skills!H9,1)))/Inputs!$B$44),G2140*Q2140))*IF(Inputs!$B$39="pvp",1,(1+(Inputs!$B$22+Skills!Q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IFERROR(1/IF(Inputs!$B$39="pvp",15,MAX(0.1,Skills!D10-IF(Skills!E10=TRUE,Inputs!$B$33,0))),0)</f>
        <v/>
      </c>
      <c r="R2141">
        <f>IF(AND(Inputs!$B$39&lt;&gt;"pvp",Inputs!$B$44&gt;0),IF(MAX(0,Inputs!$B$44-B2167)&lt;=0,0,(INT(MAX(0,Inputs!$B$44-B2167)/IF(Inputs!$B$39="pvp",15,MAX(0.1,Skills!D10-IF(Skills!E10=TRUE,Inputs!$B$33,0))))+1)),0)</f>
        <v/>
      </c>
      <c r="S2141">
        <f>IFERROR(O2141/N2141,0)</f>
        <v/>
      </c>
      <c r="T2141">
        <f>IF(C2141,(H2141*N2141*IF(AND(Inputs!$B$39&lt;&gt;"pvp",Inputs!$B$44&gt;0),((Skills!G10*((R2141-1)*IF(Skills!H10&gt;0,Skills!I10/Skills!H10,1)+IF(Skills!H10&gt;0,MIN(Skills!I10,MAX(0,MAX(0,Inputs!$B$44-B2167)-((R2141-1)*IF(Inputs!$B$39="pvp",15,MAX(0.1,Skills!D10-IF(Skills!E10=TRUE,Inputs!$B$33,0))))))/Skills!H10,1)))/Inputs!$B$44),G2141*Q2141))*IF(Inputs!$B$39="pvp",1,1+(Inputs!$B$21+0+Skills!P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Skills!E10=TRUE,Inputs!$B$33,0))))))/Skills!H10,1)))/Inputs!$B$44),G2141*Q2141))*IF(Inputs!$B$39="pvp",1,(1+(Inputs!$B$22+Skills!Q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IFERROR(1/IF(Inputs!$B$39="pvp",15,MAX(0.1,Skills!D12-IF(Skills!E12=TRUE,Inputs!$B$33,0))),0)</f>
        <v/>
      </c>
      <c r="R2143">
        <f>IF(AND(Inputs!$B$39&lt;&gt;"pvp",Inputs!$B$44&gt;0),IF(MAX(0,Inputs!$B$44-B2167)&lt;=0,0,(INT(MAX(0,Inputs!$B$44-B2167)/IF(Inputs!$B$39="pvp",15,MAX(0.1,Skills!D12-IF(Skills!E12=TRUE,Inputs!$B$33,0))))+1)),0)</f>
        <v/>
      </c>
      <c r="S2143">
        <f>IFERROR(O2143/N2143,0)</f>
        <v/>
      </c>
      <c r="T2143">
        <f>IF(C2143,(H2143*N2143*IF(AND(Inputs!$B$39&lt;&gt;"pvp",Inputs!$B$44&gt;0),((Skills!G12*((R2143-1)*IF(Skills!H12&gt;0,Skills!I12/Skills!H12,1)+IF(Skills!H12&gt;0,MIN(Skills!I12,MAX(0,MAX(0,Inputs!$B$44-B2167)-((R2143-1)*IF(Inputs!$B$39="pvp",15,MAX(0.1,Skills!D12-IF(Skills!E12=TRUE,Inputs!$B$33,0))))))/Skills!H12,1)))/Inputs!$B$44),G2143*Q2143))*IF(Inputs!$B$39="pvp",1,1+(Inputs!$B$21+0+Skills!P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Skills!E12=TRUE,Inputs!$B$33,0))))))/Skills!H12,1)))/Inputs!$B$44),G2143*Q2143))*IF(Inputs!$B$39="pvp",1,(1+(Inputs!$B$22+Skills!Q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IFERROR(1/IF(Inputs!$B$39="pvp",15,MAX(0.1,Skills!D13-IF(Skills!E13=TRUE,Inputs!$B$33,0))),0)</f>
        <v/>
      </c>
      <c r="R2144">
        <f>IF(AND(Inputs!$B$39&lt;&gt;"pvp",Inputs!$B$44&gt;0),IF(Inputs!$B$44&lt;=0,0,(INT(Inputs!$B$44/IF(Inputs!$B$39="pvp",15,MAX(0.1,Skills!D13-IF(Skills!E13=TRUE,Inputs!$B$33,0))))+1)),0)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IFERROR(1/IF(Inputs!$B$39="pvp",15,MAX(0.1,Skills!D14-IF(Skills!E14=TRUE,Inputs!$B$33,0))),0)</f>
        <v/>
      </c>
      <c r="R2145">
        <f>IF(AND(Inputs!$B$39&lt;&gt;"pvp",Inputs!$B$44&gt;0),IF(Inputs!$B$44&lt;=0,0,(INT(Inputs!$B$44/IF(Inputs!$B$39="pvp",15,MAX(0.1,Skills!D14-IF(Skills!E14=TRUE,Inputs!$B$33,0))))+1)),0)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IFERROR(1/IF(Inputs!$B$39="pvp",15,MAX(0.1,Skills!D15-IF(Skills!E15=TRUE,Inputs!$B$33,0))),0)</f>
        <v/>
      </c>
      <c r="R2146">
        <f>IF(AND(Inputs!$B$39&lt;&gt;"pvp",Inputs!$B$44&gt;0),IF(Inputs!$B$44&lt;=0,0,(INT(Inputs!$B$44/IF(Inputs!$B$39="pvp",15,MAX(0.1,Skills!D15-IF(Skills!E15=TRUE,Inputs!$B$33,0))))+1)),0)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IFERROR(1/IF(Inputs!$B$39="pvp",15,MAX(0.1,Skills!D16-IF(Skills!E16=TRUE,Inputs!$B$33,0))),0)</f>
        <v/>
      </c>
      <c r="R2147">
        <f>IF(AND(Inputs!$B$39&lt;&gt;"pvp",Inputs!$B$44&gt;0),IF(Inputs!$B$44&lt;=0,0,(INT(Inputs!$B$44/IF(Inputs!$B$39="pvp",15,MAX(0.1,Skills!D16-IF(Skills!E16=TRUE,Inputs!$B$33,0))))+1)),0)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IFERROR(1/IF(Inputs!$B$39="pvp",15,MAX(0.1,Skills!D17-IF(Skills!E17=TRUE,Inputs!$B$33,0))),0)</f>
        <v/>
      </c>
      <c r="R2148">
        <f>IF(AND(Inputs!$B$39&lt;&gt;"pvp",Inputs!$B$44&gt;0),IF(Inputs!$B$44&lt;=0,0,(INT(Inputs!$B$44/IF(Inputs!$B$39="pvp",15,MAX(0.1,Skills!D17-IF(Skills!E17=TRUE,Inputs!$B$33,0))))+1)),0)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IFERROR(1/IF(Inputs!$B$39="pvp",15,MAX(0.1,Skills!D18-IF(Skills!E18=TRUE,Inputs!$B$33,0))),0)</f>
        <v/>
      </c>
      <c r="R2149">
        <f>IF(AND(Inputs!$B$39&lt;&gt;"pvp",Inputs!$B$44&gt;0),IF(Inputs!$B$44&lt;=0,0,(INT(Inputs!$B$44/IF(Inputs!$B$39="pvp",15,MAX(0.1,Skills!D18-IF(Skills!E18=TRUE,Inputs!$B$33,0))))+1)),0)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IFERROR(1/IF(Inputs!$B$39="pvp",15,MAX(0.1,Skills!D19-IF(Skills!E19=TRUE,Inputs!$B$33,0))),0)</f>
        <v/>
      </c>
      <c r="R2150">
        <f>IF(AND(Inputs!$B$39&lt;&gt;"pvp",Inputs!$B$44&gt;0),IF(Inputs!$B$44&lt;=0,0,(INT(Inputs!$B$44/IF(Inputs!$B$39="pvp",15,MAX(0.1,Skills!D19-IF(Skills!E19=TRUE,Inputs!$B$33,0))))+1)),0)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IFERROR(1/IF(Inputs!$B$39="pvp",15,MAX(0.1,Skills!D20-IF(Skills!E20=TRUE,Inputs!$B$33,0))),0)</f>
        <v/>
      </c>
      <c r="R2151">
        <f>IF(AND(Inputs!$B$39&lt;&gt;"pvp",Inputs!$B$44&gt;0),IF(Inputs!$B$44&lt;=0,0,(INT(Inputs!$B$44/IF(Inputs!$B$39="pvp",15,MAX(0.1,Skills!D20-IF(Skills!E20=TRUE,Inputs!$B$33,0))))+1)),0)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Skills!T18*(1+Inputs!$B$35/100))+MIN((Skills!T18*(1+Inputs!$B$35/100)),MAX(0,Inputs!$B$44-((R2149-1)*Skills!D18))))/Inputs!$B$44),IF(Inputs!$B$39="pvp",MIN((Skills!T18*(1+Inputs!$B$35/100)),15)/15,(Skills!T18*(1+Inputs!$B$35/100))/Skills!D18)))</f>
        <v/>
      </c>
    </row>
    <row r="2161">
      <c r="A2161" t="inlineStr">
        <is>
          <t>Attack Speed Buff Bonus %</t>
        </is>
      </c>
      <c r="B2161">
        <f>((C2151=TRUE)*F2151*IF(AND(Inputs!$B$39&lt;&gt;"pvp",Inputs!$B$44&gt;0),(((R2151-1)*(Skills!T20*(1+Inputs!$B$35/100))+MIN((Skills!T20*(1+Inputs!$B$35/100)),MAX(0,Inputs!$B$44-((R2151-1)*Skills!D20))))/Inputs!$B$44),IF(Inputs!$B$39="pvp",MIN((Skills!T20*(1+Inputs!$B$35/100)),15)/15,(Skills!T20*(1+Inputs!$B$35/100))/Skills!D20)))</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Skills!T19*(1+Inputs!$B$35/100))+MIN((Skills!T19*(1+Inputs!$B$35/100)),MAX(0,Inputs!$B$44-((R2150-1)*Skills!D19))))/Inputs!$B$44),IF(Inputs!$B$39="pvp",MIN((Skills!T19*(1+Inputs!$B$35/100)),15)/15,(Skills!T19*(1+Inputs!$B$35/100))/Skills!D19)))</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IFERROR(1/IF(Inputs!$B$39="pvp",15,MAX(0.1,Skills!D5-IF(Skills!E5=TRUE,Inputs!$B$33,0))),0)</f>
        <v/>
      </c>
      <c r="R2178">
        <f>IF(AND(Inputs!$B$39&lt;&gt;"pvp",Inputs!$B$44&gt;0),IF(MAX(0,Inputs!$B$44-B2209)&lt;=0,0,(INT(MAX(0,Inputs!$B$44-B2209)/IF(Inputs!$B$39="pvp",15,MAX(0.1,Skills!D5-IF(Skills!E5=TRUE,Inputs!$B$33,0))))+1)),0)</f>
        <v/>
      </c>
      <c r="S2178">
        <f>IFERROR(O2178/N2178,0)</f>
        <v/>
      </c>
      <c r="T2178">
        <f>IF(C2178,(H2178*N2178*IF(AND(Inputs!$B$39&lt;&gt;"pvp",Inputs!$B$44&gt;0),((Skills!G5*((R2178-1)*IF(Skills!H5&gt;0,Skills!I5/Skills!H5,1)+IF(Skills!H5&gt;0,MIN(Skills!I5,MAX(0,MAX(0,Inputs!$B$44-B2209)-((R2178-1)*IF(Inputs!$B$39="pvp",15,MAX(0.1,Skills!D5-IF(Skills!E5=TRUE,Inputs!$B$33,0))))))/Skills!H5,1)))/Inputs!$B$44),G2178*Q2178))*IF(Inputs!$B$39="pvp",1,1+(Inputs!$B$21+0+Skills!P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Skills!E5=TRUE,Inputs!$B$33,0))))))/Skills!H5,1)))/Inputs!$B$44),G2178*Q2178))*IF(Inputs!$B$39="pvp",1,(1+(Inputs!$B$22+Skills!Q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IFERROR(1/IF(Inputs!$B$39="pvp",15,MAX(0.1,Skills!D6-IF(Skills!E6=TRUE,Inputs!$B$33,0))),0)</f>
        <v/>
      </c>
      <c r="R2179">
        <f>IF(AND(Inputs!$B$39&lt;&gt;"pvp",Inputs!$B$44&gt;0),IF(MAX(0,Inputs!$B$44-B2209)&lt;=0,0,(INT(MAX(0,Inputs!$B$44-B2209)/IF(Inputs!$B$39="pvp",15,MAX(0.1,Skills!D6-IF(Skills!E6=TRUE,Inputs!$B$33,0))))+1)),0)</f>
        <v/>
      </c>
      <c r="S2179">
        <f>IFERROR(O2179/N2179,0)</f>
        <v/>
      </c>
      <c r="T2179">
        <f>IF(C2179,(H2179*N2179*IF(AND(Inputs!$B$39&lt;&gt;"pvp",Inputs!$B$44&gt;0),((Skills!G6*((R2179-1)*IF(Skills!H6&gt;0,Skills!I6/Skills!H6,1)+IF(Skills!H6&gt;0,MIN(Skills!I6,MAX(0,MAX(0,Inputs!$B$44-B2209)-((R2179-1)*IF(Inputs!$B$39="pvp",15,MAX(0.1,Skills!D6-IF(Skills!E6=TRUE,Inputs!$B$33,0))))))/Skills!H6,1)))/Inputs!$B$44),G2179*Q2179))*IF(Inputs!$B$39="pvp",1,1+(Inputs!$B$21+0+Skills!P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Skills!E6=TRUE,Inputs!$B$33,0))))))/Skills!H6,1)))/Inputs!$B$44),G2179*Q2179))*IF(Inputs!$B$39="pvp",1,(1+(Inputs!$B$22+Skills!Q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IFERROR(1/IF(Inputs!$B$39="pvp",15,MAX(0.1,Skills!D7-IF(Skills!E7=TRUE,Inputs!$B$33,0))),0)</f>
        <v/>
      </c>
      <c r="R2180">
        <f>IF(AND(Inputs!$B$39&lt;&gt;"pvp",Inputs!$B$44&gt;0),IF(MAX(0,Inputs!$B$44-B2209)&lt;=0,0,(INT(MAX(0,Inputs!$B$44-B2209)/IF(Inputs!$B$39="pvp",15,MAX(0.1,Skills!D7-IF(Skills!E7=TRUE,Inputs!$B$33,0))))+1)),0)</f>
        <v/>
      </c>
      <c r="S2180">
        <f>IFERROR(O2180/N2180,0)</f>
        <v/>
      </c>
      <c r="T2180">
        <f>IF(C2180,(H2180*N2180*IF(AND(Inputs!$B$39&lt;&gt;"pvp",Inputs!$B$44&gt;0),((Skills!G7*((R2180-1)*IF(Skills!H7&gt;0,Skills!I7/Skills!H7,1)+IF(Skills!H7&gt;0,MIN(Skills!I7,MAX(0,MAX(0,Inputs!$B$44-B2209)-((R2180-1)*IF(Inputs!$B$39="pvp",15,MAX(0.1,Skills!D7-IF(Skills!E7=TRUE,Inputs!$B$33,0))))))/Skills!H7,1)))/Inputs!$B$44),G2180*Q2180))*IF(Inputs!$B$39="pvp",1,1+(Inputs!$B$21+0+Skills!P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Skills!E7=TRUE,Inputs!$B$33,0))))))/Skills!H7,1)))/Inputs!$B$44),G2180*Q2180))*IF(Inputs!$B$39="pvp",1,(1+(Inputs!$B$22+Skills!Q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IFERROR(1/IF(Inputs!$B$39="pvp",15,MAX(0.1,Skills!D9-IF(Skills!E9=TRUE,Inputs!$B$33,0))),0)</f>
        <v/>
      </c>
      <c r="R2182">
        <f>IF(AND(Inputs!$B$39&lt;&gt;"pvp",Inputs!$B$44&gt;0),IF(MAX(0,Inputs!$B$44-B2209)&lt;=0,0,(INT(MAX(0,Inputs!$B$44-B2209)/IF(Inputs!$B$39="pvp",15,MAX(0.1,Skills!D9-IF(Skills!E9=TRUE,Inputs!$B$33,0))))+1)),0)</f>
        <v/>
      </c>
      <c r="S2182">
        <f>IFERROR(O2182/N2182,0)</f>
        <v/>
      </c>
      <c r="T2182">
        <f>IF(C2182,(H2182*N2182*IF(AND(Inputs!$B$39&lt;&gt;"pvp",Inputs!$B$44&gt;0),((Skills!G9*((R2182-1)*IF(Skills!H9&gt;0,Skills!I9/Skills!H9,1)+IF(Skills!H9&gt;0,MIN(Skills!I9,MAX(0,MAX(0,Inputs!$B$44-B2209)-((R2182-1)*IF(Inputs!$B$39="pvp",15,MAX(0.1,Skills!D9-IF(Skills!E9=TRUE,Inputs!$B$33,0))))))/Skills!H9,1)))/Inputs!$B$44),G2182*Q2182))*IF(Inputs!$B$39="pvp",1,1+(Inputs!$B$21+0+Skills!P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Skills!E9=TRUE,Inputs!$B$33,0))))))/Skills!H9,1)))/Inputs!$B$44),G2182*Q2182))*IF(Inputs!$B$39="pvp",1,(1+(Inputs!$B$22+Skills!Q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IFERROR(1/IF(Inputs!$B$39="pvp",15,MAX(0.1,Skills!D10-IF(Skills!E10=TRUE,Inputs!$B$33,0))),0)</f>
        <v/>
      </c>
      <c r="R2183">
        <f>IF(AND(Inputs!$B$39&lt;&gt;"pvp",Inputs!$B$44&gt;0),IF(MAX(0,Inputs!$B$44-B2209)&lt;=0,0,(INT(MAX(0,Inputs!$B$44-B2209)/IF(Inputs!$B$39="pvp",15,MAX(0.1,Skills!D10-IF(Skills!E10=TRUE,Inputs!$B$33,0))))+1)),0)</f>
        <v/>
      </c>
      <c r="S2183">
        <f>IFERROR(O2183/N2183,0)</f>
        <v/>
      </c>
      <c r="T2183">
        <f>IF(C2183,(H2183*N2183*IF(AND(Inputs!$B$39&lt;&gt;"pvp",Inputs!$B$44&gt;0),((Skills!G10*((R2183-1)*IF(Skills!H10&gt;0,Skills!I10/Skills!H10,1)+IF(Skills!H10&gt;0,MIN(Skills!I10,MAX(0,MAX(0,Inputs!$B$44-B2209)-((R2183-1)*IF(Inputs!$B$39="pvp",15,MAX(0.1,Skills!D10-IF(Skills!E10=TRUE,Inputs!$B$33,0))))))/Skills!H10,1)))/Inputs!$B$44),G2183*Q2183))*IF(Inputs!$B$39="pvp",1,1+(Inputs!$B$21+0+Skills!P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Skills!E10=TRUE,Inputs!$B$33,0))))))/Skills!H10,1)))/Inputs!$B$44),G2183*Q2183))*IF(Inputs!$B$39="pvp",1,(1+(Inputs!$B$22+Skills!Q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IFERROR(1/IF(Inputs!$B$39="pvp",15,MAX(0.1,Skills!D12-IF(Skills!E12=TRUE,Inputs!$B$33,0))),0)</f>
        <v/>
      </c>
      <c r="R2185">
        <f>IF(AND(Inputs!$B$39&lt;&gt;"pvp",Inputs!$B$44&gt;0),IF(MAX(0,Inputs!$B$44-B2209)&lt;=0,0,(INT(MAX(0,Inputs!$B$44-B2209)/IF(Inputs!$B$39="pvp",15,MAX(0.1,Skills!D12-IF(Skills!E12=TRUE,Inputs!$B$33,0))))+1)),0)</f>
        <v/>
      </c>
      <c r="S2185">
        <f>IFERROR(O2185/N2185,0)</f>
        <v/>
      </c>
      <c r="T2185">
        <f>IF(C2185,(H2185*N2185*IF(AND(Inputs!$B$39&lt;&gt;"pvp",Inputs!$B$44&gt;0),((Skills!G12*((R2185-1)*IF(Skills!H12&gt;0,Skills!I12/Skills!H12,1)+IF(Skills!H12&gt;0,MIN(Skills!I12,MAX(0,MAX(0,Inputs!$B$44-B2209)-((R2185-1)*IF(Inputs!$B$39="pvp",15,MAX(0.1,Skills!D12-IF(Skills!E12=TRUE,Inputs!$B$33,0))))))/Skills!H12,1)))/Inputs!$B$44),G2185*Q2185))*IF(Inputs!$B$39="pvp",1,1+(Inputs!$B$21+0+Skills!P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Skills!E12=TRUE,Inputs!$B$33,0))))))/Skills!H12,1)))/Inputs!$B$44),G2185*Q2185))*IF(Inputs!$B$39="pvp",1,(1+(Inputs!$B$22+Skills!Q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IFERROR(1/IF(Inputs!$B$39="pvp",15,MAX(0.1,Skills!D13-IF(Skills!E13=TRUE,Inputs!$B$33,0))),0)</f>
        <v/>
      </c>
      <c r="R2186">
        <f>IF(AND(Inputs!$B$39&lt;&gt;"pvp",Inputs!$B$44&gt;0),IF(Inputs!$B$44&lt;=0,0,(INT(Inputs!$B$44/IF(Inputs!$B$39="pvp",15,MAX(0.1,Skills!D13-IF(Skills!E13=TRUE,Inputs!$B$33,0))))+1)),0)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IFERROR(1/IF(Inputs!$B$39="pvp",15,MAX(0.1,Skills!D14-IF(Skills!E14=TRUE,Inputs!$B$33,0))),0)</f>
        <v/>
      </c>
      <c r="R2187">
        <f>IF(AND(Inputs!$B$39&lt;&gt;"pvp",Inputs!$B$44&gt;0),IF(Inputs!$B$44&lt;=0,0,(INT(Inputs!$B$44/IF(Inputs!$B$39="pvp",15,MAX(0.1,Skills!D14-IF(Skills!E14=TRUE,Inputs!$B$33,0))))+1)),0)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IFERROR(1/IF(Inputs!$B$39="pvp",15,MAX(0.1,Skills!D15-IF(Skills!E15=TRUE,Inputs!$B$33,0))),0)</f>
        <v/>
      </c>
      <c r="R2188">
        <f>IF(AND(Inputs!$B$39&lt;&gt;"pvp",Inputs!$B$44&gt;0),IF(Inputs!$B$44&lt;=0,0,(INT(Inputs!$B$44/IF(Inputs!$B$39="pvp",15,MAX(0.1,Skills!D15-IF(Skills!E15=TRUE,Inputs!$B$33,0))))+1)),0)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IFERROR(1/IF(Inputs!$B$39="pvp",15,MAX(0.1,Skills!D16-IF(Skills!E16=TRUE,Inputs!$B$33,0))),0)</f>
        <v/>
      </c>
      <c r="R2189">
        <f>IF(AND(Inputs!$B$39&lt;&gt;"pvp",Inputs!$B$44&gt;0),IF(Inputs!$B$44&lt;=0,0,(INT(Inputs!$B$44/IF(Inputs!$B$39="pvp",15,MAX(0.1,Skills!D16-IF(Skills!E16=TRUE,Inputs!$B$33,0))))+1)),0)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IFERROR(1/IF(Inputs!$B$39="pvp",15,MAX(0.1,Skills!D17-IF(Skills!E17=TRUE,Inputs!$B$33,0))),0)</f>
        <v/>
      </c>
      <c r="R2190">
        <f>IF(AND(Inputs!$B$39&lt;&gt;"pvp",Inputs!$B$44&gt;0),IF(Inputs!$B$44&lt;=0,0,(INT(Inputs!$B$44/IF(Inputs!$B$39="pvp",15,MAX(0.1,Skills!D17-IF(Skills!E17=TRUE,Inputs!$B$33,0))))+1)),0)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IFERROR(1/IF(Inputs!$B$39="pvp",15,MAX(0.1,Skills!D18-IF(Skills!E18=TRUE,Inputs!$B$33,0))),0)</f>
        <v/>
      </c>
      <c r="R2191">
        <f>IF(AND(Inputs!$B$39&lt;&gt;"pvp",Inputs!$B$44&gt;0),IF(Inputs!$B$44&lt;=0,0,(INT(Inputs!$B$44/IF(Inputs!$B$39="pvp",15,MAX(0.1,Skills!D18-IF(Skills!E18=TRUE,Inputs!$B$33,0))))+1)),0)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IFERROR(1/IF(Inputs!$B$39="pvp",15,MAX(0.1,Skills!D19-IF(Skills!E19=TRUE,Inputs!$B$33,0))),0)</f>
        <v/>
      </c>
      <c r="R2192">
        <f>IF(AND(Inputs!$B$39&lt;&gt;"pvp",Inputs!$B$44&gt;0),IF(Inputs!$B$44&lt;=0,0,(INT(Inputs!$B$44/IF(Inputs!$B$39="pvp",15,MAX(0.1,Skills!D19-IF(Skills!E19=TRUE,Inputs!$B$33,0))))+1)),0)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IFERROR(1/IF(Inputs!$B$39="pvp",15,MAX(0.1,Skills!D20-IF(Skills!E20=TRUE,Inputs!$B$33,0))),0)</f>
        <v/>
      </c>
      <c r="R2193">
        <f>IF(AND(Inputs!$B$39&lt;&gt;"pvp",Inputs!$B$44&gt;0),IF(Inputs!$B$44&lt;=0,0,(INT(Inputs!$B$44/IF(Inputs!$B$39="pvp",15,MAX(0.1,Skills!D20-IF(Skills!E20=TRUE,Inputs!$B$33,0))))+1)),0)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Skills!T18*(1+Inputs!$B$35/100))+MIN((Skills!T18*(1+Inputs!$B$35/100)),MAX(0,Inputs!$B$44-((R2191-1)*Skills!D18))))/Inputs!$B$44),IF(Inputs!$B$39="pvp",MIN((Skills!T18*(1+Inputs!$B$35/100)),15)/15,(Skills!T18*(1+Inputs!$B$35/100))/Skills!D18)))</f>
        <v/>
      </c>
    </row>
    <row r="2203">
      <c r="A2203" t="inlineStr">
        <is>
          <t>Attack Speed Buff Bonus %</t>
        </is>
      </c>
      <c r="B2203">
        <f>((C2193=TRUE)*F2193*IF(AND(Inputs!$B$39&lt;&gt;"pvp",Inputs!$B$44&gt;0),(((R2193-1)*(Skills!T20*(1+Inputs!$B$35/100))+MIN((Skills!T20*(1+Inputs!$B$35/100)),MAX(0,Inputs!$B$44-((R2193-1)*Skills!D20))))/Inputs!$B$44),IF(Inputs!$B$39="pvp",MIN((Skills!T20*(1+Inputs!$B$35/100)),15)/15,(Skills!T20*(1+Inputs!$B$35/100))/Skills!D20)))</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Skills!T19*(1+Inputs!$B$35/100))+MIN((Skills!T19*(1+Inputs!$B$35/100)),MAX(0,Inputs!$B$44-((R2192-1)*Skills!D19))))/Inputs!$B$44),IF(Inputs!$B$39="pvp",MIN((Skills!T19*(1+Inputs!$B$35/100)),15)/15,(Skills!T19*(1+Inputs!$B$35/100))/Skills!D19)))</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IFERROR(1/IF(Inputs!$B$39="pvp",15,MAX(0.1,Skills!D5-IF(Skills!E5=TRUE,Inputs!$B$33,0))),0)</f>
        <v/>
      </c>
      <c r="R2220">
        <f>IF(AND(Inputs!$B$39&lt;&gt;"pvp",Inputs!$B$44&gt;0),IF(MAX(0,Inputs!$B$44-B2251)&lt;=0,0,(INT(MAX(0,Inputs!$B$44-B2251)/IF(Inputs!$B$39="pvp",15,MAX(0.1,Skills!D5-IF(Skills!E5=TRUE,Inputs!$B$33,0))))+1)),0)</f>
        <v/>
      </c>
      <c r="S2220">
        <f>IFERROR(O2220/N2220,0)</f>
        <v/>
      </c>
      <c r="T2220">
        <f>IF(C2220,(H2220*N2220*IF(AND(Inputs!$B$39&lt;&gt;"pvp",Inputs!$B$44&gt;0),((Skills!G5*((R2220-1)*IF(Skills!H5&gt;0,Skills!I5/Skills!H5,1)+IF(Skills!H5&gt;0,MIN(Skills!I5,MAX(0,MAX(0,Inputs!$B$44-B2251)-((R2220-1)*IF(Inputs!$B$39="pvp",15,MAX(0.1,Skills!D5-IF(Skills!E5=TRUE,Inputs!$B$33,0))))))/Skills!H5,1)))/Inputs!$B$44),G2220*Q2220))*IF(Inputs!$B$39="pvp",1,1+(Inputs!$B$21+0+Skills!P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Skills!E5=TRUE,Inputs!$B$33,0))))))/Skills!H5,1)))/Inputs!$B$44),G2220*Q2220))*IF(Inputs!$B$39="pvp",1,(1+(Inputs!$B$22+Skills!Q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IFERROR(1/IF(Inputs!$B$39="pvp",15,MAX(0.1,Skills!D6-IF(Skills!E6=TRUE,Inputs!$B$33,0))),0)</f>
        <v/>
      </c>
      <c r="R2221">
        <f>IF(AND(Inputs!$B$39&lt;&gt;"pvp",Inputs!$B$44&gt;0),IF(MAX(0,Inputs!$B$44-B2251)&lt;=0,0,(INT(MAX(0,Inputs!$B$44-B2251)/IF(Inputs!$B$39="pvp",15,MAX(0.1,Skills!D6-IF(Skills!E6=TRUE,Inputs!$B$33,0))))+1)),0)</f>
        <v/>
      </c>
      <c r="S2221">
        <f>IFERROR(O2221/N2221,0)</f>
        <v/>
      </c>
      <c r="T2221">
        <f>IF(C2221,(H2221*N2221*IF(AND(Inputs!$B$39&lt;&gt;"pvp",Inputs!$B$44&gt;0),((Skills!G6*((R2221-1)*IF(Skills!H6&gt;0,Skills!I6/Skills!H6,1)+IF(Skills!H6&gt;0,MIN(Skills!I6,MAX(0,MAX(0,Inputs!$B$44-B2251)-((R2221-1)*IF(Inputs!$B$39="pvp",15,MAX(0.1,Skills!D6-IF(Skills!E6=TRUE,Inputs!$B$33,0))))))/Skills!H6,1)))/Inputs!$B$44),G2221*Q2221))*IF(Inputs!$B$39="pvp",1,1+(Inputs!$B$21+0+Skills!P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Skills!E6=TRUE,Inputs!$B$33,0))))))/Skills!H6,1)))/Inputs!$B$44),G2221*Q2221))*IF(Inputs!$B$39="pvp",1,(1+(Inputs!$B$22+Skills!Q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IFERROR(1/IF(Inputs!$B$39="pvp",15,MAX(0.1,Skills!D7-IF(Skills!E7=TRUE,Inputs!$B$33,0))),0)</f>
        <v/>
      </c>
      <c r="R2222">
        <f>IF(AND(Inputs!$B$39&lt;&gt;"pvp",Inputs!$B$44&gt;0),IF(MAX(0,Inputs!$B$44-B2251)&lt;=0,0,(INT(MAX(0,Inputs!$B$44-B2251)/IF(Inputs!$B$39="pvp",15,MAX(0.1,Skills!D7-IF(Skills!E7=TRUE,Inputs!$B$33,0))))+1)),0)</f>
        <v/>
      </c>
      <c r="S2222">
        <f>IFERROR(O2222/N2222,0)</f>
        <v/>
      </c>
      <c r="T2222">
        <f>IF(C2222,(H2222*N2222*IF(AND(Inputs!$B$39&lt;&gt;"pvp",Inputs!$B$44&gt;0),((Skills!G7*((R2222-1)*IF(Skills!H7&gt;0,Skills!I7/Skills!H7,1)+IF(Skills!H7&gt;0,MIN(Skills!I7,MAX(0,MAX(0,Inputs!$B$44-B2251)-((R2222-1)*IF(Inputs!$B$39="pvp",15,MAX(0.1,Skills!D7-IF(Skills!E7=TRUE,Inputs!$B$33,0))))))/Skills!H7,1)))/Inputs!$B$44),G2222*Q2222))*IF(Inputs!$B$39="pvp",1,1+(Inputs!$B$21+0+Skills!P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Skills!E7=TRUE,Inputs!$B$33,0))))))/Skills!H7,1)))/Inputs!$B$44),G2222*Q2222))*IF(Inputs!$B$39="pvp",1,(1+(Inputs!$B$22+Skills!Q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IFERROR(1/IF(Inputs!$B$39="pvp",15,MAX(0.1,Skills!D9-IF(Skills!E9=TRUE,Inputs!$B$33,0))),0)</f>
        <v/>
      </c>
      <c r="R2224">
        <f>IF(AND(Inputs!$B$39&lt;&gt;"pvp",Inputs!$B$44&gt;0),IF(MAX(0,Inputs!$B$44-B2251)&lt;=0,0,(INT(MAX(0,Inputs!$B$44-B2251)/IF(Inputs!$B$39="pvp",15,MAX(0.1,Skills!D9-IF(Skills!E9=TRUE,Inputs!$B$33,0))))+1)),0)</f>
        <v/>
      </c>
      <c r="S2224">
        <f>IFERROR(O2224/N2224,0)</f>
        <v/>
      </c>
      <c r="T2224">
        <f>IF(C2224,(H2224*N2224*IF(AND(Inputs!$B$39&lt;&gt;"pvp",Inputs!$B$44&gt;0),((Skills!G9*((R2224-1)*IF(Skills!H9&gt;0,Skills!I9/Skills!H9,1)+IF(Skills!H9&gt;0,MIN(Skills!I9,MAX(0,MAX(0,Inputs!$B$44-B2251)-((R2224-1)*IF(Inputs!$B$39="pvp",15,MAX(0.1,Skills!D9-IF(Skills!E9=TRUE,Inputs!$B$33,0))))))/Skills!H9,1)))/Inputs!$B$44),G2224*Q2224))*IF(Inputs!$B$39="pvp",1,1+(Inputs!$B$21+0+Skills!P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Skills!E9=TRUE,Inputs!$B$33,0))))))/Skills!H9,1)))/Inputs!$B$44),G2224*Q2224))*IF(Inputs!$B$39="pvp",1,(1+(Inputs!$B$22+Skills!Q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IFERROR(1/IF(Inputs!$B$39="pvp",15,MAX(0.1,Skills!D10-IF(Skills!E10=TRUE,Inputs!$B$33,0))),0)</f>
        <v/>
      </c>
      <c r="R2225">
        <f>IF(AND(Inputs!$B$39&lt;&gt;"pvp",Inputs!$B$44&gt;0),IF(MAX(0,Inputs!$B$44-B2251)&lt;=0,0,(INT(MAX(0,Inputs!$B$44-B2251)/IF(Inputs!$B$39="pvp",15,MAX(0.1,Skills!D10-IF(Skills!E10=TRUE,Inputs!$B$33,0))))+1)),0)</f>
        <v/>
      </c>
      <c r="S2225">
        <f>IFERROR(O2225/N2225,0)</f>
        <v/>
      </c>
      <c r="T2225">
        <f>IF(C2225,(H2225*N2225*IF(AND(Inputs!$B$39&lt;&gt;"pvp",Inputs!$B$44&gt;0),((Skills!G10*((R2225-1)*IF(Skills!H10&gt;0,Skills!I10/Skills!H10,1)+IF(Skills!H10&gt;0,MIN(Skills!I10,MAX(0,MAX(0,Inputs!$B$44-B2251)-((R2225-1)*IF(Inputs!$B$39="pvp",15,MAX(0.1,Skills!D10-IF(Skills!E10=TRUE,Inputs!$B$33,0))))))/Skills!H10,1)))/Inputs!$B$44),G2225*Q2225))*IF(Inputs!$B$39="pvp",1,1+(Inputs!$B$21+0+Skills!P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Skills!E10=TRUE,Inputs!$B$33,0))))))/Skills!H10,1)))/Inputs!$B$44),G2225*Q2225))*IF(Inputs!$B$39="pvp",1,(1+(Inputs!$B$22+Skills!Q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IFERROR(1/IF(Inputs!$B$39="pvp",15,MAX(0.1,Skills!D12-IF(Skills!E12=TRUE,Inputs!$B$33,0))),0)</f>
        <v/>
      </c>
      <c r="R2227">
        <f>IF(AND(Inputs!$B$39&lt;&gt;"pvp",Inputs!$B$44&gt;0),IF(MAX(0,Inputs!$B$44-B2251)&lt;=0,0,(INT(MAX(0,Inputs!$B$44-B2251)/IF(Inputs!$B$39="pvp",15,MAX(0.1,Skills!D12-IF(Skills!E12=TRUE,Inputs!$B$33,0))))+1)),0)</f>
        <v/>
      </c>
      <c r="S2227">
        <f>IFERROR(O2227/N2227,0)</f>
        <v/>
      </c>
      <c r="T2227">
        <f>IF(C2227,(H2227*N2227*IF(AND(Inputs!$B$39&lt;&gt;"pvp",Inputs!$B$44&gt;0),((Skills!G12*((R2227-1)*IF(Skills!H12&gt;0,Skills!I12/Skills!H12,1)+IF(Skills!H12&gt;0,MIN(Skills!I12,MAX(0,MAX(0,Inputs!$B$44-B2251)-((R2227-1)*IF(Inputs!$B$39="pvp",15,MAX(0.1,Skills!D12-IF(Skills!E12=TRUE,Inputs!$B$33,0))))))/Skills!H12,1)))/Inputs!$B$44),G2227*Q2227))*IF(Inputs!$B$39="pvp",1,1+(Inputs!$B$21+0+Skills!P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Skills!E12=TRUE,Inputs!$B$33,0))))))/Skills!H12,1)))/Inputs!$B$44),G2227*Q2227))*IF(Inputs!$B$39="pvp",1,(1+(Inputs!$B$22+Skills!Q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IFERROR(1/IF(Inputs!$B$39="pvp",15,MAX(0.1,Skills!D13-IF(Skills!E13=TRUE,Inputs!$B$33,0))),0)</f>
        <v/>
      </c>
      <c r="R2228">
        <f>IF(AND(Inputs!$B$39&lt;&gt;"pvp",Inputs!$B$44&gt;0),IF(Inputs!$B$44&lt;=0,0,(INT(Inputs!$B$44/IF(Inputs!$B$39="pvp",15,MAX(0.1,Skills!D13-IF(Skills!E13=TRUE,Inputs!$B$33,0))))+1)),0)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IFERROR(1/IF(Inputs!$B$39="pvp",15,MAX(0.1,Skills!D14-IF(Skills!E14=TRUE,Inputs!$B$33,0))),0)</f>
        <v/>
      </c>
      <c r="R2229">
        <f>IF(AND(Inputs!$B$39&lt;&gt;"pvp",Inputs!$B$44&gt;0),IF(Inputs!$B$44&lt;=0,0,(INT(Inputs!$B$44/IF(Inputs!$B$39="pvp",15,MAX(0.1,Skills!D14-IF(Skills!E14=TRUE,Inputs!$B$33,0))))+1)),0)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IFERROR(1/IF(Inputs!$B$39="pvp",15,MAX(0.1,Skills!D15-IF(Skills!E15=TRUE,Inputs!$B$33,0))),0)</f>
        <v/>
      </c>
      <c r="R2230">
        <f>IF(AND(Inputs!$B$39&lt;&gt;"pvp",Inputs!$B$44&gt;0),IF(Inputs!$B$44&lt;=0,0,(INT(Inputs!$B$44/IF(Inputs!$B$39="pvp",15,MAX(0.1,Skills!D15-IF(Skills!E15=TRUE,Inputs!$B$33,0))))+1)),0)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IFERROR(1/IF(Inputs!$B$39="pvp",15,MAX(0.1,Skills!D16-IF(Skills!E16=TRUE,Inputs!$B$33,0))),0)</f>
        <v/>
      </c>
      <c r="R2231">
        <f>IF(AND(Inputs!$B$39&lt;&gt;"pvp",Inputs!$B$44&gt;0),IF(Inputs!$B$44&lt;=0,0,(INT(Inputs!$B$44/IF(Inputs!$B$39="pvp",15,MAX(0.1,Skills!D16-IF(Skills!E16=TRUE,Inputs!$B$33,0))))+1)),0)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IFERROR(1/IF(Inputs!$B$39="pvp",15,MAX(0.1,Skills!D17-IF(Skills!E17=TRUE,Inputs!$B$33,0))),0)</f>
        <v/>
      </c>
      <c r="R2232">
        <f>IF(AND(Inputs!$B$39&lt;&gt;"pvp",Inputs!$B$44&gt;0),IF(Inputs!$B$44&lt;=0,0,(INT(Inputs!$B$44/IF(Inputs!$B$39="pvp",15,MAX(0.1,Skills!D17-IF(Skills!E17=TRUE,Inputs!$B$33,0))))+1)),0)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IFERROR(1/IF(Inputs!$B$39="pvp",15,MAX(0.1,Skills!D18-IF(Skills!E18=TRUE,Inputs!$B$33,0))),0)</f>
        <v/>
      </c>
      <c r="R2233">
        <f>IF(AND(Inputs!$B$39&lt;&gt;"pvp",Inputs!$B$44&gt;0),IF(Inputs!$B$44&lt;=0,0,(INT(Inputs!$B$44/IF(Inputs!$B$39="pvp",15,MAX(0.1,Skills!D18-IF(Skills!E18=TRUE,Inputs!$B$33,0))))+1)),0)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IFERROR(1/IF(Inputs!$B$39="pvp",15,MAX(0.1,Skills!D19-IF(Skills!E19=TRUE,Inputs!$B$33,0))),0)</f>
        <v/>
      </c>
      <c r="R2234">
        <f>IF(AND(Inputs!$B$39&lt;&gt;"pvp",Inputs!$B$44&gt;0),IF(Inputs!$B$44&lt;=0,0,(INT(Inputs!$B$44/IF(Inputs!$B$39="pvp",15,MAX(0.1,Skills!D19-IF(Skills!E19=TRUE,Inputs!$B$33,0))))+1)),0)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IFERROR(1/IF(Inputs!$B$39="pvp",15,MAX(0.1,Skills!D20-IF(Skills!E20=TRUE,Inputs!$B$33,0))),0)</f>
        <v/>
      </c>
      <c r="R2235">
        <f>IF(AND(Inputs!$B$39&lt;&gt;"pvp",Inputs!$B$44&gt;0),IF(Inputs!$B$44&lt;=0,0,(INT(Inputs!$B$44/IF(Inputs!$B$39="pvp",15,MAX(0.1,Skills!D20-IF(Skills!E20=TRUE,Inputs!$B$33,0))))+1)),0)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Skills!T18*(1+Inputs!$B$35/100))+MIN((Skills!T18*(1+Inputs!$B$35/100)),MAX(0,Inputs!$B$44-((R2233-1)*Skills!D18))))/Inputs!$B$44),IF(Inputs!$B$39="pvp",MIN((Skills!T18*(1+Inputs!$B$35/100)),15)/15,(Skills!T18*(1+Inputs!$B$35/100))/Skills!D18)))</f>
        <v/>
      </c>
    </row>
    <row r="2245">
      <c r="A2245" t="inlineStr">
        <is>
          <t>Attack Speed Buff Bonus %</t>
        </is>
      </c>
      <c r="B2245">
        <f>((C2235=TRUE)*F2235*IF(AND(Inputs!$B$39&lt;&gt;"pvp",Inputs!$B$44&gt;0),(((R2235-1)*(Skills!T20*(1+Inputs!$B$35/100))+MIN((Skills!T20*(1+Inputs!$B$35/100)),MAX(0,Inputs!$B$44-((R2235-1)*Skills!D20))))/Inputs!$B$44),IF(Inputs!$B$39="pvp",MIN((Skills!T20*(1+Inputs!$B$35/100)),15)/15,(Skills!T20*(1+Inputs!$B$35/100))/Skills!D20)))</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Skills!T19*(1+Inputs!$B$35/100))+MIN((Skills!T19*(1+Inputs!$B$35/100)),MAX(0,Inputs!$B$44-((R2234-1)*Skills!D19))))/Inputs!$B$44),IF(Inputs!$B$39="pvp",MIN((Skills!T19*(1+Inputs!$B$35/100)),15)/15,(Skills!T19*(1+Inputs!$B$35/100))/Skills!D19)))</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IFERROR(1/IF(Inputs!$B$39="pvp",15,MAX(0.1,Skills!D5-IF(Skills!E5=TRUE,Inputs!$B$33,0))),0)</f>
        <v/>
      </c>
      <c r="R2262">
        <f>IF(AND(Inputs!$B$39&lt;&gt;"pvp",Inputs!$B$44&gt;0),IF(MAX(0,Inputs!$B$44-B2293)&lt;=0,0,(INT(MAX(0,Inputs!$B$44-B2293)/IF(Inputs!$B$39="pvp",15,MAX(0.1,Skills!D5-IF(Skills!E5=TRUE,Inputs!$B$33,0))))+1)),0)</f>
        <v/>
      </c>
      <c r="S2262">
        <f>IFERROR(O2262/N2262,0)</f>
        <v/>
      </c>
      <c r="T2262">
        <f>IF(C2262,(H2262*N2262*IF(AND(Inputs!$B$39&lt;&gt;"pvp",Inputs!$B$44&gt;0),((Skills!G5*((R2262-1)*IF(Skills!H5&gt;0,Skills!I5/Skills!H5,1)+IF(Skills!H5&gt;0,MIN(Skills!I5,MAX(0,MAX(0,Inputs!$B$44-B2293)-((R2262-1)*IF(Inputs!$B$39="pvp",15,MAX(0.1,Skills!D5-IF(Skills!E5=TRUE,Inputs!$B$33,0))))))/Skills!H5,1)))/Inputs!$B$44),G2262*Q2262))*IF(Inputs!$B$39="pvp",1,1+(Inputs!$B$21+0+Skills!P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Skills!E5=TRUE,Inputs!$B$33,0))))))/Skills!H5,1)))/Inputs!$B$44),G2262*Q2262))*IF(Inputs!$B$39="pvp",1,(1+(Inputs!$B$22+Skills!Q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IFERROR(1/IF(Inputs!$B$39="pvp",15,MAX(0.1,Skills!D6-IF(Skills!E6=TRUE,Inputs!$B$33,0))),0)</f>
        <v/>
      </c>
      <c r="R2263">
        <f>IF(AND(Inputs!$B$39&lt;&gt;"pvp",Inputs!$B$44&gt;0),IF(MAX(0,Inputs!$B$44-B2293)&lt;=0,0,(INT(MAX(0,Inputs!$B$44-B2293)/IF(Inputs!$B$39="pvp",15,MAX(0.1,Skills!D6-IF(Skills!E6=TRUE,Inputs!$B$33,0))))+1)),0)</f>
        <v/>
      </c>
      <c r="S2263">
        <f>IFERROR(O2263/N2263,0)</f>
        <v/>
      </c>
      <c r="T2263">
        <f>IF(C2263,(H2263*N2263*IF(AND(Inputs!$B$39&lt;&gt;"pvp",Inputs!$B$44&gt;0),((Skills!G6*((R2263-1)*IF(Skills!H6&gt;0,Skills!I6/Skills!H6,1)+IF(Skills!H6&gt;0,MIN(Skills!I6,MAX(0,MAX(0,Inputs!$B$44-B2293)-((R2263-1)*IF(Inputs!$B$39="pvp",15,MAX(0.1,Skills!D6-IF(Skills!E6=TRUE,Inputs!$B$33,0))))))/Skills!H6,1)))/Inputs!$B$44),G2263*Q2263))*IF(Inputs!$B$39="pvp",1,1+(Inputs!$B$21+0+Skills!P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Skills!E6=TRUE,Inputs!$B$33,0))))))/Skills!H6,1)))/Inputs!$B$44),G2263*Q2263))*IF(Inputs!$B$39="pvp",1,(1+(Inputs!$B$22+Skills!Q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IFERROR(1/IF(Inputs!$B$39="pvp",15,MAX(0.1,Skills!D7-IF(Skills!E7=TRUE,Inputs!$B$33,0))),0)</f>
        <v/>
      </c>
      <c r="R2264">
        <f>IF(AND(Inputs!$B$39&lt;&gt;"pvp",Inputs!$B$44&gt;0),IF(MAX(0,Inputs!$B$44-B2293)&lt;=0,0,(INT(MAX(0,Inputs!$B$44-B2293)/IF(Inputs!$B$39="pvp",15,MAX(0.1,Skills!D7-IF(Skills!E7=TRUE,Inputs!$B$33,0))))+1)),0)</f>
        <v/>
      </c>
      <c r="S2264">
        <f>IFERROR(O2264/N2264,0)</f>
        <v/>
      </c>
      <c r="T2264">
        <f>IF(C2264,(H2264*N2264*IF(AND(Inputs!$B$39&lt;&gt;"pvp",Inputs!$B$44&gt;0),((Skills!G7*((R2264-1)*IF(Skills!H7&gt;0,Skills!I7/Skills!H7,1)+IF(Skills!H7&gt;0,MIN(Skills!I7,MAX(0,MAX(0,Inputs!$B$44-B2293)-((R2264-1)*IF(Inputs!$B$39="pvp",15,MAX(0.1,Skills!D7-IF(Skills!E7=TRUE,Inputs!$B$33,0))))))/Skills!H7,1)))/Inputs!$B$44),G2264*Q2264))*IF(Inputs!$B$39="pvp",1,1+(Inputs!$B$21+0+Skills!P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Skills!E7=TRUE,Inputs!$B$33,0))))))/Skills!H7,1)))/Inputs!$B$44),G2264*Q2264))*IF(Inputs!$B$39="pvp",1,(1+(Inputs!$B$22+Skills!Q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IFERROR(1/IF(Inputs!$B$39="pvp",15,MAX(0.1,Skills!D9-IF(Skills!E9=TRUE,Inputs!$B$33,0))),0)</f>
        <v/>
      </c>
      <c r="R2266">
        <f>IF(AND(Inputs!$B$39&lt;&gt;"pvp",Inputs!$B$44&gt;0),IF(MAX(0,Inputs!$B$44-B2293)&lt;=0,0,(INT(MAX(0,Inputs!$B$44-B2293)/IF(Inputs!$B$39="pvp",15,MAX(0.1,Skills!D9-IF(Skills!E9=TRUE,Inputs!$B$33,0))))+1)),0)</f>
        <v/>
      </c>
      <c r="S2266">
        <f>IFERROR(O2266/N2266,0)</f>
        <v/>
      </c>
      <c r="T2266">
        <f>IF(C2266,(H2266*N2266*IF(AND(Inputs!$B$39&lt;&gt;"pvp",Inputs!$B$44&gt;0),((Skills!G9*((R2266-1)*IF(Skills!H9&gt;0,Skills!I9/Skills!H9,1)+IF(Skills!H9&gt;0,MIN(Skills!I9,MAX(0,MAX(0,Inputs!$B$44-B2293)-((R2266-1)*IF(Inputs!$B$39="pvp",15,MAX(0.1,Skills!D9-IF(Skills!E9=TRUE,Inputs!$B$33,0))))))/Skills!H9,1)))/Inputs!$B$44),G2266*Q2266))*IF(Inputs!$B$39="pvp",1,1+(Inputs!$B$21+0+Skills!P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Skills!E9=TRUE,Inputs!$B$33,0))))))/Skills!H9,1)))/Inputs!$B$44),G2266*Q2266))*IF(Inputs!$B$39="pvp",1,(1+(Inputs!$B$22+Skills!Q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IFERROR(1/IF(Inputs!$B$39="pvp",15,MAX(0.1,Skills!D10-IF(Skills!E10=TRUE,Inputs!$B$33,0))),0)</f>
        <v/>
      </c>
      <c r="R2267">
        <f>IF(AND(Inputs!$B$39&lt;&gt;"pvp",Inputs!$B$44&gt;0),IF(MAX(0,Inputs!$B$44-B2293)&lt;=0,0,(INT(MAX(0,Inputs!$B$44-B2293)/IF(Inputs!$B$39="pvp",15,MAX(0.1,Skills!D10-IF(Skills!E10=TRUE,Inputs!$B$33,0))))+1)),0)</f>
        <v/>
      </c>
      <c r="S2267">
        <f>IFERROR(O2267/N2267,0)</f>
        <v/>
      </c>
      <c r="T2267">
        <f>IF(C2267,(H2267*N2267*IF(AND(Inputs!$B$39&lt;&gt;"pvp",Inputs!$B$44&gt;0),((Skills!G10*((R2267-1)*IF(Skills!H10&gt;0,Skills!I10/Skills!H10,1)+IF(Skills!H10&gt;0,MIN(Skills!I10,MAX(0,MAX(0,Inputs!$B$44-B2293)-((R2267-1)*IF(Inputs!$B$39="pvp",15,MAX(0.1,Skills!D10-IF(Skills!E10=TRUE,Inputs!$B$33,0))))))/Skills!H10,1)))/Inputs!$B$44),G2267*Q2267))*IF(Inputs!$B$39="pvp",1,1+(Inputs!$B$21+0+Skills!P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Skills!E10=TRUE,Inputs!$B$33,0))))))/Skills!H10,1)))/Inputs!$B$44),G2267*Q2267))*IF(Inputs!$B$39="pvp",1,(1+(Inputs!$B$22+Skills!Q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IFERROR(1/IF(Inputs!$B$39="pvp",15,MAX(0.1,Skills!D12-IF(Skills!E12=TRUE,Inputs!$B$33,0))),0)</f>
        <v/>
      </c>
      <c r="R2269">
        <f>IF(AND(Inputs!$B$39&lt;&gt;"pvp",Inputs!$B$44&gt;0),IF(MAX(0,Inputs!$B$44-B2293)&lt;=0,0,(INT(MAX(0,Inputs!$B$44-B2293)/IF(Inputs!$B$39="pvp",15,MAX(0.1,Skills!D12-IF(Skills!E12=TRUE,Inputs!$B$33,0))))+1)),0)</f>
        <v/>
      </c>
      <c r="S2269">
        <f>IFERROR(O2269/N2269,0)</f>
        <v/>
      </c>
      <c r="T2269">
        <f>IF(C2269,(H2269*N2269*IF(AND(Inputs!$B$39&lt;&gt;"pvp",Inputs!$B$44&gt;0),((Skills!G12*((R2269-1)*IF(Skills!H12&gt;0,Skills!I12/Skills!H12,1)+IF(Skills!H12&gt;0,MIN(Skills!I12,MAX(0,MAX(0,Inputs!$B$44-B2293)-((R2269-1)*IF(Inputs!$B$39="pvp",15,MAX(0.1,Skills!D12-IF(Skills!E12=TRUE,Inputs!$B$33,0))))))/Skills!H12,1)))/Inputs!$B$44),G2269*Q2269))*IF(Inputs!$B$39="pvp",1,1+(Inputs!$B$21+0+Skills!P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Skills!E12=TRUE,Inputs!$B$33,0))))))/Skills!H12,1)))/Inputs!$B$44),G2269*Q2269))*IF(Inputs!$B$39="pvp",1,(1+(Inputs!$B$22+Skills!Q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IFERROR(1/IF(Inputs!$B$39="pvp",15,MAX(0.1,Skills!D13-IF(Skills!E13=TRUE,Inputs!$B$33,0))),0)</f>
        <v/>
      </c>
      <c r="R2270">
        <f>IF(AND(Inputs!$B$39&lt;&gt;"pvp",Inputs!$B$44&gt;0),IF(Inputs!$B$44&lt;=0,0,(INT(Inputs!$B$44/IF(Inputs!$B$39="pvp",15,MAX(0.1,Skills!D13-IF(Skills!E13=TRUE,Inputs!$B$33,0))))+1)),0)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IFERROR(1/IF(Inputs!$B$39="pvp",15,MAX(0.1,Skills!D14-IF(Skills!E14=TRUE,Inputs!$B$33,0))),0)</f>
        <v/>
      </c>
      <c r="R2271">
        <f>IF(AND(Inputs!$B$39&lt;&gt;"pvp",Inputs!$B$44&gt;0),IF(Inputs!$B$44&lt;=0,0,(INT(Inputs!$B$44/IF(Inputs!$B$39="pvp",15,MAX(0.1,Skills!D14-IF(Skills!E14=TRUE,Inputs!$B$33,0))))+1)),0)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IFERROR(1/IF(Inputs!$B$39="pvp",15,MAX(0.1,Skills!D15-IF(Skills!E15=TRUE,Inputs!$B$33,0))),0)</f>
        <v/>
      </c>
      <c r="R2272">
        <f>IF(AND(Inputs!$B$39&lt;&gt;"pvp",Inputs!$B$44&gt;0),IF(Inputs!$B$44&lt;=0,0,(INT(Inputs!$B$44/IF(Inputs!$B$39="pvp",15,MAX(0.1,Skills!D15-IF(Skills!E15=TRUE,Inputs!$B$33,0))))+1)),0)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IFERROR(1/IF(Inputs!$B$39="pvp",15,MAX(0.1,Skills!D16-IF(Skills!E16=TRUE,Inputs!$B$33,0))),0)</f>
        <v/>
      </c>
      <c r="R2273">
        <f>IF(AND(Inputs!$B$39&lt;&gt;"pvp",Inputs!$B$44&gt;0),IF(Inputs!$B$44&lt;=0,0,(INT(Inputs!$B$44/IF(Inputs!$B$39="pvp",15,MAX(0.1,Skills!D16-IF(Skills!E16=TRUE,Inputs!$B$33,0))))+1)),0)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IFERROR(1/IF(Inputs!$B$39="pvp",15,MAX(0.1,Skills!D17-IF(Skills!E17=TRUE,Inputs!$B$33,0))),0)</f>
        <v/>
      </c>
      <c r="R2274">
        <f>IF(AND(Inputs!$B$39&lt;&gt;"pvp",Inputs!$B$44&gt;0),IF(Inputs!$B$44&lt;=0,0,(INT(Inputs!$B$44/IF(Inputs!$B$39="pvp",15,MAX(0.1,Skills!D17-IF(Skills!E17=TRUE,Inputs!$B$33,0))))+1)),0)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IFERROR(1/IF(Inputs!$B$39="pvp",15,MAX(0.1,Skills!D18-IF(Skills!E18=TRUE,Inputs!$B$33,0))),0)</f>
        <v/>
      </c>
      <c r="R2275">
        <f>IF(AND(Inputs!$B$39&lt;&gt;"pvp",Inputs!$B$44&gt;0),IF(Inputs!$B$44&lt;=0,0,(INT(Inputs!$B$44/IF(Inputs!$B$39="pvp",15,MAX(0.1,Skills!D18-IF(Skills!E18=TRUE,Inputs!$B$33,0))))+1)),0)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IFERROR(1/IF(Inputs!$B$39="pvp",15,MAX(0.1,Skills!D19-IF(Skills!E19=TRUE,Inputs!$B$33,0))),0)</f>
        <v/>
      </c>
      <c r="R2276">
        <f>IF(AND(Inputs!$B$39&lt;&gt;"pvp",Inputs!$B$44&gt;0),IF(Inputs!$B$44&lt;=0,0,(INT(Inputs!$B$44/IF(Inputs!$B$39="pvp",15,MAX(0.1,Skills!D19-IF(Skills!E19=TRUE,Inputs!$B$33,0))))+1)),0)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IFERROR(1/IF(Inputs!$B$39="pvp",15,MAX(0.1,Skills!D20-IF(Skills!E20=TRUE,Inputs!$B$33,0))),0)</f>
        <v/>
      </c>
      <c r="R2277">
        <f>IF(AND(Inputs!$B$39&lt;&gt;"pvp",Inputs!$B$44&gt;0),IF(Inputs!$B$44&lt;=0,0,(INT(Inputs!$B$44/IF(Inputs!$B$39="pvp",15,MAX(0.1,Skills!D20-IF(Skills!E20=TRUE,Inputs!$B$33,0))))+1)),0)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Skills!T18*(1+Inputs!$B$35/100))+MIN((Skills!T18*(1+Inputs!$B$35/100)),MAX(0,Inputs!$B$44-((R2275-1)*Skills!D18))))/Inputs!$B$44),IF(Inputs!$B$39="pvp",MIN((Skills!T18*(1+Inputs!$B$35/100)),15)/15,(Skills!T18*(1+Inputs!$B$35/100))/Skills!D18)))</f>
        <v/>
      </c>
    </row>
    <row r="2287">
      <c r="A2287" t="inlineStr">
        <is>
          <t>Attack Speed Buff Bonus %</t>
        </is>
      </c>
      <c r="B2287">
        <f>((C2277=TRUE)*F2277*IF(AND(Inputs!$B$39&lt;&gt;"pvp",Inputs!$B$44&gt;0),(((R2277-1)*(Skills!T20*(1+Inputs!$B$35/100))+MIN((Skills!T20*(1+Inputs!$B$35/100)),MAX(0,Inputs!$B$44-((R2277-1)*Skills!D20))))/Inputs!$B$44),IF(Inputs!$B$39="pvp",MIN((Skills!T20*(1+Inputs!$B$35/100)),15)/15,(Skills!T20*(1+Inputs!$B$35/100))/Skills!D20)))</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Skills!T19*(1+Inputs!$B$35/100))+MIN((Skills!T19*(1+Inputs!$B$35/100)),MAX(0,Inputs!$B$44-((R2276-1)*Skills!D19))))/Inputs!$B$44),IF(Inputs!$B$39="pvp",MIN((Skills!T19*(1+Inputs!$B$35/100)),15)/15,(Skills!T19*(1+Inputs!$B$35/100))/Skills!D19)))</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IFERROR(1/IF(Inputs!$B$39="pvp",15,MAX(0.1,Skills!D5-IF(Skills!E5=TRUE,Inputs!$B$33,0))),0)</f>
        <v/>
      </c>
      <c r="R2304">
        <f>IF(AND(Inputs!$B$39&lt;&gt;"pvp",Inputs!$B$44&gt;0),IF(MAX(0,Inputs!$B$44-B2335)&lt;=0,0,(INT(MAX(0,Inputs!$B$44-B2335)/IF(Inputs!$B$39="pvp",15,MAX(0.1,Skills!D5-IF(Skills!E5=TRUE,Inputs!$B$33,0))))+1)),0)</f>
        <v/>
      </c>
      <c r="S2304">
        <f>IFERROR(O2304/N2304,0)</f>
        <v/>
      </c>
      <c r="T2304">
        <f>IF(C2304,(H2304*N2304*IF(AND(Inputs!$B$39&lt;&gt;"pvp",Inputs!$B$44&gt;0),((Skills!G5*((R2304-1)*IF(Skills!H5&gt;0,Skills!I5/Skills!H5,1)+IF(Skills!H5&gt;0,MIN(Skills!I5,MAX(0,MAX(0,Inputs!$B$44-B2335)-((R2304-1)*IF(Inputs!$B$39="pvp",15,MAX(0.1,Skills!D5-IF(Skills!E5=TRUE,Inputs!$B$33,0))))))/Skills!H5,1)))/Inputs!$B$44),G2304*Q2304))*IF(Inputs!$B$39="pvp",1,1+(Inputs!$B$21+0+Skills!P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Skills!E5=TRUE,Inputs!$B$33,0))))))/Skills!H5,1)))/Inputs!$B$44),G2304*Q2304))*IF(Inputs!$B$39="pvp",1,(1+(Inputs!$B$22+Skills!Q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IFERROR(1/IF(Inputs!$B$39="pvp",15,MAX(0.1,Skills!D6-IF(Skills!E6=TRUE,Inputs!$B$33,0))),0)</f>
        <v/>
      </c>
      <c r="R2305">
        <f>IF(AND(Inputs!$B$39&lt;&gt;"pvp",Inputs!$B$44&gt;0),IF(MAX(0,Inputs!$B$44-B2335)&lt;=0,0,(INT(MAX(0,Inputs!$B$44-B2335)/IF(Inputs!$B$39="pvp",15,MAX(0.1,Skills!D6-IF(Skills!E6=TRUE,Inputs!$B$33,0))))+1)),0)</f>
        <v/>
      </c>
      <c r="S2305">
        <f>IFERROR(O2305/N2305,0)</f>
        <v/>
      </c>
      <c r="T2305">
        <f>IF(C2305,(H2305*N2305*IF(AND(Inputs!$B$39&lt;&gt;"pvp",Inputs!$B$44&gt;0),((Skills!G6*((R2305-1)*IF(Skills!H6&gt;0,Skills!I6/Skills!H6,1)+IF(Skills!H6&gt;0,MIN(Skills!I6,MAX(0,MAX(0,Inputs!$B$44-B2335)-((R2305-1)*IF(Inputs!$B$39="pvp",15,MAX(0.1,Skills!D6-IF(Skills!E6=TRUE,Inputs!$B$33,0))))))/Skills!H6,1)))/Inputs!$B$44),G2305*Q2305))*IF(Inputs!$B$39="pvp",1,1+(Inputs!$B$21+0+Skills!P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Skills!E6=TRUE,Inputs!$B$33,0))))))/Skills!H6,1)))/Inputs!$B$44),G2305*Q2305))*IF(Inputs!$B$39="pvp",1,(1+(Inputs!$B$22+Skills!Q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IFERROR(1/IF(Inputs!$B$39="pvp",15,MAX(0.1,Skills!D7-IF(Skills!E7=TRUE,Inputs!$B$33,0))),0)</f>
        <v/>
      </c>
      <c r="R2306">
        <f>IF(AND(Inputs!$B$39&lt;&gt;"pvp",Inputs!$B$44&gt;0),IF(MAX(0,Inputs!$B$44-B2335)&lt;=0,0,(INT(MAX(0,Inputs!$B$44-B2335)/IF(Inputs!$B$39="pvp",15,MAX(0.1,Skills!D7-IF(Skills!E7=TRUE,Inputs!$B$33,0))))+1)),0)</f>
        <v/>
      </c>
      <c r="S2306">
        <f>IFERROR(O2306/N2306,0)</f>
        <v/>
      </c>
      <c r="T2306">
        <f>IF(C2306,(H2306*N2306*IF(AND(Inputs!$B$39&lt;&gt;"pvp",Inputs!$B$44&gt;0),((Skills!G7*((R2306-1)*IF(Skills!H7&gt;0,Skills!I7/Skills!H7,1)+IF(Skills!H7&gt;0,MIN(Skills!I7,MAX(0,MAX(0,Inputs!$B$44-B2335)-((R2306-1)*IF(Inputs!$B$39="pvp",15,MAX(0.1,Skills!D7-IF(Skills!E7=TRUE,Inputs!$B$33,0))))))/Skills!H7,1)))/Inputs!$B$44),G2306*Q2306))*IF(Inputs!$B$39="pvp",1,1+(Inputs!$B$21+0+Skills!P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Skills!E7=TRUE,Inputs!$B$33,0))))))/Skills!H7,1)))/Inputs!$B$44),G2306*Q2306))*IF(Inputs!$B$39="pvp",1,(1+(Inputs!$B$22+Skills!Q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IFERROR(1/IF(Inputs!$B$39="pvp",15,MAX(0.1,Skills!D9-IF(Skills!E9=TRUE,Inputs!$B$33,0))),0)</f>
        <v/>
      </c>
      <c r="R2308">
        <f>IF(AND(Inputs!$B$39&lt;&gt;"pvp",Inputs!$B$44&gt;0),IF(MAX(0,Inputs!$B$44-B2335)&lt;=0,0,(INT(MAX(0,Inputs!$B$44-B2335)/IF(Inputs!$B$39="pvp",15,MAX(0.1,Skills!D9-IF(Skills!E9=TRUE,Inputs!$B$33,0))))+1)),0)</f>
        <v/>
      </c>
      <c r="S2308">
        <f>IFERROR(O2308/N2308,0)</f>
        <v/>
      </c>
      <c r="T2308">
        <f>IF(C2308,(H2308*N2308*IF(AND(Inputs!$B$39&lt;&gt;"pvp",Inputs!$B$44&gt;0),((Skills!G9*((R2308-1)*IF(Skills!H9&gt;0,Skills!I9/Skills!H9,1)+IF(Skills!H9&gt;0,MIN(Skills!I9,MAX(0,MAX(0,Inputs!$B$44-B2335)-((R2308-1)*IF(Inputs!$B$39="pvp",15,MAX(0.1,Skills!D9-IF(Skills!E9=TRUE,Inputs!$B$33,0))))))/Skills!H9,1)))/Inputs!$B$44),G2308*Q2308))*IF(Inputs!$B$39="pvp",1,1+(Inputs!$B$21+0+Skills!P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Skills!E9=TRUE,Inputs!$B$33,0))))))/Skills!H9,1)))/Inputs!$B$44),G2308*Q2308))*IF(Inputs!$B$39="pvp",1,(1+(Inputs!$B$22+Skills!Q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IFERROR(1/IF(Inputs!$B$39="pvp",15,MAX(0.1,Skills!D10-IF(Skills!E10=TRUE,Inputs!$B$33,0))),0)</f>
        <v/>
      </c>
      <c r="R2309">
        <f>IF(AND(Inputs!$B$39&lt;&gt;"pvp",Inputs!$B$44&gt;0),IF(MAX(0,Inputs!$B$44-B2335)&lt;=0,0,(INT(MAX(0,Inputs!$B$44-B2335)/IF(Inputs!$B$39="pvp",15,MAX(0.1,Skills!D10-IF(Skills!E10=TRUE,Inputs!$B$33,0))))+1)),0)</f>
        <v/>
      </c>
      <c r="S2309">
        <f>IFERROR(O2309/N2309,0)</f>
        <v/>
      </c>
      <c r="T2309">
        <f>IF(C2309,(H2309*N2309*IF(AND(Inputs!$B$39&lt;&gt;"pvp",Inputs!$B$44&gt;0),((Skills!G10*((R2309-1)*IF(Skills!H10&gt;0,Skills!I10/Skills!H10,1)+IF(Skills!H10&gt;0,MIN(Skills!I10,MAX(0,MAX(0,Inputs!$B$44-B2335)-((R2309-1)*IF(Inputs!$B$39="pvp",15,MAX(0.1,Skills!D10-IF(Skills!E10=TRUE,Inputs!$B$33,0))))))/Skills!H10,1)))/Inputs!$B$44),G2309*Q2309))*IF(Inputs!$B$39="pvp",1,1+(Inputs!$B$21+0+Skills!P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Skills!E10=TRUE,Inputs!$B$33,0))))))/Skills!H10,1)))/Inputs!$B$44),G2309*Q2309))*IF(Inputs!$B$39="pvp",1,(1+(Inputs!$B$22+Skills!Q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IFERROR(1/IF(Inputs!$B$39="pvp",15,MAX(0.1,Skills!D12-IF(Skills!E12=TRUE,Inputs!$B$33,0))),0)</f>
        <v/>
      </c>
      <c r="R2311">
        <f>IF(AND(Inputs!$B$39&lt;&gt;"pvp",Inputs!$B$44&gt;0),IF(MAX(0,Inputs!$B$44-B2335)&lt;=0,0,(INT(MAX(0,Inputs!$B$44-B2335)/IF(Inputs!$B$39="pvp",15,MAX(0.1,Skills!D12-IF(Skills!E12=TRUE,Inputs!$B$33,0))))+1)),0)</f>
        <v/>
      </c>
      <c r="S2311">
        <f>IFERROR(O2311/N2311,0)</f>
        <v/>
      </c>
      <c r="T2311">
        <f>IF(C2311,(H2311*N2311*IF(AND(Inputs!$B$39&lt;&gt;"pvp",Inputs!$B$44&gt;0),((Skills!G12*((R2311-1)*IF(Skills!H12&gt;0,Skills!I12/Skills!H12,1)+IF(Skills!H12&gt;0,MIN(Skills!I12,MAX(0,MAX(0,Inputs!$B$44-B2335)-((R2311-1)*IF(Inputs!$B$39="pvp",15,MAX(0.1,Skills!D12-IF(Skills!E12=TRUE,Inputs!$B$33,0))))))/Skills!H12,1)))/Inputs!$B$44),G2311*Q2311))*IF(Inputs!$B$39="pvp",1,1+(Inputs!$B$21+0+Skills!P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Skills!E12=TRUE,Inputs!$B$33,0))))))/Skills!H12,1)))/Inputs!$B$44),G2311*Q2311))*IF(Inputs!$B$39="pvp",1,(1+(Inputs!$B$22+Skills!Q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IFERROR(1/IF(Inputs!$B$39="pvp",15,MAX(0.1,Skills!D13-IF(Skills!E13=TRUE,Inputs!$B$33,0))),0)</f>
        <v/>
      </c>
      <c r="R2312">
        <f>IF(AND(Inputs!$B$39&lt;&gt;"pvp",Inputs!$B$44&gt;0),IF(Inputs!$B$44&lt;=0,0,(INT(Inputs!$B$44/IF(Inputs!$B$39="pvp",15,MAX(0.1,Skills!D13-IF(Skills!E13=TRUE,Inputs!$B$33,0))))+1)),0)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IFERROR(1/IF(Inputs!$B$39="pvp",15,MAX(0.1,Skills!D14-IF(Skills!E14=TRUE,Inputs!$B$33,0))),0)</f>
        <v/>
      </c>
      <c r="R2313">
        <f>IF(AND(Inputs!$B$39&lt;&gt;"pvp",Inputs!$B$44&gt;0),IF(Inputs!$B$44&lt;=0,0,(INT(Inputs!$B$44/IF(Inputs!$B$39="pvp",15,MAX(0.1,Skills!D14-IF(Skills!E14=TRUE,Inputs!$B$33,0))))+1)),0)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IFERROR(1/IF(Inputs!$B$39="pvp",15,MAX(0.1,Skills!D15-IF(Skills!E15=TRUE,Inputs!$B$33,0))),0)</f>
        <v/>
      </c>
      <c r="R2314">
        <f>IF(AND(Inputs!$B$39&lt;&gt;"pvp",Inputs!$B$44&gt;0),IF(Inputs!$B$44&lt;=0,0,(INT(Inputs!$B$44/IF(Inputs!$B$39="pvp",15,MAX(0.1,Skills!D15-IF(Skills!E15=TRUE,Inputs!$B$33,0))))+1)),0)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IFERROR(1/IF(Inputs!$B$39="pvp",15,MAX(0.1,Skills!D16-IF(Skills!E16=TRUE,Inputs!$B$33,0))),0)</f>
        <v/>
      </c>
      <c r="R2315">
        <f>IF(AND(Inputs!$B$39&lt;&gt;"pvp",Inputs!$B$44&gt;0),IF(Inputs!$B$44&lt;=0,0,(INT(Inputs!$B$44/IF(Inputs!$B$39="pvp",15,MAX(0.1,Skills!D16-IF(Skills!E16=TRUE,Inputs!$B$33,0))))+1)),0)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IFERROR(1/IF(Inputs!$B$39="pvp",15,MAX(0.1,Skills!D17-IF(Skills!E17=TRUE,Inputs!$B$33,0))),0)</f>
        <v/>
      </c>
      <c r="R2316">
        <f>IF(AND(Inputs!$B$39&lt;&gt;"pvp",Inputs!$B$44&gt;0),IF(Inputs!$B$44&lt;=0,0,(INT(Inputs!$B$44/IF(Inputs!$B$39="pvp",15,MAX(0.1,Skills!D17-IF(Skills!E17=TRUE,Inputs!$B$33,0))))+1)),0)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IFERROR(1/IF(Inputs!$B$39="pvp",15,MAX(0.1,Skills!D18-IF(Skills!E18=TRUE,Inputs!$B$33,0))),0)</f>
        <v/>
      </c>
      <c r="R2317">
        <f>IF(AND(Inputs!$B$39&lt;&gt;"pvp",Inputs!$B$44&gt;0),IF(Inputs!$B$44&lt;=0,0,(INT(Inputs!$B$44/IF(Inputs!$B$39="pvp",15,MAX(0.1,Skills!D18-IF(Skills!E18=TRUE,Inputs!$B$33,0))))+1)),0)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IFERROR(1/IF(Inputs!$B$39="pvp",15,MAX(0.1,Skills!D19-IF(Skills!E19=TRUE,Inputs!$B$33,0))),0)</f>
        <v/>
      </c>
      <c r="R2318">
        <f>IF(AND(Inputs!$B$39&lt;&gt;"pvp",Inputs!$B$44&gt;0),IF(Inputs!$B$44&lt;=0,0,(INT(Inputs!$B$44/IF(Inputs!$B$39="pvp",15,MAX(0.1,Skills!D19-IF(Skills!E19=TRUE,Inputs!$B$33,0))))+1)),0)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IFERROR(1/IF(Inputs!$B$39="pvp",15,MAX(0.1,Skills!D20-IF(Skills!E20=TRUE,Inputs!$B$33,0))),0)</f>
        <v/>
      </c>
      <c r="R2319">
        <f>IF(AND(Inputs!$B$39&lt;&gt;"pvp",Inputs!$B$44&gt;0),IF(Inputs!$B$44&lt;=0,0,(INT(Inputs!$B$44/IF(Inputs!$B$39="pvp",15,MAX(0.1,Skills!D20-IF(Skills!E20=TRUE,Inputs!$B$33,0))))+1)),0)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Skills!T18*(1+Inputs!$B$35/100))+MIN((Skills!T18*(1+Inputs!$B$35/100)),MAX(0,Inputs!$B$44-((R2317-1)*Skills!D18))))/Inputs!$B$44),IF(Inputs!$B$39="pvp",MIN((Skills!T18*(1+Inputs!$B$35/100)),15)/15,(Skills!T18*(1+Inputs!$B$35/100))/Skills!D18)))</f>
        <v/>
      </c>
    </row>
    <row r="2329">
      <c r="A2329" t="inlineStr">
        <is>
          <t>Attack Speed Buff Bonus %</t>
        </is>
      </c>
      <c r="B2329">
        <f>((C2319=TRUE)*F2319*IF(AND(Inputs!$B$39&lt;&gt;"pvp",Inputs!$B$44&gt;0),(((R2319-1)*(Skills!T20*(1+Inputs!$B$35/100))+MIN((Skills!T20*(1+Inputs!$B$35/100)),MAX(0,Inputs!$B$44-((R2319-1)*Skills!D20))))/Inputs!$B$44),IF(Inputs!$B$39="pvp",MIN((Skills!T20*(1+Inputs!$B$35/100)),15)/15,(Skills!T20*(1+Inputs!$B$35/100))/Skills!D20)))</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Skills!T19*(1+Inputs!$B$35/100))+MIN((Skills!T19*(1+Inputs!$B$35/100)),MAX(0,Inputs!$B$44-((R2318-1)*Skills!D19))))/Inputs!$B$44),IF(Inputs!$B$39="pvp",MIN((Skills!T19*(1+Inputs!$B$35/100)),15)/15,(Skills!T19*(1+Inputs!$B$35/100))/Skills!D19)))</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IFERROR(1/IF(Inputs!$B$39="pvp",15,MAX(0.1,Skills!D5-IF(Skills!E5=TRUE,Inputs!$B$33,0))),0)</f>
        <v/>
      </c>
      <c r="R2346">
        <f>IF(AND(Inputs!$B$39&lt;&gt;"pvp",Inputs!$B$44&gt;0),IF(MAX(0,Inputs!$B$44-B2377)&lt;=0,0,(INT(MAX(0,Inputs!$B$44-B2377)/IF(Inputs!$B$39="pvp",15,MAX(0.1,Skills!D5-IF(Skills!E5=TRUE,Inputs!$B$33,0))))+1)),0)</f>
        <v/>
      </c>
      <c r="S2346">
        <f>IFERROR(O2346/N2346,0)</f>
        <v/>
      </c>
      <c r="T2346">
        <f>IF(C2346,(H2346*N2346*IF(AND(Inputs!$B$39&lt;&gt;"pvp",Inputs!$B$44&gt;0),((Skills!G5*((R2346-1)*IF(Skills!H5&gt;0,Skills!I5/Skills!H5,1)+IF(Skills!H5&gt;0,MIN(Skills!I5,MAX(0,MAX(0,Inputs!$B$44-B2377)-((R2346-1)*IF(Inputs!$B$39="pvp",15,MAX(0.1,Skills!D5-IF(Skills!E5=TRUE,Inputs!$B$33,0))))))/Skills!H5,1)))/Inputs!$B$44),G2346*Q2346))*IF(Inputs!$B$39="pvp",1,1+(Inputs!$B$21+0+Skills!P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Skills!E5=TRUE,Inputs!$B$33,0))))))/Skills!H5,1)))/Inputs!$B$44),G2346*Q2346))*IF(Inputs!$B$39="pvp",1,(1+(Inputs!$B$22+Skills!Q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IFERROR(1/IF(Inputs!$B$39="pvp",15,MAX(0.1,Skills!D6-IF(Skills!E6=TRUE,Inputs!$B$33,0))),0)</f>
        <v/>
      </c>
      <c r="R2347">
        <f>IF(AND(Inputs!$B$39&lt;&gt;"pvp",Inputs!$B$44&gt;0),IF(MAX(0,Inputs!$B$44-B2377)&lt;=0,0,(INT(MAX(0,Inputs!$B$44-B2377)/IF(Inputs!$B$39="pvp",15,MAX(0.1,Skills!D6-IF(Skills!E6=TRUE,Inputs!$B$33,0))))+1)),0)</f>
        <v/>
      </c>
      <c r="S2347">
        <f>IFERROR(O2347/N2347,0)</f>
        <v/>
      </c>
      <c r="T2347">
        <f>IF(C2347,(H2347*N2347*IF(AND(Inputs!$B$39&lt;&gt;"pvp",Inputs!$B$44&gt;0),((Skills!G6*((R2347-1)*IF(Skills!H6&gt;0,Skills!I6/Skills!H6,1)+IF(Skills!H6&gt;0,MIN(Skills!I6,MAX(0,MAX(0,Inputs!$B$44-B2377)-((R2347-1)*IF(Inputs!$B$39="pvp",15,MAX(0.1,Skills!D6-IF(Skills!E6=TRUE,Inputs!$B$33,0))))))/Skills!H6,1)))/Inputs!$B$44),G2347*Q2347))*IF(Inputs!$B$39="pvp",1,1+(Inputs!$B$21+0+Skills!P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Skills!E6=TRUE,Inputs!$B$33,0))))))/Skills!H6,1)))/Inputs!$B$44),G2347*Q2347))*IF(Inputs!$B$39="pvp",1,(1+(Inputs!$B$22+Skills!Q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IFERROR(1/IF(Inputs!$B$39="pvp",15,MAX(0.1,Skills!D7-IF(Skills!E7=TRUE,Inputs!$B$33,0))),0)</f>
        <v/>
      </c>
      <c r="R2348">
        <f>IF(AND(Inputs!$B$39&lt;&gt;"pvp",Inputs!$B$44&gt;0),IF(MAX(0,Inputs!$B$44-B2377)&lt;=0,0,(INT(MAX(0,Inputs!$B$44-B2377)/IF(Inputs!$B$39="pvp",15,MAX(0.1,Skills!D7-IF(Skills!E7=TRUE,Inputs!$B$33,0))))+1)),0)</f>
        <v/>
      </c>
      <c r="S2348">
        <f>IFERROR(O2348/N2348,0)</f>
        <v/>
      </c>
      <c r="T2348">
        <f>IF(C2348,(H2348*N2348*IF(AND(Inputs!$B$39&lt;&gt;"pvp",Inputs!$B$44&gt;0),((Skills!G7*((R2348-1)*IF(Skills!H7&gt;0,Skills!I7/Skills!H7,1)+IF(Skills!H7&gt;0,MIN(Skills!I7,MAX(0,MAX(0,Inputs!$B$44-B2377)-((R2348-1)*IF(Inputs!$B$39="pvp",15,MAX(0.1,Skills!D7-IF(Skills!E7=TRUE,Inputs!$B$33,0))))))/Skills!H7,1)))/Inputs!$B$44),G2348*Q2348))*IF(Inputs!$B$39="pvp",1,1+(Inputs!$B$21+0+Skills!P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Skills!E7=TRUE,Inputs!$B$33,0))))))/Skills!H7,1)))/Inputs!$B$44),G2348*Q2348))*IF(Inputs!$B$39="pvp",1,(1+(Inputs!$B$22+Skills!Q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IFERROR(1/IF(Inputs!$B$39="pvp",15,MAX(0.1,Skills!D9-IF(Skills!E9=TRUE,Inputs!$B$33,0))),0)</f>
        <v/>
      </c>
      <c r="R2350">
        <f>IF(AND(Inputs!$B$39&lt;&gt;"pvp",Inputs!$B$44&gt;0),IF(MAX(0,Inputs!$B$44-B2377)&lt;=0,0,(INT(MAX(0,Inputs!$B$44-B2377)/IF(Inputs!$B$39="pvp",15,MAX(0.1,Skills!D9-IF(Skills!E9=TRUE,Inputs!$B$33,0))))+1)),0)</f>
        <v/>
      </c>
      <c r="S2350">
        <f>IFERROR(O2350/N2350,0)</f>
        <v/>
      </c>
      <c r="T2350">
        <f>IF(C2350,(H2350*N2350*IF(AND(Inputs!$B$39&lt;&gt;"pvp",Inputs!$B$44&gt;0),((Skills!G9*((R2350-1)*IF(Skills!H9&gt;0,Skills!I9/Skills!H9,1)+IF(Skills!H9&gt;0,MIN(Skills!I9,MAX(0,MAX(0,Inputs!$B$44-B2377)-((R2350-1)*IF(Inputs!$B$39="pvp",15,MAX(0.1,Skills!D9-IF(Skills!E9=TRUE,Inputs!$B$33,0))))))/Skills!H9,1)))/Inputs!$B$44),G2350*Q2350))*IF(Inputs!$B$39="pvp",1,1+(Inputs!$B$21+0+Skills!P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Skills!E9=TRUE,Inputs!$B$33,0))))))/Skills!H9,1)))/Inputs!$B$44),G2350*Q2350))*IF(Inputs!$B$39="pvp",1,(1+(Inputs!$B$22+Skills!Q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IFERROR(1/IF(Inputs!$B$39="pvp",15,MAX(0.1,Skills!D10-IF(Skills!E10=TRUE,Inputs!$B$33,0))),0)</f>
        <v/>
      </c>
      <c r="R2351">
        <f>IF(AND(Inputs!$B$39&lt;&gt;"pvp",Inputs!$B$44&gt;0),IF(MAX(0,Inputs!$B$44-B2377)&lt;=0,0,(INT(MAX(0,Inputs!$B$44-B2377)/IF(Inputs!$B$39="pvp",15,MAX(0.1,Skills!D10-IF(Skills!E10=TRUE,Inputs!$B$33,0))))+1)),0)</f>
        <v/>
      </c>
      <c r="S2351">
        <f>IFERROR(O2351/N2351,0)</f>
        <v/>
      </c>
      <c r="T2351">
        <f>IF(C2351,(H2351*N2351*IF(AND(Inputs!$B$39&lt;&gt;"pvp",Inputs!$B$44&gt;0),((Skills!G10*((R2351-1)*IF(Skills!H10&gt;0,Skills!I10/Skills!H10,1)+IF(Skills!H10&gt;0,MIN(Skills!I10,MAX(0,MAX(0,Inputs!$B$44-B2377)-((R2351-1)*IF(Inputs!$B$39="pvp",15,MAX(0.1,Skills!D10-IF(Skills!E10=TRUE,Inputs!$B$33,0))))))/Skills!H10,1)))/Inputs!$B$44),G2351*Q2351))*IF(Inputs!$B$39="pvp",1,1+(Inputs!$B$21+0+Skills!P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Skills!E10=TRUE,Inputs!$B$33,0))))))/Skills!H10,1)))/Inputs!$B$44),G2351*Q2351))*IF(Inputs!$B$39="pvp",1,(1+(Inputs!$B$22+Skills!Q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IFERROR(1/IF(Inputs!$B$39="pvp",15,MAX(0.1,Skills!D12-IF(Skills!E12=TRUE,Inputs!$B$33,0))),0)</f>
        <v/>
      </c>
      <c r="R2353">
        <f>IF(AND(Inputs!$B$39&lt;&gt;"pvp",Inputs!$B$44&gt;0),IF(MAX(0,Inputs!$B$44-B2377)&lt;=0,0,(INT(MAX(0,Inputs!$B$44-B2377)/IF(Inputs!$B$39="pvp",15,MAX(0.1,Skills!D12-IF(Skills!E12=TRUE,Inputs!$B$33,0))))+1)),0)</f>
        <v/>
      </c>
      <c r="S2353">
        <f>IFERROR(O2353/N2353,0)</f>
        <v/>
      </c>
      <c r="T2353">
        <f>IF(C2353,(H2353*N2353*IF(AND(Inputs!$B$39&lt;&gt;"pvp",Inputs!$B$44&gt;0),((Skills!G12*((R2353-1)*IF(Skills!H12&gt;0,Skills!I12/Skills!H12,1)+IF(Skills!H12&gt;0,MIN(Skills!I12,MAX(0,MAX(0,Inputs!$B$44-B2377)-((R2353-1)*IF(Inputs!$B$39="pvp",15,MAX(0.1,Skills!D12-IF(Skills!E12=TRUE,Inputs!$B$33,0))))))/Skills!H12,1)))/Inputs!$B$44),G2353*Q2353))*IF(Inputs!$B$39="pvp",1,1+(Inputs!$B$21+0+Skills!P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Skills!E12=TRUE,Inputs!$B$33,0))))))/Skills!H12,1)))/Inputs!$B$44),G2353*Q2353))*IF(Inputs!$B$39="pvp",1,(1+(Inputs!$B$22+Skills!Q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IFERROR(1/IF(Inputs!$B$39="pvp",15,MAX(0.1,Skills!D13-IF(Skills!E13=TRUE,Inputs!$B$33,0))),0)</f>
        <v/>
      </c>
      <c r="R2354">
        <f>IF(AND(Inputs!$B$39&lt;&gt;"pvp",Inputs!$B$44&gt;0),IF(Inputs!$B$44&lt;=0,0,(INT(Inputs!$B$44/IF(Inputs!$B$39="pvp",15,MAX(0.1,Skills!D13-IF(Skills!E13=TRUE,Inputs!$B$33,0))))+1)),0)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IFERROR(1/IF(Inputs!$B$39="pvp",15,MAX(0.1,Skills!D14-IF(Skills!E14=TRUE,Inputs!$B$33,0))),0)</f>
        <v/>
      </c>
      <c r="R2355">
        <f>IF(AND(Inputs!$B$39&lt;&gt;"pvp",Inputs!$B$44&gt;0),IF(Inputs!$B$44&lt;=0,0,(INT(Inputs!$B$44/IF(Inputs!$B$39="pvp",15,MAX(0.1,Skills!D14-IF(Skills!E14=TRUE,Inputs!$B$33,0))))+1)),0)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IFERROR(1/IF(Inputs!$B$39="pvp",15,MAX(0.1,Skills!D15-IF(Skills!E15=TRUE,Inputs!$B$33,0))),0)</f>
        <v/>
      </c>
      <c r="R2356">
        <f>IF(AND(Inputs!$B$39&lt;&gt;"pvp",Inputs!$B$44&gt;0),IF(Inputs!$B$44&lt;=0,0,(INT(Inputs!$B$44/IF(Inputs!$B$39="pvp",15,MAX(0.1,Skills!D15-IF(Skills!E15=TRUE,Inputs!$B$33,0))))+1)),0)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IFERROR(1/IF(Inputs!$B$39="pvp",15,MAX(0.1,Skills!D16-IF(Skills!E16=TRUE,Inputs!$B$33,0))),0)</f>
        <v/>
      </c>
      <c r="R2357">
        <f>IF(AND(Inputs!$B$39&lt;&gt;"pvp",Inputs!$B$44&gt;0),IF(Inputs!$B$44&lt;=0,0,(INT(Inputs!$B$44/IF(Inputs!$B$39="pvp",15,MAX(0.1,Skills!D16-IF(Skills!E16=TRUE,Inputs!$B$33,0))))+1)),0)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IFERROR(1/IF(Inputs!$B$39="pvp",15,MAX(0.1,Skills!D17-IF(Skills!E17=TRUE,Inputs!$B$33,0))),0)</f>
        <v/>
      </c>
      <c r="R2358">
        <f>IF(AND(Inputs!$B$39&lt;&gt;"pvp",Inputs!$B$44&gt;0),IF(Inputs!$B$44&lt;=0,0,(INT(Inputs!$B$44/IF(Inputs!$B$39="pvp",15,MAX(0.1,Skills!D17-IF(Skills!E17=TRUE,Inputs!$B$33,0))))+1)),0)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IFERROR(1/IF(Inputs!$B$39="pvp",15,MAX(0.1,Skills!D18-IF(Skills!E18=TRUE,Inputs!$B$33,0))),0)</f>
        <v/>
      </c>
      <c r="R2359">
        <f>IF(AND(Inputs!$B$39&lt;&gt;"pvp",Inputs!$B$44&gt;0),IF(Inputs!$B$44&lt;=0,0,(INT(Inputs!$B$44/IF(Inputs!$B$39="pvp",15,MAX(0.1,Skills!D18-IF(Skills!E18=TRUE,Inputs!$B$33,0))))+1)),0)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IFERROR(1/IF(Inputs!$B$39="pvp",15,MAX(0.1,Skills!D19-IF(Skills!E19=TRUE,Inputs!$B$33,0))),0)</f>
        <v/>
      </c>
      <c r="R2360">
        <f>IF(AND(Inputs!$B$39&lt;&gt;"pvp",Inputs!$B$44&gt;0),IF(Inputs!$B$44&lt;=0,0,(INT(Inputs!$B$44/IF(Inputs!$B$39="pvp",15,MAX(0.1,Skills!D19-IF(Skills!E19=TRUE,Inputs!$B$33,0))))+1)),0)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IFERROR(1/IF(Inputs!$B$39="pvp",15,MAX(0.1,Skills!D20-IF(Skills!E20=TRUE,Inputs!$B$33,0))),0)</f>
        <v/>
      </c>
      <c r="R2361">
        <f>IF(AND(Inputs!$B$39&lt;&gt;"pvp",Inputs!$B$44&gt;0),IF(Inputs!$B$44&lt;=0,0,(INT(Inputs!$B$44/IF(Inputs!$B$39="pvp",15,MAX(0.1,Skills!D20-IF(Skills!E20=TRUE,Inputs!$B$33,0))))+1)),0)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Skills!T18*(1+Inputs!$B$35/100))+MIN((Skills!T18*(1+Inputs!$B$35/100)),MAX(0,Inputs!$B$44-((R2359-1)*Skills!D18))))/Inputs!$B$44),IF(Inputs!$B$39="pvp",MIN((Skills!T18*(1+Inputs!$B$35/100)),15)/15,(Skills!T18*(1+Inputs!$B$35/100))/Skills!D18)))</f>
        <v/>
      </c>
    </row>
    <row r="2371">
      <c r="A2371" t="inlineStr">
        <is>
          <t>Attack Speed Buff Bonus %</t>
        </is>
      </c>
      <c r="B2371">
        <f>((C2361=TRUE)*F2361*IF(AND(Inputs!$B$39&lt;&gt;"pvp",Inputs!$B$44&gt;0),(((R2361-1)*(Skills!T20*(1+Inputs!$B$35/100))+MIN((Skills!T20*(1+Inputs!$B$35/100)),MAX(0,Inputs!$B$44-((R2361-1)*Skills!D20))))/Inputs!$B$44),IF(Inputs!$B$39="pvp",MIN((Skills!T20*(1+Inputs!$B$35/100)),15)/15,(Skills!T20*(1+Inputs!$B$35/100))/Skills!D20)))</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Skills!T19*(1+Inputs!$B$35/100))+MIN((Skills!T19*(1+Inputs!$B$35/100)),MAX(0,Inputs!$B$44-((R2360-1)*Skills!D19))))/Inputs!$B$44),IF(Inputs!$B$39="pvp",MIN((Skills!T19*(1+Inputs!$B$35/100)),15)/15,(Skills!T19*(1+Inputs!$B$35/100))/Skills!D19)))</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IFERROR(1/IF(Inputs!$B$39="pvp",15,MAX(0.1,Skills!D5-IF(Skills!E5=TRUE,Inputs!$B$33,0))),0)</f>
        <v/>
      </c>
      <c r="R2388">
        <f>IF(AND(Inputs!$B$39&lt;&gt;"pvp",Inputs!$B$44&gt;0),IF(MAX(0,Inputs!$B$44-B2419)&lt;=0,0,(INT(MAX(0,Inputs!$B$44-B2419)/IF(Inputs!$B$39="pvp",15,MAX(0.1,Skills!D5-IF(Skills!E5=TRUE,Inputs!$B$33,0))))+1)),0)</f>
        <v/>
      </c>
      <c r="S2388">
        <f>IFERROR(O2388/N2388,0)</f>
        <v/>
      </c>
      <c r="T2388">
        <f>IF(C2388,(H2388*N2388*IF(AND(Inputs!$B$39&lt;&gt;"pvp",Inputs!$B$44&gt;0),((Skills!G5*((R2388-1)*IF(Skills!H5&gt;0,Skills!I5/Skills!H5,1)+IF(Skills!H5&gt;0,MIN(Skills!I5,MAX(0,MAX(0,Inputs!$B$44-B2419)-((R2388-1)*IF(Inputs!$B$39="pvp",15,MAX(0.1,Skills!D5-IF(Skills!E5=TRUE,Inputs!$B$33,0))))))/Skills!H5,1)))/Inputs!$B$44),G2388*Q2388))*IF(Inputs!$B$39="pvp",1,1+(Inputs!$B$21+0+Skills!P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Skills!E5=TRUE,Inputs!$B$33,0))))))/Skills!H5,1)))/Inputs!$B$44),G2388*Q2388))*IF(Inputs!$B$39="pvp",1,(1+(Inputs!$B$22+Skills!Q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IFERROR(1/IF(Inputs!$B$39="pvp",15,MAX(0.1,Skills!D6-IF(Skills!E6=TRUE,Inputs!$B$33,0))),0)</f>
        <v/>
      </c>
      <c r="R2389">
        <f>IF(AND(Inputs!$B$39&lt;&gt;"pvp",Inputs!$B$44&gt;0),IF(MAX(0,Inputs!$B$44-B2419)&lt;=0,0,(INT(MAX(0,Inputs!$B$44-B2419)/IF(Inputs!$B$39="pvp",15,MAX(0.1,Skills!D6-IF(Skills!E6=TRUE,Inputs!$B$33,0))))+1)),0)</f>
        <v/>
      </c>
      <c r="S2389">
        <f>IFERROR(O2389/N2389,0)</f>
        <v/>
      </c>
      <c r="T2389">
        <f>IF(C2389,(H2389*N2389*IF(AND(Inputs!$B$39&lt;&gt;"pvp",Inputs!$B$44&gt;0),((Skills!G6*((R2389-1)*IF(Skills!H6&gt;0,Skills!I6/Skills!H6,1)+IF(Skills!H6&gt;0,MIN(Skills!I6,MAX(0,MAX(0,Inputs!$B$44-B2419)-((R2389-1)*IF(Inputs!$B$39="pvp",15,MAX(0.1,Skills!D6-IF(Skills!E6=TRUE,Inputs!$B$33,0))))))/Skills!H6,1)))/Inputs!$B$44),G2389*Q2389))*IF(Inputs!$B$39="pvp",1,1+(Inputs!$B$21+0+Skills!P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Skills!E6=TRUE,Inputs!$B$33,0))))))/Skills!H6,1)))/Inputs!$B$44),G2389*Q2389))*IF(Inputs!$B$39="pvp",1,(1+(Inputs!$B$22+Skills!Q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IFERROR(1/IF(Inputs!$B$39="pvp",15,MAX(0.1,Skills!D7-IF(Skills!E7=TRUE,Inputs!$B$33,0))),0)</f>
        <v/>
      </c>
      <c r="R2390">
        <f>IF(AND(Inputs!$B$39&lt;&gt;"pvp",Inputs!$B$44&gt;0),IF(MAX(0,Inputs!$B$44-B2419)&lt;=0,0,(INT(MAX(0,Inputs!$B$44-B2419)/IF(Inputs!$B$39="pvp",15,MAX(0.1,Skills!D7-IF(Skills!E7=TRUE,Inputs!$B$33,0))))+1)),0)</f>
        <v/>
      </c>
      <c r="S2390">
        <f>IFERROR(O2390/N2390,0)</f>
        <v/>
      </c>
      <c r="T2390">
        <f>IF(C2390,(H2390*N2390*IF(AND(Inputs!$B$39&lt;&gt;"pvp",Inputs!$B$44&gt;0),((Skills!G7*((R2390-1)*IF(Skills!H7&gt;0,Skills!I7/Skills!H7,1)+IF(Skills!H7&gt;0,MIN(Skills!I7,MAX(0,MAX(0,Inputs!$B$44-B2419)-((R2390-1)*IF(Inputs!$B$39="pvp",15,MAX(0.1,Skills!D7-IF(Skills!E7=TRUE,Inputs!$B$33,0))))))/Skills!H7,1)))/Inputs!$B$44),G2390*Q2390))*IF(Inputs!$B$39="pvp",1,1+(Inputs!$B$21+0+Skills!P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Skills!E7=TRUE,Inputs!$B$33,0))))))/Skills!H7,1)))/Inputs!$B$44),G2390*Q2390))*IF(Inputs!$B$39="pvp",1,(1+(Inputs!$B$22+Skills!Q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IFERROR(1/IF(Inputs!$B$39="pvp",15,MAX(0.1,Skills!D9-IF(Skills!E9=TRUE,Inputs!$B$33,0))),0)</f>
        <v/>
      </c>
      <c r="R2392">
        <f>IF(AND(Inputs!$B$39&lt;&gt;"pvp",Inputs!$B$44&gt;0),IF(MAX(0,Inputs!$B$44-B2419)&lt;=0,0,(INT(MAX(0,Inputs!$B$44-B2419)/IF(Inputs!$B$39="pvp",15,MAX(0.1,Skills!D9-IF(Skills!E9=TRUE,Inputs!$B$33,0))))+1)),0)</f>
        <v/>
      </c>
      <c r="S2392">
        <f>IFERROR(O2392/N2392,0)</f>
        <v/>
      </c>
      <c r="T2392">
        <f>IF(C2392,(H2392*N2392*IF(AND(Inputs!$B$39&lt;&gt;"pvp",Inputs!$B$44&gt;0),((Skills!G9*((R2392-1)*IF(Skills!H9&gt;0,Skills!I9/Skills!H9,1)+IF(Skills!H9&gt;0,MIN(Skills!I9,MAX(0,MAX(0,Inputs!$B$44-B2419)-((R2392-1)*IF(Inputs!$B$39="pvp",15,MAX(0.1,Skills!D9-IF(Skills!E9=TRUE,Inputs!$B$33,0))))))/Skills!H9,1)))/Inputs!$B$44),G2392*Q2392))*IF(Inputs!$B$39="pvp",1,1+(Inputs!$B$21+0+Skills!P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Skills!E9=TRUE,Inputs!$B$33,0))))))/Skills!H9,1)))/Inputs!$B$44),G2392*Q2392))*IF(Inputs!$B$39="pvp",1,(1+(Inputs!$B$22+Skills!Q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IFERROR(1/IF(Inputs!$B$39="pvp",15,MAX(0.1,Skills!D10-IF(Skills!E10=TRUE,Inputs!$B$33,0))),0)</f>
        <v/>
      </c>
      <c r="R2393">
        <f>IF(AND(Inputs!$B$39&lt;&gt;"pvp",Inputs!$B$44&gt;0),IF(MAX(0,Inputs!$B$44-B2419)&lt;=0,0,(INT(MAX(0,Inputs!$B$44-B2419)/IF(Inputs!$B$39="pvp",15,MAX(0.1,Skills!D10-IF(Skills!E10=TRUE,Inputs!$B$33,0))))+1)),0)</f>
        <v/>
      </c>
      <c r="S2393">
        <f>IFERROR(O2393/N2393,0)</f>
        <v/>
      </c>
      <c r="T2393">
        <f>IF(C2393,(H2393*N2393*IF(AND(Inputs!$B$39&lt;&gt;"pvp",Inputs!$B$44&gt;0),((Skills!G10*((R2393-1)*IF(Skills!H10&gt;0,Skills!I10/Skills!H10,1)+IF(Skills!H10&gt;0,MIN(Skills!I10,MAX(0,MAX(0,Inputs!$B$44-B2419)-((R2393-1)*IF(Inputs!$B$39="pvp",15,MAX(0.1,Skills!D10-IF(Skills!E10=TRUE,Inputs!$B$33,0))))))/Skills!H10,1)))/Inputs!$B$44),G2393*Q2393))*IF(Inputs!$B$39="pvp",1,1+(Inputs!$B$21+0+Skills!P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Skills!E10=TRUE,Inputs!$B$33,0))))))/Skills!H10,1)))/Inputs!$B$44),G2393*Q2393))*IF(Inputs!$B$39="pvp",1,(1+(Inputs!$B$22+Skills!Q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IFERROR(1/IF(Inputs!$B$39="pvp",15,MAX(0.1,Skills!D12-IF(Skills!E12=TRUE,Inputs!$B$33,0))),0)</f>
        <v/>
      </c>
      <c r="R2395">
        <f>IF(AND(Inputs!$B$39&lt;&gt;"pvp",Inputs!$B$44&gt;0),IF(MAX(0,Inputs!$B$44-B2419)&lt;=0,0,(INT(MAX(0,Inputs!$B$44-B2419)/IF(Inputs!$B$39="pvp",15,MAX(0.1,Skills!D12-IF(Skills!E12=TRUE,Inputs!$B$33,0))))+1)),0)</f>
        <v/>
      </c>
      <c r="S2395">
        <f>IFERROR(O2395/N2395,0)</f>
        <v/>
      </c>
      <c r="T2395">
        <f>IF(C2395,(H2395*N2395*IF(AND(Inputs!$B$39&lt;&gt;"pvp",Inputs!$B$44&gt;0),((Skills!G12*((R2395-1)*IF(Skills!H12&gt;0,Skills!I12/Skills!H12,1)+IF(Skills!H12&gt;0,MIN(Skills!I12,MAX(0,MAX(0,Inputs!$B$44-B2419)-((R2395-1)*IF(Inputs!$B$39="pvp",15,MAX(0.1,Skills!D12-IF(Skills!E12=TRUE,Inputs!$B$33,0))))))/Skills!H12,1)))/Inputs!$B$44),G2395*Q2395))*IF(Inputs!$B$39="pvp",1,1+(Inputs!$B$21+0+Skills!P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Skills!E12=TRUE,Inputs!$B$33,0))))))/Skills!H12,1)))/Inputs!$B$44),G2395*Q2395))*IF(Inputs!$B$39="pvp",1,(1+(Inputs!$B$22+Skills!Q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IFERROR(1/IF(Inputs!$B$39="pvp",15,MAX(0.1,Skills!D13-IF(Skills!E13=TRUE,Inputs!$B$33,0))),0)</f>
        <v/>
      </c>
      <c r="R2396">
        <f>IF(AND(Inputs!$B$39&lt;&gt;"pvp",Inputs!$B$44&gt;0),IF(Inputs!$B$44&lt;=0,0,(INT(Inputs!$B$44/IF(Inputs!$B$39="pvp",15,MAX(0.1,Skills!D13-IF(Skills!E13=TRUE,Inputs!$B$33,0))))+1)),0)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IFERROR(1/IF(Inputs!$B$39="pvp",15,MAX(0.1,Skills!D14-IF(Skills!E14=TRUE,Inputs!$B$33,0))),0)</f>
        <v/>
      </c>
      <c r="R2397">
        <f>IF(AND(Inputs!$B$39&lt;&gt;"pvp",Inputs!$B$44&gt;0),IF(Inputs!$B$44&lt;=0,0,(INT(Inputs!$B$44/IF(Inputs!$B$39="pvp",15,MAX(0.1,Skills!D14-IF(Skills!E14=TRUE,Inputs!$B$33,0))))+1)),0)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IFERROR(1/IF(Inputs!$B$39="pvp",15,MAX(0.1,Skills!D15-IF(Skills!E15=TRUE,Inputs!$B$33,0))),0)</f>
        <v/>
      </c>
      <c r="R2398">
        <f>IF(AND(Inputs!$B$39&lt;&gt;"pvp",Inputs!$B$44&gt;0),IF(Inputs!$B$44&lt;=0,0,(INT(Inputs!$B$44/IF(Inputs!$B$39="pvp",15,MAX(0.1,Skills!D15-IF(Skills!E15=TRUE,Inputs!$B$33,0))))+1)),0)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IFERROR(1/IF(Inputs!$B$39="pvp",15,MAX(0.1,Skills!D16-IF(Skills!E16=TRUE,Inputs!$B$33,0))),0)</f>
        <v/>
      </c>
      <c r="R2399">
        <f>IF(AND(Inputs!$B$39&lt;&gt;"pvp",Inputs!$B$44&gt;0),IF(Inputs!$B$44&lt;=0,0,(INT(Inputs!$B$44/IF(Inputs!$B$39="pvp",15,MAX(0.1,Skills!D16-IF(Skills!E16=TRUE,Inputs!$B$33,0))))+1)),0)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IFERROR(1/IF(Inputs!$B$39="pvp",15,MAX(0.1,Skills!D17-IF(Skills!E17=TRUE,Inputs!$B$33,0))),0)</f>
        <v/>
      </c>
      <c r="R2400">
        <f>IF(AND(Inputs!$B$39&lt;&gt;"pvp",Inputs!$B$44&gt;0),IF(Inputs!$B$44&lt;=0,0,(INT(Inputs!$B$44/IF(Inputs!$B$39="pvp",15,MAX(0.1,Skills!D17-IF(Skills!E17=TRUE,Inputs!$B$33,0))))+1)),0)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IFERROR(1/IF(Inputs!$B$39="pvp",15,MAX(0.1,Skills!D18-IF(Skills!E18=TRUE,Inputs!$B$33,0))),0)</f>
        <v/>
      </c>
      <c r="R2401">
        <f>IF(AND(Inputs!$B$39&lt;&gt;"pvp",Inputs!$B$44&gt;0),IF(Inputs!$B$44&lt;=0,0,(INT(Inputs!$B$44/IF(Inputs!$B$39="pvp",15,MAX(0.1,Skills!D18-IF(Skills!E18=TRUE,Inputs!$B$33,0))))+1)),0)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IFERROR(1/IF(Inputs!$B$39="pvp",15,MAX(0.1,Skills!D19-IF(Skills!E19=TRUE,Inputs!$B$33,0))),0)</f>
        <v/>
      </c>
      <c r="R2402">
        <f>IF(AND(Inputs!$B$39&lt;&gt;"pvp",Inputs!$B$44&gt;0),IF(Inputs!$B$44&lt;=0,0,(INT(Inputs!$B$44/IF(Inputs!$B$39="pvp",15,MAX(0.1,Skills!D19-IF(Skills!E19=TRUE,Inputs!$B$33,0))))+1)),0)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IFERROR(1/IF(Inputs!$B$39="pvp",15,MAX(0.1,Skills!D20-IF(Skills!E20=TRUE,Inputs!$B$33,0))),0)</f>
        <v/>
      </c>
      <c r="R2403">
        <f>IF(AND(Inputs!$B$39&lt;&gt;"pvp",Inputs!$B$44&gt;0),IF(Inputs!$B$44&lt;=0,0,(INT(Inputs!$B$44/IF(Inputs!$B$39="pvp",15,MAX(0.1,Skills!D20-IF(Skills!E20=TRUE,Inputs!$B$33,0))))+1)),0)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Skills!T18*(1+Inputs!$B$35/100))+MIN((Skills!T18*(1+Inputs!$B$35/100)),MAX(0,Inputs!$B$44-((R2401-1)*Skills!D18))))/Inputs!$B$44),IF(Inputs!$B$39="pvp",MIN((Skills!T18*(1+Inputs!$B$35/100)),15)/15,(Skills!T18*(1+Inputs!$B$35/100))/Skills!D18)))</f>
        <v/>
      </c>
    </row>
    <row r="2413">
      <c r="A2413" t="inlineStr">
        <is>
          <t>Attack Speed Buff Bonus %</t>
        </is>
      </c>
      <c r="B2413">
        <f>((C2403=TRUE)*F2403*IF(AND(Inputs!$B$39&lt;&gt;"pvp",Inputs!$B$44&gt;0),(((R2403-1)*(Skills!T20*(1+Inputs!$B$35/100))+MIN((Skills!T20*(1+Inputs!$B$35/100)),MAX(0,Inputs!$B$44-((R2403-1)*Skills!D20))))/Inputs!$B$44),IF(Inputs!$B$39="pvp",MIN((Skills!T20*(1+Inputs!$B$35/100)),15)/15,(Skills!T20*(1+Inputs!$B$35/100))/Skills!D20)))</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Skills!T19*(1+Inputs!$B$35/100))+MIN((Skills!T19*(1+Inputs!$B$35/100)),MAX(0,Inputs!$B$44-((R2402-1)*Skills!D19))))/Inputs!$B$44),IF(Inputs!$B$39="pvp",MIN((Skills!T19*(1+Inputs!$B$35/100)),15)/15,(Skills!T19*(1+Inputs!$B$35/100))/Skills!D19)))</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IFERROR(1/IF(Inputs!$B$39="pvp",15,MAX(0.1,Skills!D5-IF(Skills!E5=TRUE,Inputs!$B$33,0))),0)</f>
        <v/>
      </c>
      <c r="R2430">
        <f>IF(AND(Inputs!$B$39&lt;&gt;"pvp",Inputs!$B$44&gt;0),IF(MAX(0,Inputs!$B$44-B2461)&lt;=0,0,(INT(MAX(0,Inputs!$B$44-B2461)/IF(Inputs!$B$39="pvp",15,MAX(0.1,Skills!D5-IF(Skills!E5=TRUE,Inputs!$B$33,0))))+1)),0)</f>
        <v/>
      </c>
      <c r="S2430">
        <f>IFERROR(O2430/N2430,0)</f>
        <v/>
      </c>
      <c r="T2430">
        <f>IF(C2430,(H2430*N2430*IF(AND(Inputs!$B$39&lt;&gt;"pvp",Inputs!$B$44&gt;0),((Skills!G5*((R2430-1)*IF(Skills!H5&gt;0,Skills!I5/Skills!H5,1)+IF(Skills!H5&gt;0,MIN(Skills!I5,MAX(0,MAX(0,Inputs!$B$44-B2461)-((R2430-1)*IF(Inputs!$B$39="pvp",15,MAX(0.1,Skills!D5-IF(Skills!E5=TRUE,Inputs!$B$33,0))))))/Skills!H5,1)))/Inputs!$B$44),G2430*Q2430))*IF(Inputs!$B$39="pvp",1,1+(Inputs!$B$21+0+Skills!P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Skills!E5=TRUE,Inputs!$B$33,0))))))/Skills!H5,1)))/Inputs!$B$44),G2430*Q2430))*IF(Inputs!$B$39="pvp",1,(1+(Inputs!$B$22+Skills!Q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IFERROR(1/IF(Inputs!$B$39="pvp",15,MAX(0.1,Skills!D6-IF(Skills!E6=TRUE,Inputs!$B$33,0))),0)</f>
        <v/>
      </c>
      <c r="R2431">
        <f>IF(AND(Inputs!$B$39&lt;&gt;"pvp",Inputs!$B$44&gt;0),IF(MAX(0,Inputs!$B$44-B2461)&lt;=0,0,(INT(MAX(0,Inputs!$B$44-B2461)/IF(Inputs!$B$39="pvp",15,MAX(0.1,Skills!D6-IF(Skills!E6=TRUE,Inputs!$B$33,0))))+1)),0)</f>
        <v/>
      </c>
      <c r="S2431">
        <f>IFERROR(O2431/N2431,0)</f>
        <v/>
      </c>
      <c r="T2431">
        <f>IF(C2431,(H2431*N2431*IF(AND(Inputs!$B$39&lt;&gt;"pvp",Inputs!$B$44&gt;0),((Skills!G6*((R2431-1)*IF(Skills!H6&gt;0,Skills!I6/Skills!H6,1)+IF(Skills!H6&gt;0,MIN(Skills!I6,MAX(0,MAX(0,Inputs!$B$44-B2461)-((R2431-1)*IF(Inputs!$B$39="pvp",15,MAX(0.1,Skills!D6-IF(Skills!E6=TRUE,Inputs!$B$33,0))))))/Skills!H6,1)))/Inputs!$B$44),G2431*Q2431))*IF(Inputs!$B$39="pvp",1,1+(Inputs!$B$21+0+Skills!P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Skills!E6=TRUE,Inputs!$B$33,0))))))/Skills!H6,1)))/Inputs!$B$44),G2431*Q2431))*IF(Inputs!$B$39="pvp",1,(1+(Inputs!$B$22+Skills!Q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IFERROR(1/IF(Inputs!$B$39="pvp",15,MAX(0.1,Skills!D7-IF(Skills!E7=TRUE,Inputs!$B$33,0))),0)</f>
        <v/>
      </c>
      <c r="R2432">
        <f>IF(AND(Inputs!$B$39&lt;&gt;"pvp",Inputs!$B$44&gt;0),IF(MAX(0,Inputs!$B$44-B2461)&lt;=0,0,(INT(MAX(0,Inputs!$B$44-B2461)/IF(Inputs!$B$39="pvp",15,MAX(0.1,Skills!D7-IF(Skills!E7=TRUE,Inputs!$B$33,0))))+1)),0)</f>
        <v/>
      </c>
      <c r="S2432">
        <f>IFERROR(O2432/N2432,0)</f>
        <v/>
      </c>
      <c r="T2432">
        <f>IF(C2432,(H2432*N2432*IF(AND(Inputs!$B$39&lt;&gt;"pvp",Inputs!$B$44&gt;0),((Skills!G7*((R2432-1)*IF(Skills!H7&gt;0,Skills!I7/Skills!H7,1)+IF(Skills!H7&gt;0,MIN(Skills!I7,MAX(0,MAX(0,Inputs!$B$44-B2461)-((R2432-1)*IF(Inputs!$B$39="pvp",15,MAX(0.1,Skills!D7-IF(Skills!E7=TRUE,Inputs!$B$33,0))))))/Skills!H7,1)))/Inputs!$B$44),G2432*Q2432))*IF(Inputs!$B$39="pvp",1,1+(Inputs!$B$21+0+Skills!P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Skills!E7=TRUE,Inputs!$B$33,0))))))/Skills!H7,1)))/Inputs!$B$44),G2432*Q2432))*IF(Inputs!$B$39="pvp",1,(1+(Inputs!$B$22+Skills!Q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IFERROR(1/IF(Inputs!$B$39="pvp",15,MAX(0.1,Skills!D9-IF(Skills!E9=TRUE,Inputs!$B$33,0))),0)</f>
        <v/>
      </c>
      <c r="R2434">
        <f>IF(AND(Inputs!$B$39&lt;&gt;"pvp",Inputs!$B$44&gt;0),IF(MAX(0,Inputs!$B$44-B2461)&lt;=0,0,(INT(MAX(0,Inputs!$B$44-B2461)/IF(Inputs!$B$39="pvp",15,MAX(0.1,Skills!D9-IF(Skills!E9=TRUE,Inputs!$B$33,0))))+1)),0)</f>
        <v/>
      </c>
      <c r="S2434">
        <f>IFERROR(O2434/N2434,0)</f>
        <v/>
      </c>
      <c r="T2434">
        <f>IF(C2434,(H2434*N2434*IF(AND(Inputs!$B$39&lt;&gt;"pvp",Inputs!$B$44&gt;0),((Skills!G9*((R2434-1)*IF(Skills!H9&gt;0,Skills!I9/Skills!H9,1)+IF(Skills!H9&gt;0,MIN(Skills!I9,MAX(0,MAX(0,Inputs!$B$44-B2461)-((R2434-1)*IF(Inputs!$B$39="pvp",15,MAX(0.1,Skills!D9-IF(Skills!E9=TRUE,Inputs!$B$33,0))))))/Skills!H9,1)))/Inputs!$B$44),G2434*Q2434))*IF(Inputs!$B$39="pvp",1,1+(Inputs!$B$21+0+Skills!P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Skills!E9=TRUE,Inputs!$B$33,0))))))/Skills!H9,1)))/Inputs!$B$44),G2434*Q2434))*IF(Inputs!$B$39="pvp",1,(1+(Inputs!$B$22+Skills!Q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IFERROR(1/IF(Inputs!$B$39="pvp",15,MAX(0.1,Skills!D10-IF(Skills!E10=TRUE,Inputs!$B$33,0))),0)</f>
        <v/>
      </c>
      <c r="R2435">
        <f>IF(AND(Inputs!$B$39&lt;&gt;"pvp",Inputs!$B$44&gt;0),IF(MAX(0,Inputs!$B$44-B2461)&lt;=0,0,(INT(MAX(0,Inputs!$B$44-B2461)/IF(Inputs!$B$39="pvp",15,MAX(0.1,Skills!D10-IF(Skills!E10=TRUE,Inputs!$B$33,0))))+1)),0)</f>
        <v/>
      </c>
      <c r="S2435">
        <f>IFERROR(O2435/N2435,0)</f>
        <v/>
      </c>
      <c r="T2435">
        <f>IF(C2435,(H2435*N2435*IF(AND(Inputs!$B$39&lt;&gt;"pvp",Inputs!$B$44&gt;0),((Skills!G10*((R2435-1)*IF(Skills!H10&gt;0,Skills!I10/Skills!H10,1)+IF(Skills!H10&gt;0,MIN(Skills!I10,MAX(0,MAX(0,Inputs!$B$44-B2461)-((R2435-1)*IF(Inputs!$B$39="pvp",15,MAX(0.1,Skills!D10-IF(Skills!E10=TRUE,Inputs!$B$33,0))))))/Skills!H10,1)))/Inputs!$B$44),G2435*Q2435))*IF(Inputs!$B$39="pvp",1,1+(Inputs!$B$21+0+Skills!P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Skills!E10=TRUE,Inputs!$B$33,0))))))/Skills!H10,1)))/Inputs!$B$44),G2435*Q2435))*IF(Inputs!$B$39="pvp",1,(1+(Inputs!$B$22+Skills!Q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IFERROR(1/IF(Inputs!$B$39="pvp",15,MAX(0.1,Skills!D12-IF(Skills!E12=TRUE,Inputs!$B$33,0))),0)</f>
        <v/>
      </c>
      <c r="R2437">
        <f>IF(AND(Inputs!$B$39&lt;&gt;"pvp",Inputs!$B$44&gt;0),IF(MAX(0,Inputs!$B$44-B2461)&lt;=0,0,(INT(MAX(0,Inputs!$B$44-B2461)/IF(Inputs!$B$39="pvp",15,MAX(0.1,Skills!D12-IF(Skills!E12=TRUE,Inputs!$B$33,0))))+1)),0)</f>
        <v/>
      </c>
      <c r="S2437">
        <f>IFERROR(O2437/N2437,0)</f>
        <v/>
      </c>
      <c r="T2437">
        <f>IF(C2437,(H2437*N2437*IF(AND(Inputs!$B$39&lt;&gt;"pvp",Inputs!$B$44&gt;0),((Skills!G12*((R2437-1)*IF(Skills!H12&gt;0,Skills!I12/Skills!H12,1)+IF(Skills!H12&gt;0,MIN(Skills!I12,MAX(0,MAX(0,Inputs!$B$44-B2461)-((R2437-1)*IF(Inputs!$B$39="pvp",15,MAX(0.1,Skills!D12-IF(Skills!E12=TRUE,Inputs!$B$33,0))))))/Skills!H12,1)))/Inputs!$B$44),G2437*Q2437))*IF(Inputs!$B$39="pvp",1,1+(Inputs!$B$21+0+Skills!P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Skills!E12=TRUE,Inputs!$B$33,0))))))/Skills!H12,1)))/Inputs!$B$44),G2437*Q2437))*IF(Inputs!$B$39="pvp",1,(1+(Inputs!$B$22+Skills!Q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IFERROR(1/IF(Inputs!$B$39="pvp",15,MAX(0.1,Skills!D13-IF(Skills!E13=TRUE,Inputs!$B$33,0))),0)</f>
        <v/>
      </c>
      <c r="R2438">
        <f>IF(AND(Inputs!$B$39&lt;&gt;"pvp",Inputs!$B$44&gt;0),IF(Inputs!$B$44&lt;=0,0,(INT(Inputs!$B$44/IF(Inputs!$B$39="pvp",15,MAX(0.1,Skills!D13-IF(Skills!E13=TRUE,Inputs!$B$33,0))))+1)),0)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IFERROR(1/IF(Inputs!$B$39="pvp",15,MAX(0.1,Skills!D14-IF(Skills!E14=TRUE,Inputs!$B$33,0))),0)</f>
        <v/>
      </c>
      <c r="R2439">
        <f>IF(AND(Inputs!$B$39&lt;&gt;"pvp",Inputs!$B$44&gt;0),IF(Inputs!$B$44&lt;=0,0,(INT(Inputs!$B$44/IF(Inputs!$B$39="pvp",15,MAX(0.1,Skills!D14-IF(Skills!E14=TRUE,Inputs!$B$33,0))))+1)),0)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IFERROR(1/IF(Inputs!$B$39="pvp",15,MAX(0.1,Skills!D15-IF(Skills!E15=TRUE,Inputs!$B$33,0))),0)</f>
        <v/>
      </c>
      <c r="R2440">
        <f>IF(AND(Inputs!$B$39&lt;&gt;"pvp",Inputs!$B$44&gt;0),IF(Inputs!$B$44&lt;=0,0,(INT(Inputs!$B$44/IF(Inputs!$B$39="pvp",15,MAX(0.1,Skills!D15-IF(Skills!E15=TRUE,Inputs!$B$33,0))))+1)),0)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IFERROR(1/IF(Inputs!$B$39="pvp",15,MAX(0.1,Skills!D16-IF(Skills!E16=TRUE,Inputs!$B$33,0))),0)</f>
        <v/>
      </c>
      <c r="R2441">
        <f>IF(AND(Inputs!$B$39&lt;&gt;"pvp",Inputs!$B$44&gt;0),IF(Inputs!$B$44&lt;=0,0,(INT(Inputs!$B$44/IF(Inputs!$B$39="pvp",15,MAX(0.1,Skills!D16-IF(Skills!E16=TRUE,Inputs!$B$33,0))))+1)),0)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IFERROR(1/IF(Inputs!$B$39="pvp",15,MAX(0.1,Skills!D17-IF(Skills!E17=TRUE,Inputs!$B$33,0))),0)</f>
        <v/>
      </c>
      <c r="R2442">
        <f>IF(AND(Inputs!$B$39&lt;&gt;"pvp",Inputs!$B$44&gt;0),IF(Inputs!$B$44&lt;=0,0,(INT(Inputs!$B$44/IF(Inputs!$B$39="pvp",15,MAX(0.1,Skills!D17-IF(Skills!E17=TRUE,Inputs!$B$33,0))))+1)),0)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IFERROR(1/IF(Inputs!$B$39="pvp",15,MAX(0.1,Skills!D18-IF(Skills!E18=TRUE,Inputs!$B$33,0))),0)</f>
        <v/>
      </c>
      <c r="R2443">
        <f>IF(AND(Inputs!$B$39&lt;&gt;"pvp",Inputs!$B$44&gt;0),IF(Inputs!$B$44&lt;=0,0,(INT(Inputs!$B$44/IF(Inputs!$B$39="pvp",15,MAX(0.1,Skills!D18-IF(Skills!E18=TRUE,Inputs!$B$33,0))))+1)),0)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IFERROR(1/IF(Inputs!$B$39="pvp",15,MAX(0.1,Skills!D19-IF(Skills!E19=TRUE,Inputs!$B$33,0))),0)</f>
        <v/>
      </c>
      <c r="R2444">
        <f>IF(AND(Inputs!$B$39&lt;&gt;"pvp",Inputs!$B$44&gt;0),IF(Inputs!$B$44&lt;=0,0,(INT(Inputs!$B$44/IF(Inputs!$B$39="pvp",15,MAX(0.1,Skills!D19-IF(Skills!E19=TRUE,Inputs!$B$33,0))))+1)),0)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IFERROR(1/IF(Inputs!$B$39="pvp",15,MAX(0.1,Skills!D20-IF(Skills!E20=TRUE,Inputs!$B$33,0))),0)</f>
        <v/>
      </c>
      <c r="R2445">
        <f>IF(AND(Inputs!$B$39&lt;&gt;"pvp",Inputs!$B$44&gt;0),IF(Inputs!$B$44&lt;=0,0,(INT(Inputs!$B$44/IF(Inputs!$B$39="pvp",15,MAX(0.1,Skills!D20-IF(Skills!E20=TRUE,Inputs!$B$33,0))))+1)),0)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Skills!T18*(1+Inputs!$B$35/100))+MIN((Skills!T18*(1+Inputs!$B$35/100)),MAX(0,Inputs!$B$44-((R2443-1)*Skills!D18))))/Inputs!$B$44),IF(Inputs!$B$39="pvp",MIN((Skills!T18*(1+Inputs!$B$35/100)),15)/15,(Skills!T18*(1+Inputs!$B$35/100))/Skills!D18)))</f>
        <v/>
      </c>
    </row>
    <row r="2455">
      <c r="A2455" t="inlineStr">
        <is>
          <t>Attack Speed Buff Bonus %</t>
        </is>
      </c>
      <c r="B2455">
        <f>((C2445=TRUE)*F2445*IF(AND(Inputs!$B$39&lt;&gt;"pvp",Inputs!$B$44&gt;0),(((R2445-1)*(Skills!T20*(1+Inputs!$B$35/100))+MIN((Skills!T20*(1+Inputs!$B$35/100)),MAX(0,Inputs!$B$44-((R2445-1)*Skills!D20))))/Inputs!$B$44),IF(Inputs!$B$39="pvp",MIN((Skills!T20*(1+Inputs!$B$35/100)),15)/15,(Skills!T20*(1+Inputs!$B$35/100))/Skills!D20)))</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Skills!T19*(1+Inputs!$B$35/100))+MIN((Skills!T19*(1+Inputs!$B$35/100)),MAX(0,Inputs!$B$44-((R2444-1)*Skills!D19))))/Inputs!$B$44),IF(Inputs!$B$39="pvp",MIN((Skills!T19*(1+Inputs!$B$35/100)),15)/15,(Skills!T19*(1+Inputs!$B$35/100))/Skills!D19)))</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IFERROR(1/IF(Inputs!$B$39="pvp",15,MAX(0.1,Skills!D5-IF(Skills!E5=TRUE,Inputs!$B$33,0))),0)</f>
        <v/>
      </c>
      <c r="R2472">
        <f>IF(AND(Inputs!$B$39&lt;&gt;"pvp",Inputs!$B$44&gt;0),IF(MAX(0,Inputs!$B$44-B2503)&lt;=0,0,(INT(MAX(0,Inputs!$B$44-B2503)/IF(Inputs!$B$39="pvp",15,MAX(0.1,Skills!D5-IF(Skills!E5=TRUE,Inputs!$B$33,0))))+1)),0)</f>
        <v/>
      </c>
      <c r="S2472">
        <f>IFERROR(O2472/N2472,0)</f>
        <v/>
      </c>
      <c r="T2472">
        <f>IF(C2472,(H2472*N2472*IF(AND(Inputs!$B$39&lt;&gt;"pvp",Inputs!$B$44&gt;0),((Skills!G5*((R2472-1)*IF(Skills!H5&gt;0,Skills!I5/Skills!H5,1)+IF(Skills!H5&gt;0,MIN(Skills!I5,MAX(0,MAX(0,Inputs!$B$44-B2503)-((R2472-1)*IF(Inputs!$B$39="pvp",15,MAX(0.1,Skills!D5-IF(Skills!E5=TRUE,Inputs!$B$33,0))))))/Skills!H5,1)))/Inputs!$B$44),G2472*Q2472))*IF(Inputs!$B$39="pvp",1,1+(Inputs!$B$21+0+Skills!P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Skills!E5=TRUE,Inputs!$B$33,0))))))/Skills!H5,1)))/Inputs!$B$44),G2472*Q2472))*IF(Inputs!$B$39="pvp",1,(1+(Inputs!$B$22+Skills!Q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IFERROR(1/IF(Inputs!$B$39="pvp",15,MAX(0.1,Skills!D6-IF(Skills!E6=TRUE,Inputs!$B$33,0))),0)</f>
        <v/>
      </c>
      <c r="R2473">
        <f>IF(AND(Inputs!$B$39&lt;&gt;"pvp",Inputs!$B$44&gt;0),IF(MAX(0,Inputs!$B$44-B2503)&lt;=0,0,(INT(MAX(0,Inputs!$B$44-B2503)/IF(Inputs!$B$39="pvp",15,MAX(0.1,Skills!D6-IF(Skills!E6=TRUE,Inputs!$B$33,0))))+1)),0)</f>
        <v/>
      </c>
      <c r="S2473">
        <f>IFERROR(O2473/N2473,0)</f>
        <v/>
      </c>
      <c r="T2473">
        <f>IF(C2473,(H2473*N2473*IF(AND(Inputs!$B$39&lt;&gt;"pvp",Inputs!$B$44&gt;0),((Skills!G6*((R2473-1)*IF(Skills!H6&gt;0,Skills!I6/Skills!H6,1)+IF(Skills!H6&gt;0,MIN(Skills!I6,MAX(0,MAX(0,Inputs!$B$44-B2503)-((R2473-1)*IF(Inputs!$B$39="pvp",15,MAX(0.1,Skills!D6-IF(Skills!E6=TRUE,Inputs!$B$33,0))))))/Skills!H6,1)))/Inputs!$B$44),G2473*Q2473))*IF(Inputs!$B$39="pvp",1,1+(Inputs!$B$21+0+Skills!P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Skills!E6=TRUE,Inputs!$B$33,0))))))/Skills!H6,1)))/Inputs!$B$44),G2473*Q2473))*IF(Inputs!$B$39="pvp",1,(1+(Inputs!$B$22+Skills!Q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IFERROR(1/IF(Inputs!$B$39="pvp",15,MAX(0.1,Skills!D7-IF(Skills!E7=TRUE,Inputs!$B$33,0))),0)</f>
        <v/>
      </c>
      <c r="R2474">
        <f>IF(AND(Inputs!$B$39&lt;&gt;"pvp",Inputs!$B$44&gt;0),IF(MAX(0,Inputs!$B$44-B2503)&lt;=0,0,(INT(MAX(0,Inputs!$B$44-B2503)/IF(Inputs!$B$39="pvp",15,MAX(0.1,Skills!D7-IF(Skills!E7=TRUE,Inputs!$B$33,0))))+1)),0)</f>
        <v/>
      </c>
      <c r="S2474">
        <f>IFERROR(O2474/N2474,0)</f>
        <v/>
      </c>
      <c r="T2474">
        <f>IF(C2474,(H2474*N2474*IF(AND(Inputs!$B$39&lt;&gt;"pvp",Inputs!$B$44&gt;0),((Skills!G7*((R2474-1)*IF(Skills!H7&gt;0,Skills!I7/Skills!H7,1)+IF(Skills!H7&gt;0,MIN(Skills!I7,MAX(0,MAX(0,Inputs!$B$44-B2503)-((R2474-1)*IF(Inputs!$B$39="pvp",15,MAX(0.1,Skills!D7-IF(Skills!E7=TRUE,Inputs!$B$33,0))))))/Skills!H7,1)))/Inputs!$B$44),G2474*Q2474))*IF(Inputs!$B$39="pvp",1,1+(Inputs!$B$21+0+Skills!P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Skills!E7=TRUE,Inputs!$B$33,0))))))/Skills!H7,1)))/Inputs!$B$44),G2474*Q2474))*IF(Inputs!$B$39="pvp",1,(1+(Inputs!$B$22+Skills!Q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IFERROR(1/IF(Inputs!$B$39="pvp",15,MAX(0.1,Skills!D9-IF(Skills!E9=TRUE,Inputs!$B$33,0))),0)</f>
        <v/>
      </c>
      <c r="R2476">
        <f>IF(AND(Inputs!$B$39&lt;&gt;"pvp",Inputs!$B$44&gt;0),IF(MAX(0,Inputs!$B$44-B2503)&lt;=0,0,(INT(MAX(0,Inputs!$B$44-B2503)/IF(Inputs!$B$39="pvp",15,MAX(0.1,Skills!D9-IF(Skills!E9=TRUE,Inputs!$B$33,0))))+1)),0)</f>
        <v/>
      </c>
      <c r="S2476">
        <f>IFERROR(O2476/N2476,0)</f>
        <v/>
      </c>
      <c r="T2476">
        <f>IF(C2476,(H2476*N2476*IF(AND(Inputs!$B$39&lt;&gt;"pvp",Inputs!$B$44&gt;0),((Skills!G9*((R2476-1)*IF(Skills!H9&gt;0,Skills!I9/Skills!H9,1)+IF(Skills!H9&gt;0,MIN(Skills!I9,MAX(0,MAX(0,Inputs!$B$44-B2503)-((R2476-1)*IF(Inputs!$B$39="pvp",15,MAX(0.1,Skills!D9-IF(Skills!E9=TRUE,Inputs!$B$33,0))))))/Skills!H9,1)))/Inputs!$B$44),G2476*Q2476))*IF(Inputs!$B$39="pvp",1,1+(Inputs!$B$21+0+Skills!P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Skills!E9=TRUE,Inputs!$B$33,0))))))/Skills!H9,1)))/Inputs!$B$44),G2476*Q2476))*IF(Inputs!$B$39="pvp",1,(1+(Inputs!$B$22+Skills!Q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IFERROR(1/IF(Inputs!$B$39="pvp",15,MAX(0.1,Skills!D10-IF(Skills!E10=TRUE,Inputs!$B$33,0))),0)</f>
        <v/>
      </c>
      <c r="R2477">
        <f>IF(AND(Inputs!$B$39&lt;&gt;"pvp",Inputs!$B$44&gt;0),IF(MAX(0,Inputs!$B$44-B2503)&lt;=0,0,(INT(MAX(0,Inputs!$B$44-B2503)/IF(Inputs!$B$39="pvp",15,MAX(0.1,Skills!D10-IF(Skills!E10=TRUE,Inputs!$B$33,0))))+1)),0)</f>
        <v/>
      </c>
      <c r="S2477">
        <f>IFERROR(O2477/N2477,0)</f>
        <v/>
      </c>
      <c r="T2477">
        <f>IF(C2477,(H2477*N2477*IF(AND(Inputs!$B$39&lt;&gt;"pvp",Inputs!$B$44&gt;0),((Skills!G10*((R2477-1)*IF(Skills!H10&gt;0,Skills!I10/Skills!H10,1)+IF(Skills!H10&gt;0,MIN(Skills!I10,MAX(0,MAX(0,Inputs!$B$44-B2503)-((R2477-1)*IF(Inputs!$B$39="pvp",15,MAX(0.1,Skills!D10-IF(Skills!E10=TRUE,Inputs!$B$33,0))))))/Skills!H10,1)))/Inputs!$B$44),G2477*Q2477))*IF(Inputs!$B$39="pvp",1,1+(Inputs!$B$21+0+Skills!P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Skills!E10=TRUE,Inputs!$B$33,0))))))/Skills!H10,1)))/Inputs!$B$44),G2477*Q2477))*IF(Inputs!$B$39="pvp",1,(1+(Inputs!$B$22+Skills!Q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IFERROR(1/IF(Inputs!$B$39="pvp",15,MAX(0.1,Skills!D12-IF(Skills!E12=TRUE,Inputs!$B$33,0))),0)</f>
        <v/>
      </c>
      <c r="R2479">
        <f>IF(AND(Inputs!$B$39&lt;&gt;"pvp",Inputs!$B$44&gt;0),IF(MAX(0,Inputs!$B$44-B2503)&lt;=0,0,(INT(MAX(0,Inputs!$B$44-B2503)/IF(Inputs!$B$39="pvp",15,MAX(0.1,Skills!D12-IF(Skills!E12=TRUE,Inputs!$B$33,0))))+1)),0)</f>
        <v/>
      </c>
      <c r="S2479">
        <f>IFERROR(O2479/N2479,0)</f>
        <v/>
      </c>
      <c r="T2479">
        <f>IF(C2479,(H2479*N2479*IF(AND(Inputs!$B$39&lt;&gt;"pvp",Inputs!$B$44&gt;0),((Skills!G12*((R2479-1)*IF(Skills!H12&gt;0,Skills!I12/Skills!H12,1)+IF(Skills!H12&gt;0,MIN(Skills!I12,MAX(0,MAX(0,Inputs!$B$44-B2503)-((R2479-1)*IF(Inputs!$B$39="pvp",15,MAX(0.1,Skills!D12-IF(Skills!E12=TRUE,Inputs!$B$33,0))))))/Skills!H12,1)))/Inputs!$B$44),G2479*Q2479))*IF(Inputs!$B$39="pvp",1,1+(Inputs!$B$21+0+Skills!P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Skills!E12=TRUE,Inputs!$B$33,0))))))/Skills!H12,1)))/Inputs!$B$44),G2479*Q2479))*IF(Inputs!$B$39="pvp",1,(1+(Inputs!$B$22+Skills!Q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IFERROR(1/IF(Inputs!$B$39="pvp",15,MAX(0.1,Skills!D13-IF(Skills!E13=TRUE,Inputs!$B$33,0))),0)</f>
        <v/>
      </c>
      <c r="R2480">
        <f>IF(AND(Inputs!$B$39&lt;&gt;"pvp",Inputs!$B$44&gt;0),IF(Inputs!$B$44&lt;=0,0,(INT(Inputs!$B$44/IF(Inputs!$B$39="pvp",15,MAX(0.1,Skills!D13-IF(Skills!E13=TRUE,Inputs!$B$33,0))))+1)),0)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IFERROR(1/IF(Inputs!$B$39="pvp",15,MAX(0.1,Skills!D14-IF(Skills!E14=TRUE,Inputs!$B$33,0))),0)</f>
        <v/>
      </c>
      <c r="R2481">
        <f>IF(AND(Inputs!$B$39&lt;&gt;"pvp",Inputs!$B$44&gt;0),IF(Inputs!$B$44&lt;=0,0,(INT(Inputs!$B$44/IF(Inputs!$B$39="pvp",15,MAX(0.1,Skills!D14-IF(Skills!E14=TRUE,Inputs!$B$33,0))))+1)),0)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IFERROR(1/IF(Inputs!$B$39="pvp",15,MAX(0.1,Skills!D15-IF(Skills!E15=TRUE,Inputs!$B$33,0))),0)</f>
        <v/>
      </c>
      <c r="R2482">
        <f>IF(AND(Inputs!$B$39&lt;&gt;"pvp",Inputs!$B$44&gt;0),IF(Inputs!$B$44&lt;=0,0,(INT(Inputs!$B$44/IF(Inputs!$B$39="pvp",15,MAX(0.1,Skills!D15-IF(Skills!E15=TRUE,Inputs!$B$33,0))))+1)),0)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IFERROR(1/IF(Inputs!$B$39="pvp",15,MAX(0.1,Skills!D16-IF(Skills!E16=TRUE,Inputs!$B$33,0))),0)</f>
        <v/>
      </c>
      <c r="R2483">
        <f>IF(AND(Inputs!$B$39&lt;&gt;"pvp",Inputs!$B$44&gt;0),IF(Inputs!$B$44&lt;=0,0,(INT(Inputs!$B$44/IF(Inputs!$B$39="pvp",15,MAX(0.1,Skills!D16-IF(Skills!E16=TRUE,Inputs!$B$33,0))))+1)),0)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IFERROR(1/IF(Inputs!$B$39="pvp",15,MAX(0.1,Skills!D17-IF(Skills!E17=TRUE,Inputs!$B$33,0))),0)</f>
        <v/>
      </c>
      <c r="R2484">
        <f>IF(AND(Inputs!$B$39&lt;&gt;"pvp",Inputs!$B$44&gt;0),IF(Inputs!$B$44&lt;=0,0,(INT(Inputs!$B$44/IF(Inputs!$B$39="pvp",15,MAX(0.1,Skills!D17-IF(Skills!E17=TRUE,Inputs!$B$33,0))))+1)),0)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IFERROR(1/IF(Inputs!$B$39="pvp",15,MAX(0.1,Skills!D18-IF(Skills!E18=TRUE,Inputs!$B$33,0))),0)</f>
        <v/>
      </c>
      <c r="R2485">
        <f>IF(AND(Inputs!$B$39&lt;&gt;"pvp",Inputs!$B$44&gt;0),IF(Inputs!$B$44&lt;=0,0,(INT(Inputs!$B$44/IF(Inputs!$B$39="pvp",15,MAX(0.1,Skills!D18-IF(Skills!E18=TRUE,Inputs!$B$33,0))))+1)),0)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IFERROR(1/IF(Inputs!$B$39="pvp",15,MAX(0.1,Skills!D19-IF(Skills!E19=TRUE,Inputs!$B$33,0))),0)</f>
        <v/>
      </c>
      <c r="R2486">
        <f>IF(AND(Inputs!$B$39&lt;&gt;"pvp",Inputs!$B$44&gt;0),IF(Inputs!$B$44&lt;=0,0,(INT(Inputs!$B$44/IF(Inputs!$B$39="pvp",15,MAX(0.1,Skills!D19-IF(Skills!E19=TRUE,Inputs!$B$33,0))))+1)),0)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IFERROR(1/IF(Inputs!$B$39="pvp",15,MAX(0.1,Skills!D20-IF(Skills!E20=TRUE,Inputs!$B$33,0))),0)</f>
        <v/>
      </c>
      <c r="R2487">
        <f>IF(AND(Inputs!$B$39&lt;&gt;"pvp",Inputs!$B$44&gt;0),IF(Inputs!$B$44&lt;=0,0,(INT(Inputs!$B$44/IF(Inputs!$B$39="pvp",15,MAX(0.1,Skills!D20-IF(Skills!E20=TRUE,Inputs!$B$33,0))))+1)),0)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Skills!T18*(1+Inputs!$B$35/100))+MIN((Skills!T18*(1+Inputs!$B$35/100)),MAX(0,Inputs!$B$44-((R2485-1)*Skills!D18))))/Inputs!$B$44),IF(Inputs!$B$39="pvp",MIN((Skills!T18*(1+Inputs!$B$35/100)),15)/15,(Skills!T18*(1+Inputs!$B$35/100))/Skills!D18)))</f>
        <v/>
      </c>
    </row>
    <row r="2497">
      <c r="A2497" t="inlineStr">
        <is>
          <t>Attack Speed Buff Bonus %</t>
        </is>
      </c>
      <c r="B2497">
        <f>((C2487=TRUE)*F2487*IF(AND(Inputs!$B$39&lt;&gt;"pvp",Inputs!$B$44&gt;0),(((R2487-1)*(Skills!T20*(1+Inputs!$B$35/100))+MIN((Skills!T20*(1+Inputs!$B$35/100)),MAX(0,Inputs!$B$44-((R2487-1)*Skills!D20))))/Inputs!$B$44),IF(Inputs!$B$39="pvp",MIN((Skills!T20*(1+Inputs!$B$35/100)),15)/15,(Skills!T20*(1+Inputs!$B$35/100))/Skills!D20)))</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Skills!T19*(1+Inputs!$B$35/100))+MIN((Skills!T19*(1+Inputs!$B$35/100)),MAX(0,Inputs!$B$44-((R2486-1)*Skills!D19))))/Inputs!$B$44),IF(Inputs!$B$39="pvp",MIN((Skills!T19*(1+Inputs!$B$35/100)),15)/15,(Skills!T19*(1+Inputs!$B$35/100))/Skills!D19)))</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IFERROR(1/IF(Inputs!$B$39="pvp",15,MAX(0.1,Skills!D5-IF(Skills!E5=TRUE,Inputs!$B$33,0))),0)</f>
        <v/>
      </c>
      <c r="R2514">
        <f>IF(AND(Inputs!$B$39&lt;&gt;"pvp",Inputs!$B$44&gt;0),IF(MAX(0,Inputs!$B$44-B2545)&lt;=0,0,(INT(MAX(0,Inputs!$B$44-B2545)/IF(Inputs!$B$39="pvp",15,MAX(0.1,Skills!D5-IF(Skills!E5=TRUE,Inputs!$B$33,0))))+1)),0)</f>
        <v/>
      </c>
      <c r="S2514">
        <f>IFERROR(O2514/N2514,0)</f>
        <v/>
      </c>
      <c r="T2514">
        <f>IF(C2514,(H2514*N2514*IF(AND(Inputs!$B$39&lt;&gt;"pvp",Inputs!$B$44&gt;0),((Skills!G5*((R2514-1)*IF(Skills!H5&gt;0,Skills!I5/Skills!H5,1)+IF(Skills!H5&gt;0,MIN(Skills!I5,MAX(0,MAX(0,Inputs!$B$44-B2545)-((R2514-1)*IF(Inputs!$B$39="pvp",15,MAX(0.1,Skills!D5-IF(Skills!E5=TRUE,Inputs!$B$33,0))))))/Skills!H5,1)))/Inputs!$B$44),G2514*Q2514))*IF(Inputs!$B$39="pvp",1,1+(Inputs!$B$21+0+Skills!P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Skills!E5=TRUE,Inputs!$B$33,0))))))/Skills!H5,1)))/Inputs!$B$44),G2514*Q2514))*IF(Inputs!$B$39="pvp",1,(1+(Inputs!$B$22+Skills!Q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IFERROR(1/IF(Inputs!$B$39="pvp",15,MAX(0.1,Skills!D6-IF(Skills!E6=TRUE,Inputs!$B$33,0))),0)</f>
        <v/>
      </c>
      <c r="R2515">
        <f>IF(AND(Inputs!$B$39&lt;&gt;"pvp",Inputs!$B$44&gt;0),IF(MAX(0,Inputs!$B$44-B2545)&lt;=0,0,(INT(MAX(0,Inputs!$B$44-B2545)/IF(Inputs!$B$39="pvp",15,MAX(0.1,Skills!D6-IF(Skills!E6=TRUE,Inputs!$B$33,0))))+1)),0)</f>
        <v/>
      </c>
      <c r="S2515">
        <f>IFERROR(O2515/N2515,0)</f>
        <v/>
      </c>
      <c r="T2515">
        <f>IF(C2515,(H2515*N2515*IF(AND(Inputs!$B$39&lt;&gt;"pvp",Inputs!$B$44&gt;0),((Skills!G6*((R2515-1)*IF(Skills!H6&gt;0,Skills!I6/Skills!H6,1)+IF(Skills!H6&gt;0,MIN(Skills!I6,MAX(0,MAX(0,Inputs!$B$44-B2545)-((R2515-1)*IF(Inputs!$B$39="pvp",15,MAX(0.1,Skills!D6-IF(Skills!E6=TRUE,Inputs!$B$33,0))))))/Skills!H6,1)))/Inputs!$B$44),G2515*Q2515))*IF(Inputs!$B$39="pvp",1,1+(Inputs!$B$21+0+Skills!P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Skills!E6=TRUE,Inputs!$B$33,0))))))/Skills!H6,1)))/Inputs!$B$44),G2515*Q2515))*IF(Inputs!$B$39="pvp",1,(1+(Inputs!$B$22+Skills!Q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IFERROR(1/IF(Inputs!$B$39="pvp",15,MAX(0.1,Skills!D7-IF(Skills!E7=TRUE,Inputs!$B$33,0))),0)</f>
        <v/>
      </c>
      <c r="R2516">
        <f>IF(AND(Inputs!$B$39&lt;&gt;"pvp",Inputs!$B$44&gt;0),IF(MAX(0,Inputs!$B$44-B2545)&lt;=0,0,(INT(MAX(0,Inputs!$B$44-B2545)/IF(Inputs!$B$39="pvp",15,MAX(0.1,Skills!D7-IF(Skills!E7=TRUE,Inputs!$B$33,0))))+1)),0)</f>
        <v/>
      </c>
      <c r="S2516">
        <f>IFERROR(O2516/N2516,0)</f>
        <v/>
      </c>
      <c r="T2516">
        <f>IF(C2516,(H2516*N2516*IF(AND(Inputs!$B$39&lt;&gt;"pvp",Inputs!$B$44&gt;0),((Skills!G7*((R2516-1)*IF(Skills!H7&gt;0,Skills!I7/Skills!H7,1)+IF(Skills!H7&gt;0,MIN(Skills!I7,MAX(0,MAX(0,Inputs!$B$44-B2545)-((R2516-1)*IF(Inputs!$B$39="pvp",15,MAX(0.1,Skills!D7-IF(Skills!E7=TRUE,Inputs!$B$33,0))))))/Skills!H7,1)))/Inputs!$B$44),G2516*Q2516))*IF(Inputs!$B$39="pvp",1,1+(Inputs!$B$21+0+Skills!P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Skills!E7=TRUE,Inputs!$B$33,0))))))/Skills!H7,1)))/Inputs!$B$44),G2516*Q2516))*IF(Inputs!$B$39="pvp",1,(1+(Inputs!$B$22+Skills!Q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IFERROR(1/IF(Inputs!$B$39="pvp",15,MAX(0.1,Skills!D9-IF(Skills!E9=TRUE,Inputs!$B$33,0))),0)</f>
        <v/>
      </c>
      <c r="R2518">
        <f>IF(AND(Inputs!$B$39&lt;&gt;"pvp",Inputs!$B$44&gt;0),IF(MAX(0,Inputs!$B$44-B2545)&lt;=0,0,(INT(MAX(0,Inputs!$B$44-B2545)/IF(Inputs!$B$39="pvp",15,MAX(0.1,Skills!D9-IF(Skills!E9=TRUE,Inputs!$B$33,0))))+1)),0)</f>
        <v/>
      </c>
      <c r="S2518">
        <f>IFERROR(O2518/N2518,0)</f>
        <v/>
      </c>
      <c r="T2518">
        <f>IF(C2518,(H2518*N2518*IF(AND(Inputs!$B$39&lt;&gt;"pvp",Inputs!$B$44&gt;0),((Skills!G9*((R2518-1)*IF(Skills!H9&gt;0,Skills!I9/Skills!H9,1)+IF(Skills!H9&gt;0,MIN(Skills!I9,MAX(0,MAX(0,Inputs!$B$44-B2545)-((R2518-1)*IF(Inputs!$B$39="pvp",15,MAX(0.1,Skills!D9-IF(Skills!E9=TRUE,Inputs!$B$33,0))))))/Skills!H9,1)))/Inputs!$B$44),G2518*Q2518))*IF(Inputs!$B$39="pvp",1,1+(Inputs!$B$21+0+Skills!P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Skills!E9=TRUE,Inputs!$B$33,0))))))/Skills!H9,1)))/Inputs!$B$44),G2518*Q2518))*IF(Inputs!$B$39="pvp",1,(1+(Inputs!$B$22+Skills!Q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IFERROR(1/IF(Inputs!$B$39="pvp",15,MAX(0.1,Skills!D10-IF(Skills!E10=TRUE,Inputs!$B$33,0))),0)</f>
        <v/>
      </c>
      <c r="R2519">
        <f>IF(AND(Inputs!$B$39&lt;&gt;"pvp",Inputs!$B$44&gt;0),IF(MAX(0,Inputs!$B$44-B2545)&lt;=0,0,(INT(MAX(0,Inputs!$B$44-B2545)/IF(Inputs!$B$39="pvp",15,MAX(0.1,Skills!D10-IF(Skills!E10=TRUE,Inputs!$B$33,0))))+1)),0)</f>
        <v/>
      </c>
      <c r="S2519">
        <f>IFERROR(O2519/N2519,0)</f>
        <v/>
      </c>
      <c r="T2519">
        <f>IF(C2519,(H2519*N2519*IF(AND(Inputs!$B$39&lt;&gt;"pvp",Inputs!$B$44&gt;0),((Skills!G10*((R2519-1)*IF(Skills!H10&gt;0,Skills!I10/Skills!H10,1)+IF(Skills!H10&gt;0,MIN(Skills!I10,MAX(0,MAX(0,Inputs!$B$44-B2545)-((R2519-1)*IF(Inputs!$B$39="pvp",15,MAX(0.1,Skills!D10-IF(Skills!E10=TRUE,Inputs!$B$33,0))))))/Skills!H10,1)))/Inputs!$B$44),G2519*Q2519))*IF(Inputs!$B$39="pvp",1,1+(Inputs!$B$21+0+Skills!P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Skills!E10=TRUE,Inputs!$B$33,0))))))/Skills!H10,1)))/Inputs!$B$44),G2519*Q2519))*IF(Inputs!$B$39="pvp",1,(1+(Inputs!$B$22+Skills!Q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IFERROR(1/IF(Inputs!$B$39="pvp",15,MAX(0.1,Skills!D12-IF(Skills!E12=TRUE,Inputs!$B$33,0))),0)</f>
        <v/>
      </c>
      <c r="R2521">
        <f>IF(AND(Inputs!$B$39&lt;&gt;"pvp",Inputs!$B$44&gt;0),IF(MAX(0,Inputs!$B$44-B2545)&lt;=0,0,(INT(MAX(0,Inputs!$B$44-B2545)/IF(Inputs!$B$39="pvp",15,MAX(0.1,Skills!D12-IF(Skills!E12=TRUE,Inputs!$B$33,0))))+1)),0)</f>
        <v/>
      </c>
      <c r="S2521">
        <f>IFERROR(O2521/N2521,0)</f>
        <v/>
      </c>
      <c r="T2521">
        <f>IF(C2521,(H2521*N2521*IF(AND(Inputs!$B$39&lt;&gt;"pvp",Inputs!$B$44&gt;0),((Skills!G12*((R2521-1)*IF(Skills!H12&gt;0,Skills!I12/Skills!H12,1)+IF(Skills!H12&gt;0,MIN(Skills!I12,MAX(0,MAX(0,Inputs!$B$44-B2545)-((R2521-1)*IF(Inputs!$B$39="pvp",15,MAX(0.1,Skills!D12-IF(Skills!E12=TRUE,Inputs!$B$33,0))))))/Skills!H12,1)))/Inputs!$B$44),G2521*Q2521))*IF(Inputs!$B$39="pvp",1,1+(Inputs!$B$21+0+Skills!P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Skills!E12=TRUE,Inputs!$B$33,0))))))/Skills!H12,1)))/Inputs!$B$44),G2521*Q2521))*IF(Inputs!$B$39="pvp",1,(1+(Inputs!$B$22+Skills!Q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IFERROR(1/IF(Inputs!$B$39="pvp",15,MAX(0.1,Skills!D13-IF(Skills!E13=TRUE,Inputs!$B$33,0))),0)</f>
        <v/>
      </c>
      <c r="R2522">
        <f>IF(AND(Inputs!$B$39&lt;&gt;"pvp",Inputs!$B$44&gt;0),IF(Inputs!$B$44&lt;=0,0,(INT(Inputs!$B$44/IF(Inputs!$B$39="pvp",15,MAX(0.1,Skills!D13-IF(Skills!E13=TRUE,Inputs!$B$33,0))))+1)),0)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IFERROR(1/IF(Inputs!$B$39="pvp",15,MAX(0.1,Skills!D14-IF(Skills!E14=TRUE,Inputs!$B$33,0))),0)</f>
        <v/>
      </c>
      <c r="R2523">
        <f>IF(AND(Inputs!$B$39&lt;&gt;"pvp",Inputs!$B$44&gt;0),IF(Inputs!$B$44&lt;=0,0,(INT(Inputs!$B$44/IF(Inputs!$B$39="pvp",15,MAX(0.1,Skills!D14-IF(Skills!E14=TRUE,Inputs!$B$33,0))))+1)),0)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IFERROR(1/IF(Inputs!$B$39="pvp",15,MAX(0.1,Skills!D15-IF(Skills!E15=TRUE,Inputs!$B$33,0))),0)</f>
        <v/>
      </c>
      <c r="R2524">
        <f>IF(AND(Inputs!$B$39&lt;&gt;"pvp",Inputs!$B$44&gt;0),IF(Inputs!$B$44&lt;=0,0,(INT(Inputs!$B$44/IF(Inputs!$B$39="pvp",15,MAX(0.1,Skills!D15-IF(Skills!E15=TRUE,Inputs!$B$33,0))))+1)),0)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IFERROR(1/IF(Inputs!$B$39="pvp",15,MAX(0.1,Skills!D16-IF(Skills!E16=TRUE,Inputs!$B$33,0))),0)</f>
        <v/>
      </c>
      <c r="R2525">
        <f>IF(AND(Inputs!$B$39&lt;&gt;"pvp",Inputs!$B$44&gt;0),IF(Inputs!$B$44&lt;=0,0,(INT(Inputs!$B$44/IF(Inputs!$B$39="pvp",15,MAX(0.1,Skills!D16-IF(Skills!E16=TRUE,Inputs!$B$33,0))))+1)),0)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IFERROR(1/IF(Inputs!$B$39="pvp",15,MAX(0.1,Skills!D17-IF(Skills!E17=TRUE,Inputs!$B$33,0))),0)</f>
        <v/>
      </c>
      <c r="R2526">
        <f>IF(AND(Inputs!$B$39&lt;&gt;"pvp",Inputs!$B$44&gt;0),IF(Inputs!$B$44&lt;=0,0,(INT(Inputs!$B$44/IF(Inputs!$B$39="pvp",15,MAX(0.1,Skills!D17-IF(Skills!E17=TRUE,Inputs!$B$33,0))))+1)),0)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IFERROR(1/IF(Inputs!$B$39="pvp",15,MAX(0.1,Skills!D18-IF(Skills!E18=TRUE,Inputs!$B$33,0))),0)</f>
        <v/>
      </c>
      <c r="R2527">
        <f>IF(AND(Inputs!$B$39&lt;&gt;"pvp",Inputs!$B$44&gt;0),IF(Inputs!$B$44&lt;=0,0,(INT(Inputs!$B$44/IF(Inputs!$B$39="pvp",15,MAX(0.1,Skills!D18-IF(Skills!E18=TRUE,Inputs!$B$33,0))))+1)),0)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IFERROR(1/IF(Inputs!$B$39="pvp",15,MAX(0.1,Skills!D19-IF(Skills!E19=TRUE,Inputs!$B$33,0))),0)</f>
        <v/>
      </c>
      <c r="R2528">
        <f>IF(AND(Inputs!$B$39&lt;&gt;"pvp",Inputs!$B$44&gt;0),IF(Inputs!$B$44&lt;=0,0,(INT(Inputs!$B$44/IF(Inputs!$B$39="pvp",15,MAX(0.1,Skills!D19-IF(Skills!E19=TRUE,Inputs!$B$33,0))))+1)),0)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IFERROR(1/IF(Inputs!$B$39="pvp",15,MAX(0.1,Skills!D20-IF(Skills!E20=TRUE,Inputs!$B$33,0))),0)</f>
        <v/>
      </c>
      <c r="R2529">
        <f>IF(AND(Inputs!$B$39&lt;&gt;"pvp",Inputs!$B$44&gt;0),IF(Inputs!$B$44&lt;=0,0,(INT(Inputs!$B$44/IF(Inputs!$B$39="pvp",15,MAX(0.1,Skills!D20-IF(Skills!E20=TRUE,Inputs!$B$33,0))))+1)),0)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Skills!T18*(1+Inputs!$B$35/100))+MIN((Skills!T18*(1+Inputs!$B$35/100)),MAX(0,Inputs!$B$44-((R2527-1)*Skills!D18))))/Inputs!$B$44),IF(Inputs!$B$39="pvp",MIN((Skills!T18*(1+Inputs!$B$35/100)),15)/15,(Skills!T18*(1+Inputs!$B$35/100))/Skills!D18)))</f>
        <v/>
      </c>
    </row>
    <row r="2539">
      <c r="A2539" t="inlineStr">
        <is>
          <t>Attack Speed Buff Bonus %</t>
        </is>
      </c>
      <c r="B2539">
        <f>((C2529=TRUE)*F2529*IF(AND(Inputs!$B$39&lt;&gt;"pvp",Inputs!$B$44&gt;0),(((R2529-1)*(Skills!T20*(1+Inputs!$B$35/100))+MIN((Skills!T20*(1+Inputs!$B$35/100)),MAX(0,Inputs!$B$44-((R2529-1)*Skills!D20))))/Inputs!$B$44),IF(Inputs!$B$39="pvp",MIN((Skills!T20*(1+Inputs!$B$35/100)),15)/15,(Skills!T20*(1+Inputs!$B$35/100))/Skills!D20)))</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Skills!T19*(1+Inputs!$B$35/100))+MIN((Skills!T19*(1+Inputs!$B$35/100)),MAX(0,Inputs!$B$44-((R2528-1)*Skills!D19))))/Inputs!$B$44),IF(Inputs!$B$39="pvp",MIN((Skills!T19*(1+Inputs!$B$35/100)),15)/15,(Skills!T19*(1+Inputs!$B$35/100))/Skills!D19)))</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IFERROR(1/IF(Inputs!$B$39="pvp",15,MAX(0.1,Skills!D5-IF(Skills!E5=TRUE,Inputs!$B$33,0))),0)</f>
        <v/>
      </c>
      <c r="R2556">
        <f>IF(AND(Inputs!$B$39&lt;&gt;"pvp",Inputs!$B$44&gt;0),IF(MAX(0,Inputs!$B$44-B2587)&lt;=0,0,(INT(MAX(0,Inputs!$B$44-B2587)/IF(Inputs!$B$39="pvp",15,MAX(0.1,Skills!D5-IF(Skills!E5=TRUE,Inputs!$B$33,0))))+1)),0)</f>
        <v/>
      </c>
      <c r="S2556">
        <f>IFERROR(O2556/N2556,0)</f>
        <v/>
      </c>
      <c r="T2556">
        <f>IF(C2556,(H2556*N2556*IF(AND(Inputs!$B$39&lt;&gt;"pvp",Inputs!$B$44&gt;0),((Skills!G5*((R2556-1)*IF(Skills!H5&gt;0,Skills!I5/Skills!H5,1)+IF(Skills!H5&gt;0,MIN(Skills!I5,MAX(0,MAX(0,Inputs!$B$44-B2587)-((R2556-1)*IF(Inputs!$B$39="pvp",15,MAX(0.1,Skills!D5-IF(Skills!E5=TRUE,Inputs!$B$33,0))))))/Skills!H5,1)))/Inputs!$B$44),G2556*Q2556))*IF(Inputs!$B$39="pvp",1,1+(Inputs!$B$21+0+Skills!P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Skills!E5=TRUE,Inputs!$B$33,0))))))/Skills!H5,1)))/Inputs!$B$44),G2556*Q2556))*IF(Inputs!$B$39="pvp",1,(1+(Inputs!$B$22+Skills!Q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IFERROR(1/IF(Inputs!$B$39="pvp",15,MAX(0.1,Skills!D6-IF(Skills!E6=TRUE,Inputs!$B$33,0))),0)</f>
        <v/>
      </c>
      <c r="R2557">
        <f>IF(AND(Inputs!$B$39&lt;&gt;"pvp",Inputs!$B$44&gt;0),IF(MAX(0,Inputs!$B$44-B2587)&lt;=0,0,(INT(MAX(0,Inputs!$B$44-B2587)/IF(Inputs!$B$39="pvp",15,MAX(0.1,Skills!D6-IF(Skills!E6=TRUE,Inputs!$B$33,0))))+1)),0)</f>
        <v/>
      </c>
      <c r="S2557">
        <f>IFERROR(O2557/N2557,0)</f>
        <v/>
      </c>
      <c r="T2557">
        <f>IF(C2557,(H2557*N2557*IF(AND(Inputs!$B$39&lt;&gt;"pvp",Inputs!$B$44&gt;0),((Skills!G6*((R2557-1)*IF(Skills!H6&gt;0,Skills!I6/Skills!H6,1)+IF(Skills!H6&gt;0,MIN(Skills!I6,MAX(0,MAX(0,Inputs!$B$44-B2587)-((R2557-1)*IF(Inputs!$B$39="pvp",15,MAX(0.1,Skills!D6-IF(Skills!E6=TRUE,Inputs!$B$33,0))))))/Skills!H6,1)))/Inputs!$B$44),G2557*Q2557))*IF(Inputs!$B$39="pvp",1,1+(Inputs!$B$21+0+Skills!P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Skills!E6=TRUE,Inputs!$B$33,0))))))/Skills!H6,1)))/Inputs!$B$44),G2557*Q2557))*IF(Inputs!$B$39="pvp",1,(1+(Inputs!$B$22+Skills!Q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IFERROR(1/IF(Inputs!$B$39="pvp",15,MAX(0.1,Skills!D7-IF(Skills!E7=TRUE,Inputs!$B$33,0))),0)</f>
        <v/>
      </c>
      <c r="R2558">
        <f>IF(AND(Inputs!$B$39&lt;&gt;"pvp",Inputs!$B$44&gt;0),IF(MAX(0,Inputs!$B$44-B2587)&lt;=0,0,(INT(MAX(0,Inputs!$B$44-B2587)/IF(Inputs!$B$39="pvp",15,MAX(0.1,Skills!D7-IF(Skills!E7=TRUE,Inputs!$B$33,0))))+1)),0)</f>
        <v/>
      </c>
      <c r="S2558">
        <f>IFERROR(O2558/N2558,0)</f>
        <v/>
      </c>
      <c r="T2558">
        <f>IF(C2558,(H2558*N2558*IF(AND(Inputs!$B$39&lt;&gt;"pvp",Inputs!$B$44&gt;0),((Skills!G7*((R2558-1)*IF(Skills!H7&gt;0,Skills!I7/Skills!H7,1)+IF(Skills!H7&gt;0,MIN(Skills!I7,MAX(0,MAX(0,Inputs!$B$44-B2587)-((R2558-1)*IF(Inputs!$B$39="pvp",15,MAX(0.1,Skills!D7-IF(Skills!E7=TRUE,Inputs!$B$33,0))))))/Skills!H7,1)))/Inputs!$B$44),G2558*Q2558))*IF(Inputs!$B$39="pvp",1,1+(Inputs!$B$21+0+Skills!P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Skills!E7=TRUE,Inputs!$B$33,0))))))/Skills!H7,1)))/Inputs!$B$44),G2558*Q2558))*IF(Inputs!$B$39="pvp",1,(1+(Inputs!$B$22+Skills!Q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IFERROR(1/IF(Inputs!$B$39="pvp",15,MAX(0.1,Skills!D9-IF(Skills!E9=TRUE,Inputs!$B$33,0))),0)</f>
        <v/>
      </c>
      <c r="R2560">
        <f>IF(AND(Inputs!$B$39&lt;&gt;"pvp",Inputs!$B$44&gt;0),IF(MAX(0,Inputs!$B$44-B2587)&lt;=0,0,(INT(MAX(0,Inputs!$B$44-B2587)/IF(Inputs!$B$39="pvp",15,MAX(0.1,Skills!D9-IF(Skills!E9=TRUE,Inputs!$B$33,0))))+1)),0)</f>
        <v/>
      </c>
      <c r="S2560">
        <f>IFERROR(O2560/N2560,0)</f>
        <v/>
      </c>
      <c r="T2560">
        <f>IF(C2560,(H2560*N2560*IF(AND(Inputs!$B$39&lt;&gt;"pvp",Inputs!$B$44&gt;0),((Skills!G9*((R2560-1)*IF(Skills!H9&gt;0,Skills!I9/Skills!H9,1)+IF(Skills!H9&gt;0,MIN(Skills!I9,MAX(0,MAX(0,Inputs!$B$44-B2587)-((R2560-1)*IF(Inputs!$B$39="pvp",15,MAX(0.1,Skills!D9-IF(Skills!E9=TRUE,Inputs!$B$33,0))))))/Skills!H9,1)))/Inputs!$B$44),G2560*Q2560))*IF(Inputs!$B$39="pvp",1,1+(Inputs!$B$21+0+Skills!P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Skills!E9=TRUE,Inputs!$B$33,0))))))/Skills!H9,1)))/Inputs!$B$44),G2560*Q2560))*IF(Inputs!$B$39="pvp",1,(1+(Inputs!$B$22+Skills!Q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IFERROR(1/IF(Inputs!$B$39="pvp",15,MAX(0.1,Skills!D10-IF(Skills!E10=TRUE,Inputs!$B$33,0))),0)</f>
        <v/>
      </c>
      <c r="R2561">
        <f>IF(AND(Inputs!$B$39&lt;&gt;"pvp",Inputs!$B$44&gt;0),IF(MAX(0,Inputs!$B$44-B2587)&lt;=0,0,(INT(MAX(0,Inputs!$B$44-B2587)/IF(Inputs!$B$39="pvp",15,MAX(0.1,Skills!D10-IF(Skills!E10=TRUE,Inputs!$B$33,0))))+1)),0)</f>
        <v/>
      </c>
      <c r="S2561">
        <f>IFERROR(O2561/N2561,0)</f>
        <v/>
      </c>
      <c r="T2561">
        <f>IF(C2561,(H2561*N2561*IF(AND(Inputs!$B$39&lt;&gt;"pvp",Inputs!$B$44&gt;0),((Skills!G10*((R2561-1)*IF(Skills!H10&gt;0,Skills!I10/Skills!H10,1)+IF(Skills!H10&gt;0,MIN(Skills!I10,MAX(0,MAX(0,Inputs!$B$44-B2587)-((R2561-1)*IF(Inputs!$B$39="pvp",15,MAX(0.1,Skills!D10-IF(Skills!E10=TRUE,Inputs!$B$33,0))))))/Skills!H10,1)))/Inputs!$B$44),G2561*Q2561))*IF(Inputs!$B$39="pvp",1,1+(Inputs!$B$21+0+Skills!P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Skills!E10=TRUE,Inputs!$B$33,0))))))/Skills!H10,1)))/Inputs!$B$44),G2561*Q2561))*IF(Inputs!$B$39="pvp",1,(1+(Inputs!$B$22+Skills!Q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IFERROR(1/IF(Inputs!$B$39="pvp",15,MAX(0.1,Skills!D12-IF(Skills!E12=TRUE,Inputs!$B$33,0))),0)</f>
        <v/>
      </c>
      <c r="R2563">
        <f>IF(AND(Inputs!$B$39&lt;&gt;"pvp",Inputs!$B$44&gt;0),IF(MAX(0,Inputs!$B$44-B2587)&lt;=0,0,(INT(MAX(0,Inputs!$B$44-B2587)/IF(Inputs!$B$39="pvp",15,MAX(0.1,Skills!D12-IF(Skills!E12=TRUE,Inputs!$B$33,0))))+1)),0)</f>
        <v/>
      </c>
      <c r="S2563">
        <f>IFERROR(O2563/N2563,0)</f>
        <v/>
      </c>
      <c r="T2563">
        <f>IF(C2563,(H2563*N2563*IF(AND(Inputs!$B$39&lt;&gt;"pvp",Inputs!$B$44&gt;0),((Skills!G12*((R2563-1)*IF(Skills!H12&gt;0,Skills!I12/Skills!H12,1)+IF(Skills!H12&gt;0,MIN(Skills!I12,MAX(0,MAX(0,Inputs!$B$44-B2587)-((R2563-1)*IF(Inputs!$B$39="pvp",15,MAX(0.1,Skills!D12-IF(Skills!E12=TRUE,Inputs!$B$33,0))))))/Skills!H12,1)))/Inputs!$B$44),G2563*Q2563))*IF(Inputs!$B$39="pvp",1,1+(Inputs!$B$21+0+Skills!P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Skills!E12=TRUE,Inputs!$B$33,0))))))/Skills!H12,1)))/Inputs!$B$44),G2563*Q2563))*IF(Inputs!$B$39="pvp",1,(1+(Inputs!$B$22+Skills!Q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IFERROR(1/IF(Inputs!$B$39="pvp",15,MAX(0.1,Skills!D13-IF(Skills!E13=TRUE,Inputs!$B$33,0))),0)</f>
        <v/>
      </c>
      <c r="R2564">
        <f>IF(AND(Inputs!$B$39&lt;&gt;"pvp",Inputs!$B$44&gt;0),IF(Inputs!$B$44&lt;=0,0,(INT(Inputs!$B$44/IF(Inputs!$B$39="pvp",15,MAX(0.1,Skills!D13-IF(Skills!E13=TRUE,Inputs!$B$33,0))))+1)),0)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IFERROR(1/IF(Inputs!$B$39="pvp",15,MAX(0.1,Skills!D14-IF(Skills!E14=TRUE,Inputs!$B$33,0))),0)</f>
        <v/>
      </c>
      <c r="R2565">
        <f>IF(AND(Inputs!$B$39&lt;&gt;"pvp",Inputs!$B$44&gt;0),IF(Inputs!$B$44&lt;=0,0,(INT(Inputs!$B$44/IF(Inputs!$B$39="pvp",15,MAX(0.1,Skills!D14-IF(Skills!E14=TRUE,Inputs!$B$33,0))))+1)),0)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IFERROR(1/IF(Inputs!$B$39="pvp",15,MAX(0.1,Skills!D15-IF(Skills!E15=TRUE,Inputs!$B$33,0))),0)</f>
        <v/>
      </c>
      <c r="R2566">
        <f>IF(AND(Inputs!$B$39&lt;&gt;"pvp",Inputs!$B$44&gt;0),IF(Inputs!$B$44&lt;=0,0,(INT(Inputs!$B$44/IF(Inputs!$B$39="pvp",15,MAX(0.1,Skills!D15-IF(Skills!E15=TRUE,Inputs!$B$33,0))))+1)),0)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IFERROR(1/IF(Inputs!$B$39="pvp",15,MAX(0.1,Skills!D16-IF(Skills!E16=TRUE,Inputs!$B$33,0))),0)</f>
        <v/>
      </c>
      <c r="R2567">
        <f>IF(AND(Inputs!$B$39&lt;&gt;"pvp",Inputs!$B$44&gt;0),IF(Inputs!$B$44&lt;=0,0,(INT(Inputs!$B$44/IF(Inputs!$B$39="pvp",15,MAX(0.1,Skills!D16-IF(Skills!E16=TRUE,Inputs!$B$33,0))))+1)),0)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IFERROR(1/IF(Inputs!$B$39="pvp",15,MAX(0.1,Skills!D17-IF(Skills!E17=TRUE,Inputs!$B$33,0))),0)</f>
        <v/>
      </c>
      <c r="R2568">
        <f>IF(AND(Inputs!$B$39&lt;&gt;"pvp",Inputs!$B$44&gt;0),IF(Inputs!$B$44&lt;=0,0,(INT(Inputs!$B$44/IF(Inputs!$B$39="pvp",15,MAX(0.1,Skills!D17-IF(Skills!E17=TRUE,Inputs!$B$33,0))))+1)),0)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IFERROR(1/IF(Inputs!$B$39="pvp",15,MAX(0.1,Skills!D18-IF(Skills!E18=TRUE,Inputs!$B$33,0))),0)</f>
        <v/>
      </c>
      <c r="R2569">
        <f>IF(AND(Inputs!$B$39&lt;&gt;"pvp",Inputs!$B$44&gt;0),IF(Inputs!$B$44&lt;=0,0,(INT(Inputs!$B$44/IF(Inputs!$B$39="pvp",15,MAX(0.1,Skills!D18-IF(Skills!E18=TRUE,Inputs!$B$33,0))))+1)),0)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IFERROR(1/IF(Inputs!$B$39="pvp",15,MAX(0.1,Skills!D19-IF(Skills!E19=TRUE,Inputs!$B$33,0))),0)</f>
        <v/>
      </c>
      <c r="R2570">
        <f>IF(AND(Inputs!$B$39&lt;&gt;"pvp",Inputs!$B$44&gt;0),IF(Inputs!$B$44&lt;=0,0,(INT(Inputs!$B$44/IF(Inputs!$B$39="pvp",15,MAX(0.1,Skills!D19-IF(Skills!E19=TRUE,Inputs!$B$33,0))))+1)),0)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IFERROR(1/IF(Inputs!$B$39="pvp",15,MAX(0.1,Skills!D20-IF(Skills!E20=TRUE,Inputs!$B$33,0))),0)</f>
        <v/>
      </c>
      <c r="R2571">
        <f>IF(AND(Inputs!$B$39&lt;&gt;"pvp",Inputs!$B$44&gt;0),IF(Inputs!$B$44&lt;=0,0,(INT(Inputs!$B$44/IF(Inputs!$B$39="pvp",15,MAX(0.1,Skills!D20-IF(Skills!E20=TRUE,Inputs!$B$33,0))))+1)),0)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Skills!T18*(1+Inputs!$B$35/100))+MIN((Skills!T18*(1+Inputs!$B$35/100)),MAX(0,Inputs!$B$44-((R2569-1)*Skills!D18))))/Inputs!$B$44),IF(Inputs!$B$39="pvp",MIN((Skills!T18*(1+Inputs!$B$35/100)),15)/15,(Skills!T18*(1+Inputs!$B$35/100))/Skills!D18)))</f>
        <v/>
      </c>
    </row>
    <row r="2581">
      <c r="A2581" t="inlineStr">
        <is>
          <t>Attack Speed Buff Bonus %</t>
        </is>
      </c>
      <c r="B2581">
        <f>((C2571=TRUE)*F2571*IF(AND(Inputs!$B$39&lt;&gt;"pvp",Inputs!$B$44&gt;0),(((R2571-1)*(Skills!T20*(1+Inputs!$B$35/100))+MIN((Skills!T20*(1+Inputs!$B$35/100)),MAX(0,Inputs!$B$44-((R2571-1)*Skills!D20))))/Inputs!$B$44),IF(Inputs!$B$39="pvp",MIN((Skills!T20*(1+Inputs!$B$35/100)),15)/15,(Skills!T20*(1+Inputs!$B$35/100))/Skills!D20)))</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Skills!T19*(1+Inputs!$B$35/100))+MIN((Skills!T19*(1+Inputs!$B$35/100)),MAX(0,Inputs!$B$44-((R2570-1)*Skills!D19))))/Inputs!$B$44),IF(Inputs!$B$39="pvp",MIN((Skills!T19*(1+Inputs!$B$35/100)),15)/15,(Skills!T19*(1+Inputs!$B$35/100))/Skills!D19)))</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IFERROR(1/IF(Inputs!$B$39="pvp",15,MAX(0.1,Skills!D5-IF(Skills!E5=TRUE,Inputs!$B$33,0))),0)</f>
        <v/>
      </c>
      <c r="R2598">
        <f>IF(AND(Inputs!$B$39&lt;&gt;"pvp",Inputs!$B$44&gt;0),IF(MAX(0,Inputs!$B$44-B2629)&lt;=0,0,(INT(MAX(0,Inputs!$B$44-B2629)/IF(Inputs!$B$39="pvp",15,MAX(0.1,Skills!D5-IF(Skills!E5=TRUE,Inputs!$B$33,0))))+1)),0)</f>
        <v/>
      </c>
      <c r="S2598">
        <f>IFERROR(O2598/N2598,0)</f>
        <v/>
      </c>
      <c r="T2598">
        <f>IF(C2598,(H2598*N2598*IF(AND(Inputs!$B$39&lt;&gt;"pvp",Inputs!$B$44&gt;0),((Skills!G5*((R2598-1)*IF(Skills!H5&gt;0,Skills!I5/Skills!H5,1)+IF(Skills!H5&gt;0,MIN(Skills!I5,MAX(0,MAX(0,Inputs!$B$44-B2629)-((R2598-1)*IF(Inputs!$B$39="pvp",15,MAX(0.1,Skills!D5-IF(Skills!E5=TRUE,Inputs!$B$33,0))))))/Skills!H5,1)))/Inputs!$B$44),G2598*Q2598))*IF(Inputs!$B$39="pvp",1,1+(Inputs!$B$21+0+Skills!P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Skills!E5=TRUE,Inputs!$B$33,0))))))/Skills!H5,1)))/Inputs!$B$44),G2598*Q2598))*IF(Inputs!$B$39="pvp",1,(1+(Inputs!$B$22+Skills!Q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IFERROR(1/IF(Inputs!$B$39="pvp",15,MAX(0.1,Skills!D6-IF(Skills!E6=TRUE,Inputs!$B$33,0))),0)</f>
        <v/>
      </c>
      <c r="R2599">
        <f>IF(AND(Inputs!$B$39&lt;&gt;"pvp",Inputs!$B$44&gt;0),IF(MAX(0,Inputs!$B$44-B2629)&lt;=0,0,(INT(MAX(0,Inputs!$B$44-B2629)/IF(Inputs!$B$39="pvp",15,MAX(0.1,Skills!D6-IF(Skills!E6=TRUE,Inputs!$B$33,0))))+1)),0)</f>
        <v/>
      </c>
      <c r="S2599">
        <f>IFERROR(O2599/N2599,0)</f>
        <v/>
      </c>
      <c r="T2599">
        <f>IF(C2599,(H2599*N2599*IF(AND(Inputs!$B$39&lt;&gt;"pvp",Inputs!$B$44&gt;0),((Skills!G6*((R2599-1)*IF(Skills!H6&gt;0,Skills!I6/Skills!H6,1)+IF(Skills!H6&gt;0,MIN(Skills!I6,MAX(0,MAX(0,Inputs!$B$44-B2629)-((R2599-1)*IF(Inputs!$B$39="pvp",15,MAX(0.1,Skills!D6-IF(Skills!E6=TRUE,Inputs!$B$33,0))))))/Skills!H6,1)))/Inputs!$B$44),G2599*Q2599))*IF(Inputs!$B$39="pvp",1,1+(Inputs!$B$21+0+Skills!P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Skills!E6=TRUE,Inputs!$B$33,0))))))/Skills!H6,1)))/Inputs!$B$44),G2599*Q2599))*IF(Inputs!$B$39="pvp",1,(1+(Inputs!$B$22+Skills!Q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IFERROR(1/IF(Inputs!$B$39="pvp",15,MAX(0.1,Skills!D7-IF(Skills!E7=TRUE,Inputs!$B$33,0))),0)</f>
        <v/>
      </c>
      <c r="R2600">
        <f>IF(AND(Inputs!$B$39&lt;&gt;"pvp",Inputs!$B$44&gt;0),IF(MAX(0,Inputs!$B$44-B2629)&lt;=0,0,(INT(MAX(0,Inputs!$B$44-B2629)/IF(Inputs!$B$39="pvp",15,MAX(0.1,Skills!D7-IF(Skills!E7=TRUE,Inputs!$B$33,0))))+1)),0)</f>
        <v/>
      </c>
      <c r="S2600">
        <f>IFERROR(O2600/N2600,0)</f>
        <v/>
      </c>
      <c r="T2600">
        <f>IF(C2600,(H2600*N2600*IF(AND(Inputs!$B$39&lt;&gt;"pvp",Inputs!$B$44&gt;0),((Skills!G7*((R2600-1)*IF(Skills!H7&gt;0,Skills!I7/Skills!H7,1)+IF(Skills!H7&gt;0,MIN(Skills!I7,MAX(0,MAX(0,Inputs!$B$44-B2629)-((R2600-1)*IF(Inputs!$B$39="pvp",15,MAX(0.1,Skills!D7-IF(Skills!E7=TRUE,Inputs!$B$33,0))))))/Skills!H7,1)))/Inputs!$B$44),G2600*Q2600))*IF(Inputs!$B$39="pvp",1,1+(Inputs!$B$21+0+Skills!P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Skills!E7=TRUE,Inputs!$B$33,0))))))/Skills!H7,1)))/Inputs!$B$44),G2600*Q2600))*IF(Inputs!$B$39="pvp",1,(1+(Inputs!$B$22+Skills!Q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IFERROR(1/IF(Inputs!$B$39="pvp",15,MAX(0.1,Skills!D9-IF(Skills!E9=TRUE,Inputs!$B$33,0))),0)</f>
        <v/>
      </c>
      <c r="R2602">
        <f>IF(AND(Inputs!$B$39&lt;&gt;"pvp",Inputs!$B$44&gt;0),IF(MAX(0,Inputs!$B$44-B2629)&lt;=0,0,(INT(MAX(0,Inputs!$B$44-B2629)/IF(Inputs!$B$39="pvp",15,MAX(0.1,Skills!D9-IF(Skills!E9=TRUE,Inputs!$B$33,0))))+1)),0)</f>
        <v/>
      </c>
      <c r="S2602">
        <f>IFERROR(O2602/N2602,0)</f>
        <v/>
      </c>
      <c r="T2602">
        <f>IF(C2602,(H2602*N2602*IF(AND(Inputs!$B$39&lt;&gt;"pvp",Inputs!$B$44&gt;0),((Skills!G9*((R2602-1)*IF(Skills!H9&gt;0,Skills!I9/Skills!H9,1)+IF(Skills!H9&gt;0,MIN(Skills!I9,MAX(0,MAX(0,Inputs!$B$44-B2629)-((R2602-1)*IF(Inputs!$B$39="pvp",15,MAX(0.1,Skills!D9-IF(Skills!E9=TRUE,Inputs!$B$33,0))))))/Skills!H9,1)))/Inputs!$B$44),G2602*Q2602))*IF(Inputs!$B$39="pvp",1,1+(Inputs!$B$21+0+Skills!P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Skills!E9=TRUE,Inputs!$B$33,0))))))/Skills!H9,1)))/Inputs!$B$44),G2602*Q2602))*IF(Inputs!$B$39="pvp",1,(1+(Inputs!$B$22+Skills!Q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IFERROR(1/IF(Inputs!$B$39="pvp",15,MAX(0.1,Skills!D10-IF(Skills!E10=TRUE,Inputs!$B$33,0))),0)</f>
        <v/>
      </c>
      <c r="R2603">
        <f>IF(AND(Inputs!$B$39&lt;&gt;"pvp",Inputs!$B$44&gt;0),IF(MAX(0,Inputs!$B$44-B2629)&lt;=0,0,(INT(MAX(0,Inputs!$B$44-B2629)/IF(Inputs!$B$39="pvp",15,MAX(0.1,Skills!D10-IF(Skills!E10=TRUE,Inputs!$B$33,0))))+1)),0)</f>
        <v/>
      </c>
      <c r="S2603">
        <f>IFERROR(O2603/N2603,0)</f>
        <v/>
      </c>
      <c r="T2603">
        <f>IF(C2603,(H2603*N2603*IF(AND(Inputs!$B$39&lt;&gt;"pvp",Inputs!$B$44&gt;0),((Skills!G10*((R2603-1)*IF(Skills!H10&gt;0,Skills!I10/Skills!H10,1)+IF(Skills!H10&gt;0,MIN(Skills!I10,MAX(0,MAX(0,Inputs!$B$44-B2629)-((R2603-1)*IF(Inputs!$B$39="pvp",15,MAX(0.1,Skills!D10-IF(Skills!E10=TRUE,Inputs!$B$33,0))))))/Skills!H10,1)))/Inputs!$B$44),G2603*Q2603))*IF(Inputs!$B$39="pvp",1,1+(Inputs!$B$21+0+Skills!P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Skills!E10=TRUE,Inputs!$B$33,0))))))/Skills!H10,1)))/Inputs!$B$44),G2603*Q2603))*IF(Inputs!$B$39="pvp",1,(1+(Inputs!$B$22+Skills!Q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IFERROR(1/IF(Inputs!$B$39="pvp",15,MAX(0.1,Skills!D12-IF(Skills!E12=TRUE,Inputs!$B$33,0))),0)</f>
        <v/>
      </c>
      <c r="R2605">
        <f>IF(AND(Inputs!$B$39&lt;&gt;"pvp",Inputs!$B$44&gt;0),IF(MAX(0,Inputs!$B$44-B2629)&lt;=0,0,(INT(MAX(0,Inputs!$B$44-B2629)/IF(Inputs!$B$39="pvp",15,MAX(0.1,Skills!D12-IF(Skills!E12=TRUE,Inputs!$B$33,0))))+1)),0)</f>
        <v/>
      </c>
      <c r="S2605">
        <f>IFERROR(O2605/N2605,0)</f>
        <v/>
      </c>
      <c r="T2605">
        <f>IF(C2605,(H2605*N2605*IF(AND(Inputs!$B$39&lt;&gt;"pvp",Inputs!$B$44&gt;0),((Skills!G12*((R2605-1)*IF(Skills!H12&gt;0,Skills!I12/Skills!H12,1)+IF(Skills!H12&gt;0,MIN(Skills!I12,MAX(0,MAX(0,Inputs!$B$44-B2629)-((R2605-1)*IF(Inputs!$B$39="pvp",15,MAX(0.1,Skills!D12-IF(Skills!E12=TRUE,Inputs!$B$33,0))))))/Skills!H12,1)))/Inputs!$B$44),G2605*Q2605))*IF(Inputs!$B$39="pvp",1,1+(Inputs!$B$21+0+Skills!P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Skills!E12=TRUE,Inputs!$B$33,0))))))/Skills!H12,1)))/Inputs!$B$44),G2605*Q2605))*IF(Inputs!$B$39="pvp",1,(1+(Inputs!$B$22+Skills!Q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IFERROR(1/IF(Inputs!$B$39="pvp",15,MAX(0.1,Skills!D13-IF(Skills!E13=TRUE,Inputs!$B$33,0))),0)</f>
        <v/>
      </c>
      <c r="R2606">
        <f>IF(AND(Inputs!$B$39&lt;&gt;"pvp",Inputs!$B$44&gt;0),IF(Inputs!$B$44&lt;=0,0,(INT(Inputs!$B$44/IF(Inputs!$B$39="pvp",15,MAX(0.1,Skills!D13-IF(Skills!E13=TRUE,Inputs!$B$33,0))))+1)),0)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IFERROR(1/IF(Inputs!$B$39="pvp",15,MAX(0.1,Skills!D14-IF(Skills!E14=TRUE,Inputs!$B$33,0))),0)</f>
        <v/>
      </c>
      <c r="R2607">
        <f>IF(AND(Inputs!$B$39&lt;&gt;"pvp",Inputs!$B$44&gt;0),IF(Inputs!$B$44&lt;=0,0,(INT(Inputs!$B$44/IF(Inputs!$B$39="pvp",15,MAX(0.1,Skills!D14-IF(Skills!E14=TRUE,Inputs!$B$33,0))))+1)),0)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IFERROR(1/IF(Inputs!$B$39="pvp",15,MAX(0.1,Skills!D15-IF(Skills!E15=TRUE,Inputs!$B$33,0))),0)</f>
        <v/>
      </c>
      <c r="R2608">
        <f>IF(AND(Inputs!$B$39&lt;&gt;"pvp",Inputs!$B$44&gt;0),IF(Inputs!$B$44&lt;=0,0,(INT(Inputs!$B$44/IF(Inputs!$B$39="pvp",15,MAX(0.1,Skills!D15-IF(Skills!E15=TRUE,Inputs!$B$33,0))))+1)),0)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IFERROR(1/IF(Inputs!$B$39="pvp",15,MAX(0.1,Skills!D16-IF(Skills!E16=TRUE,Inputs!$B$33,0))),0)</f>
        <v/>
      </c>
      <c r="R2609">
        <f>IF(AND(Inputs!$B$39&lt;&gt;"pvp",Inputs!$B$44&gt;0),IF(Inputs!$B$44&lt;=0,0,(INT(Inputs!$B$44/IF(Inputs!$B$39="pvp",15,MAX(0.1,Skills!D16-IF(Skills!E16=TRUE,Inputs!$B$33,0))))+1)),0)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IFERROR(1/IF(Inputs!$B$39="pvp",15,MAX(0.1,Skills!D17-IF(Skills!E17=TRUE,Inputs!$B$33,0))),0)</f>
        <v/>
      </c>
      <c r="R2610">
        <f>IF(AND(Inputs!$B$39&lt;&gt;"pvp",Inputs!$B$44&gt;0),IF(Inputs!$B$44&lt;=0,0,(INT(Inputs!$B$44/IF(Inputs!$B$39="pvp",15,MAX(0.1,Skills!D17-IF(Skills!E17=TRUE,Inputs!$B$33,0))))+1)),0)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IFERROR(1/IF(Inputs!$B$39="pvp",15,MAX(0.1,Skills!D18-IF(Skills!E18=TRUE,Inputs!$B$33,0))),0)</f>
        <v/>
      </c>
      <c r="R2611">
        <f>IF(AND(Inputs!$B$39&lt;&gt;"pvp",Inputs!$B$44&gt;0),IF(Inputs!$B$44&lt;=0,0,(INT(Inputs!$B$44/IF(Inputs!$B$39="pvp",15,MAX(0.1,Skills!D18-IF(Skills!E18=TRUE,Inputs!$B$33,0))))+1)),0)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IFERROR(1/IF(Inputs!$B$39="pvp",15,MAX(0.1,Skills!D19-IF(Skills!E19=TRUE,Inputs!$B$33,0))),0)</f>
        <v/>
      </c>
      <c r="R2612">
        <f>IF(AND(Inputs!$B$39&lt;&gt;"pvp",Inputs!$B$44&gt;0),IF(Inputs!$B$44&lt;=0,0,(INT(Inputs!$B$44/IF(Inputs!$B$39="pvp",15,MAX(0.1,Skills!D19-IF(Skills!E19=TRUE,Inputs!$B$33,0))))+1)),0)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IFERROR(1/IF(Inputs!$B$39="pvp",15,MAX(0.1,Skills!D20-IF(Skills!E20=TRUE,Inputs!$B$33,0))),0)</f>
        <v/>
      </c>
      <c r="R2613">
        <f>IF(AND(Inputs!$B$39&lt;&gt;"pvp",Inputs!$B$44&gt;0),IF(Inputs!$B$44&lt;=0,0,(INT(Inputs!$B$44/IF(Inputs!$B$39="pvp",15,MAX(0.1,Skills!D20-IF(Skills!E20=TRUE,Inputs!$B$33,0))))+1)),0)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Skills!T18*(1+Inputs!$B$35/100))+MIN((Skills!T18*(1+Inputs!$B$35/100)),MAX(0,Inputs!$B$44-((R2611-1)*Skills!D18))))/Inputs!$B$44),IF(Inputs!$B$39="pvp",MIN((Skills!T18*(1+Inputs!$B$35/100)),15)/15,(Skills!T18*(1+Inputs!$B$35/100))/Skills!D18)))</f>
        <v/>
      </c>
    </row>
    <row r="2623">
      <c r="A2623" t="inlineStr">
        <is>
          <t>Attack Speed Buff Bonus %</t>
        </is>
      </c>
      <c r="B2623">
        <f>((C2613=TRUE)*F2613*IF(AND(Inputs!$B$39&lt;&gt;"pvp",Inputs!$B$44&gt;0),(((R2613-1)*(Skills!T20*(1+Inputs!$B$35/100))+MIN((Skills!T20*(1+Inputs!$B$35/100)),MAX(0,Inputs!$B$44-((R2613-1)*Skills!D20))))/Inputs!$B$44),IF(Inputs!$B$39="pvp",MIN((Skills!T20*(1+Inputs!$B$35/100)),15)/15,(Skills!T20*(1+Inputs!$B$35/100))/Skills!D20)))</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Skills!T19*(1+Inputs!$B$35/100))+MIN((Skills!T19*(1+Inputs!$B$35/100)),MAX(0,Inputs!$B$44-((R2612-1)*Skills!D19))))/Inputs!$B$44),IF(Inputs!$B$39="pvp",MIN((Skills!T19*(1+Inputs!$B$35/100)),15)/15,(Skills!T19*(1+Inputs!$B$35/100))/Skills!D19)))</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IFERROR(1/IF(Inputs!$B$39="pvp",15,MAX(0.1,Skills!D5-IF(Skills!E5=TRUE,Inputs!$B$33,0))),0)</f>
        <v/>
      </c>
      <c r="R2640">
        <f>IF(AND(Inputs!$B$39&lt;&gt;"pvp",Inputs!$B$44&gt;0),IF(MAX(0,Inputs!$B$44-B2671)&lt;=0,0,(INT(MAX(0,Inputs!$B$44-B2671)/IF(Inputs!$B$39="pvp",15,MAX(0.1,Skills!D5-IF(Skills!E5=TRUE,Inputs!$B$33,0))))+1)),0)</f>
        <v/>
      </c>
      <c r="S2640">
        <f>IFERROR(O2640/N2640,0)</f>
        <v/>
      </c>
      <c r="T2640">
        <f>IF(C2640,(H2640*N2640*IF(AND(Inputs!$B$39&lt;&gt;"pvp",Inputs!$B$44&gt;0),((Skills!G5*((R2640-1)*IF(Skills!H5&gt;0,Skills!I5/Skills!H5,1)+IF(Skills!H5&gt;0,MIN(Skills!I5,MAX(0,MAX(0,Inputs!$B$44-B2671)-((R2640-1)*IF(Inputs!$B$39="pvp",15,MAX(0.1,Skills!D5-IF(Skills!E5=TRUE,Inputs!$B$33,0))))))/Skills!H5,1)))/Inputs!$B$44),G2640*Q2640))*IF(Inputs!$B$39="pvp",1,1+(Inputs!$B$21+0+Skills!P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Skills!E5=TRUE,Inputs!$B$33,0))))))/Skills!H5,1)))/Inputs!$B$44),G2640*Q2640))*IF(Inputs!$B$39="pvp",1,(1+(Inputs!$B$22+Skills!Q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IFERROR(1/IF(Inputs!$B$39="pvp",15,MAX(0.1,Skills!D6-IF(Skills!E6=TRUE,Inputs!$B$33,0))),0)</f>
        <v/>
      </c>
      <c r="R2641">
        <f>IF(AND(Inputs!$B$39&lt;&gt;"pvp",Inputs!$B$44&gt;0),IF(MAX(0,Inputs!$B$44-B2671)&lt;=0,0,(INT(MAX(0,Inputs!$B$44-B2671)/IF(Inputs!$B$39="pvp",15,MAX(0.1,Skills!D6-IF(Skills!E6=TRUE,Inputs!$B$33,0))))+1)),0)</f>
        <v/>
      </c>
      <c r="S2641">
        <f>IFERROR(O2641/N2641,0)</f>
        <v/>
      </c>
      <c r="T2641">
        <f>IF(C2641,(H2641*N2641*IF(AND(Inputs!$B$39&lt;&gt;"pvp",Inputs!$B$44&gt;0),((Skills!G6*((R2641-1)*IF(Skills!H6&gt;0,Skills!I6/Skills!H6,1)+IF(Skills!H6&gt;0,MIN(Skills!I6,MAX(0,MAX(0,Inputs!$B$44-B2671)-((R2641-1)*IF(Inputs!$B$39="pvp",15,MAX(0.1,Skills!D6-IF(Skills!E6=TRUE,Inputs!$B$33,0))))))/Skills!H6,1)))/Inputs!$B$44),G2641*Q2641))*IF(Inputs!$B$39="pvp",1,1+(Inputs!$B$21+0+Skills!P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Skills!E6=TRUE,Inputs!$B$33,0))))))/Skills!H6,1)))/Inputs!$B$44),G2641*Q2641))*IF(Inputs!$B$39="pvp",1,(1+(Inputs!$B$22+Skills!Q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IFERROR(1/IF(Inputs!$B$39="pvp",15,MAX(0.1,Skills!D7-IF(Skills!E7=TRUE,Inputs!$B$33,0))),0)</f>
        <v/>
      </c>
      <c r="R2642">
        <f>IF(AND(Inputs!$B$39&lt;&gt;"pvp",Inputs!$B$44&gt;0),IF(MAX(0,Inputs!$B$44-B2671)&lt;=0,0,(INT(MAX(0,Inputs!$B$44-B2671)/IF(Inputs!$B$39="pvp",15,MAX(0.1,Skills!D7-IF(Skills!E7=TRUE,Inputs!$B$33,0))))+1)),0)</f>
        <v/>
      </c>
      <c r="S2642">
        <f>IFERROR(O2642/N2642,0)</f>
        <v/>
      </c>
      <c r="T2642">
        <f>IF(C2642,(H2642*N2642*IF(AND(Inputs!$B$39&lt;&gt;"pvp",Inputs!$B$44&gt;0),((Skills!G7*((R2642-1)*IF(Skills!H7&gt;0,Skills!I7/Skills!H7,1)+IF(Skills!H7&gt;0,MIN(Skills!I7,MAX(0,MAX(0,Inputs!$B$44-B2671)-((R2642-1)*IF(Inputs!$B$39="pvp",15,MAX(0.1,Skills!D7-IF(Skills!E7=TRUE,Inputs!$B$33,0))))))/Skills!H7,1)))/Inputs!$B$44),G2642*Q2642))*IF(Inputs!$B$39="pvp",1,1+(Inputs!$B$21+0+Skills!P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Skills!E7=TRUE,Inputs!$B$33,0))))))/Skills!H7,1)))/Inputs!$B$44),G2642*Q2642))*IF(Inputs!$B$39="pvp",1,(1+(Inputs!$B$22+Skills!Q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IFERROR(1/IF(Inputs!$B$39="pvp",15,MAX(0.1,Skills!D9-IF(Skills!E9=TRUE,Inputs!$B$33,0))),0)</f>
        <v/>
      </c>
      <c r="R2644">
        <f>IF(AND(Inputs!$B$39&lt;&gt;"pvp",Inputs!$B$44&gt;0),IF(MAX(0,Inputs!$B$44-B2671)&lt;=0,0,(INT(MAX(0,Inputs!$B$44-B2671)/IF(Inputs!$B$39="pvp",15,MAX(0.1,Skills!D9-IF(Skills!E9=TRUE,Inputs!$B$33,0))))+1)),0)</f>
        <v/>
      </c>
      <c r="S2644">
        <f>IFERROR(O2644/N2644,0)</f>
        <v/>
      </c>
      <c r="T2644">
        <f>IF(C2644,(H2644*N2644*IF(AND(Inputs!$B$39&lt;&gt;"pvp",Inputs!$B$44&gt;0),((Skills!G9*((R2644-1)*IF(Skills!H9&gt;0,Skills!I9/Skills!H9,1)+IF(Skills!H9&gt;0,MIN(Skills!I9,MAX(0,MAX(0,Inputs!$B$44-B2671)-((R2644-1)*IF(Inputs!$B$39="pvp",15,MAX(0.1,Skills!D9-IF(Skills!E9=TRUE,Inputs!$B$33,0))))))/Skills!H9,1)))/Inputs!$B$44),G2644*Q2644))*IF(Inputs!$B$39="pvp",1,1+(Inputs!$B$21+0+Skills!P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Skills!E9=TRUE,Inputs!$B$33,0))))))/Skills!H9,1)))/Inputs!$B$44),G2644*Q2644))*IF(Inputs!$B$39="pvp",1,(1+(Inputs!$B$22+Skills!Q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IFERROR(1/IF(Inputs!$B$39="pvp",15,MAX(0.1,Skills!D10-IF(Skills!E10=TRUE,Inputs!$B$33,0))),0)</f>
        <v/>
      </c>
      <c r="R2645">
        <f>IF(AND(Inputs!$B$39&lt;&gt;"pvp",Inputs!$B$44&gt;0),IF(MAX(0,Inputs!$B$44-B2671)&lt;=0,0,(INT(MAX(0,Inputs!$B$44-B2671)/IF(Inputs!$B$39="pvp",15,MAX(0.1,Skills!D10-IF(Skills!E10=TRUE,Inputs!$B$33,0))))+1)),0)</f>
        <v/>
      </c>
      <c r="S2645">
        <f>IFERROR(O2645/N2645,0)</f>
        <v/>
      </c>
      <c r="T2645">
        <f>IF(C2645,(H2645*N2645*IF(AND(Inputs!$B$39&lt;&gt;"pvp",Inputs!$B$44&gt;0),((Skills!G10*((R2645-1)*IF(Skills!H10&gt;0,Skills!I10/Skills!H10,1)+IF(Skills!H10&gt;0,MIN(Skills!I10,MAX(0,MAX(0,Inputs!$B$44-B2671)-((R2645-1)*IF(Inputs!$B$39="pvp",15,MAX(0.1,Skills!D10-IF(Skills!E10=TRUE,Inputs!$B$33,0))))))/Skills!H10,1)))/Inputs!$B$44),G2645*Q2645))*IF(Inputs!$B$39="pvp",1,1+(Inputs!$B$21+0+Skills!P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Skills!E10=TRUE,Inputs!$B$33,0))))))/Skills!H10,1)))/Inputs!$B$44),G2645*Q2645))*IF(Inputs!$B$39="pvp",1,(1+(Inputs!$B$22+Skills!Q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IFERROR(1/IF(Inputs!$B$39="pvp",15,MAX(0.1,Skills!D12-IF(Skills!E12=TRUE,Inputs!$B$33,0))),0)</f>
        <v/>
      </c>
      <c r="R2647">
        <f>IF(AND(Inputs!$B$39&lt;&gt;"pvp",Inputs!$B$44&gt;0),IF(MAX(0,Inputs!$B$44-B2671)&lt;=0,0,(INT(MAX(0,Inputs!$B$44-B2671)/IF(Inputs!$B$39="pvp",15,MAX(0.1,Skills!D12-IF(Skills!E12=TRUE,Inputs!$B$33,0))))+1)),0)</f>
        <v/>
      </c>
      <c r="S2647">
        <f>IFERROR(O2647/N2647,0)</f>
        <v/>
      </c>
      <c r="T2647">
        <f>IF(C2647,(H2647*N2647*IF(AND(Inputs!$B$39&lt;&gt;"pvp",Inputs!$B$44&gt;0),((Skills!G12*((R2647-1)*IF(Skills!H12&gt;0,Skills!I12/Skills!H12,1)+IF(Skills!H12&gt;0,MIN(Skills!I12,MAX(0,MAX(0,Inputs!$B$44-B2671)-((R2647-1)*IF(Inputs!$B$39="pvp",15,MAX(0.1,Skills!D12-IF(Skills!E12=TRUE,Inputs!$B$33,0))))))/Skills!H12,1)))/Inputs!$B$44),G2647*Q2647))*IF(Inputs!$B$39="pvp",1,1+(Inputs!$B$21+0+Skills!P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Skills!E12=TRUE,Inputs!$B$33,0))))))/Skills!H12,1)))/Inputs!$B$44),G2647*Q2647))*IF(Inputs!$B$39="pvp",1,(1+(Inputs!$B$22+Skills!Q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IFERROR(1/IF(Inputs!$B$39="pvp",15,MAX(0.1,Skills!D13-IF(Skills!E13=TRUE,Inputs!$B$33,0))),0)</f>
        <v/>
      </c>
      <c r="R2648">
        <f>IF(AND(Inputs!$B$39&lt;&gt;"pvp",Inputs!$B$44&gt;0),IF(Inputs!$B$44&lt;=0,0,(INT(Inputs!$B$44/IF(Inputs!$B$39="pvp",15,MAX(0.1,Skills!D13-IF(Skills!E13=TRUE,Inputs!$B$33,0))))+1)),0)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IFERROR(1/IF(Inputs!$B$39="pvp",15,MAX(0.1,Skills!D14-IF(Skills!E14=TRUE,Inputs!$B$33,0))),0)</f>
        <v/>
      </c>
      <c r="R2649">
        <f>IF(AND(Inputs!$B$39&lt;&gt;"pvp",Inputs!$B$44&gt;0),IF(Inputs!$B$44&lt;=0,0,(INT(Inputs!$B$44/IF(Inputs!$B$39="pvp",15,MAX(0.1,Skills!D14-IF(Skills!E14=TRUE,Inputs!$B$33,0))))+1)),0)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IFERROR(1/IF(Inputs!$B$39="pvp",15,MAX(0.1,Skills!D15-IF(Skills!E15=TRUE,Inputs!$B$33,0))),0)</f>
        <v/>
      </c>
      <c r="R2650">
        <f>IF(AND(Inputs!$B$39&lt;&gt;"pvp",Inputs!$B$44&gt;0),IF(Inputs!$B$44&lt;=0,0,(INT(Inputs!$B$44/IF(Inputs!$B$39="pvp",15,MAX(0.1,Skills!D15-IF(Skills!E15=TRUE,Inputs!$B$33,0))))+1)),0)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IFERROR(1/IF(Inputs!$B$39="pvp",15,MAX(0.1,Skills!D16-IF(Skills!E16=TRUE,Inputs!$B$33,0))),0)</f>
        <v/>
      </c>
      <c r="R2651">
        <f>IF(AND(Inputs!$B$39&lt;&gt;"pvp",Inputs!$B$44&gt;0),IF(Inputs!$B$44&lt;=0,0,(INT(Inputs!$B$44/IF(Inputs!$B$39="pvp",15,MAX(0.1,Skills!D16-IF(Skills!E16=TRUE,Inputs!$B$33,0))))+1)),0)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IFERROR(1/IF(Inputs!$B$39="pvp",15,MAX(0.1,Skills!D17-IF(Skills!E17=TRUE,Inputs!$B$33,0))),0)</f>
        <v/>
      </c>
      <c r="R2652">
        <f>IF(AND(Inputs!$B$39&lt;&gt;"pvp",Inputs!$B$44&gt;0),IF(Inputs!$B$44&lt;=0,0,(INT(Inputs!$B$44/IF(Inputs!$B$39="pvp",15,MAX(0.1,Skills!D17-IF(Skills!E17=TRUE,Inputs!$B$33,0))))+1)),0)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IFERROR(1/IF(Inputs!$B$39="pvp",15,MAX(0.1,Skills!D18-IF(Skills!E18=TRUE,Inputs!$B$33,0))),0)</f>
        <v/>
      </c>
      <c r="R2653">
        <f>IF(AND(Inputs!$B$39&lt;&gt;"pvp",Inputs!$B$44&gt;0),IF(Inputs!$B$44&lt;=0,0,(INT(Inputs!$B$44/IF(Inputs!$B$39="pvp",15,MAX(0.1,Skills!D18-IF(Skills!E18=TRUE,Inputs!$B$33,0))))+1)),0)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IFERROR(1/IF(Inputs!$B$39="pvp",15,MAX(0.1,Skills!D19-IF(Skills!E19=TRUE,Inputs!$B$33,0))),0)</f>
        <v/>
      </c>
      <c r="R2654">
        <f>IF(AND(Inputs!$B$39&lt;&gt;"pvp",Inputs!$B$44&gt;0),IF(Inputs!$B$44&lt;=0,0,(INT(Inputs!$B$44/IF(Inputs!$B$39="pvp",15,MAX(0.1,Skills!D19-IF(Skills!E19=TRUE,Inputs!$B$33,0))))+1)),0)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IFERROR(1/IF(Inputs!$B$39="pvp",15,MAX(0.1,Skills!D20-IF(Skills!E20=TRUE,Inputs!$B$33,0))),0)</f>
        <v/>
      </c>
      <c r="R2655">
        <f>IF(AND(Inputs!$B$39&lt;&gt;"pvp",Inputs!$B$44&gt;0),IF(Inputs!$B$44&lt;=0,0,(INT(Inputs!$B$44/IF(Inputs!$B$39="pvp",15,MAX(0.1,Skills!D20-IF(Skills!E20=TRUE,Inputs!$B$33,0))))+1)),0)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Skills!T18*(1+Inputs!$B$35/100))+MIN((Skills!T18*(1+Inputs!$B$35/100)),MAX(0,Inputs!$B$44-((R2653-1)*Skills!D18))))/Inputs!$B$44),IF(Inputs!$B$39="pvp",MIN((Skills!T18*(1+Inputs!$B$35/100)),15)/15,(Skills!T18*(1+Inputs!$B$35/100))/Skills!D18)))</f>
        <v/>
      </c>
    </row>
    <row r="2665">
      <c r="A2665" t="inlineStr">
        <is>
          <t>Attack Speed Buff Bonus %</t>
        </is>
      </c>
      <c r="B2665">
        <f>((C2655=TRUE)*F2655*IF(AND(Inputs!$B$39&lt;&gt;"pvp",Inputs!$B$44&gt;0),(((R2655-1)*(Skills!T20*(1+Inputs!$B$35/100))+MIN((Skills!T20*(1+Inputs!$B$35/100)),MAX(0,Inputs!$B$44-((R2655-1)*Skills!D20))))/Inputs!$B$44),IF(Inputs!$B$39="pvp",MIN((Skills!T20*(1+Inputs!$B$35/100)),15)/15,(Skills!T20*(1+Inputs!$B$35/100))/Skills!D20)))</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Skills!T19*(1+Inputs!$B$35/100))+MIN((Skills!T19*(1+Inputs!$B$35/100)),MAX(0,Inputs!$B$44-((R2654-1)*Skills!D19))))/Inputs!$B$44),IF(Inputs!$B$39="pvp",MIN((Skills!T19*(1+Inputs!$B$35/100)),15)/15,(Skills!T19*(1+Inputs!$B$35/100))/Skills!D19)))</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IFERROR(1/IF(Inputs!$B$39="pvp",15,MAX(0.1,Skills!D5-IF(Skills!E5=TRUE,Inputs!$B$33,0))),0)</f>
        <v/>
      </c>
      <c r="R2682">
        <f>IF(AND(Inputs!$B$39&lt;&gt;"pvp",Inputs!$B$44&gt;0),IF(MAX(0,Inputs!$B$44-B2713)&lt;=0,0,(INT(MAX(0,Inputs!$B$44-B2713)/IF(Inputs!$B$39="pvp",15,MAX(0.1,Skills!D5-IF(Skills!E5=TRUE,Inputs!$B$33,0))))+1)),0)</f>
        <v/>
      </c>
      <c r="S2682">
        <f>IFERROR(O2682/N2682,0)</f>
        <v/>
      </c>
      <c r="T2682">
        <f>IF(C2682,(H2682*N2682*IF(AND(Inputs!$B$39&lt;&gt;"pvp",Inputs!$B$44&gt;0),((Skills!G5*((R2682-1)*IF(Skills!H5&gt;0,Skills!I5/Skills!H5,1)+IF(Skills!H5&gt;0,MIN(Skills!I5,MAX(0,MAX(0,Inputs!$B$44-B2713)-((R2682-1)*IF(Inputs!$B$39="pvp",15,MAX(0.1,Skills!D5-IF(Skills!E5=TRUE,Inputs!$B$33,0))))))/Skills!H5,1)))/Inputs!$B$44),G2682*Q2682))*IF(Inputs!$B$39="pvp",1,1+(Inputs!$B$21+0+Skills!P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Skills!E5=TRUE,Inputs!$B$33,0))))))/Skills!H5,1)))/Inputs!$B$44),G2682*Q2682))*IF(Inputs!$B$39="pvp",1,(1+(Inputs!$B$22+Skills!Q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IFERROR(1/IF(Inputs!$B$39="pvp",15,MAX(0.1,Skills!D6-IF(Skills!E6=TRUE,Inputs!$B$33,0))),0)</f>
        <v/>
      </c>
      <c r="R2683">
        <f>IF(AND(Inputs!$B$39&lt;&gt;"pvp",Inputs!$B$44&gt;0),IF(MAX(0,Inputs!$B$44-B2713)&lt;=0,0,(INT(MAX(0,Inputs!$B$44-B2713)/IF(Inputs!$B$39="pvp",15,MAX(0.1,Skills!D6-IF(Skills!E6=TRUE,Inputs!$B$33,0))))+1)),0)</f>
        <v/>
      </c>
      <c r="S2683">
        <f>IFERROR(O2683/N2683,0)</f>
        <v/>
      </c>
      <c r="T2683">
        <f>IF(C2683,(H2683*N2683*IF(AND(Inputs!$B$39&lt;&gt;"pvp",Inputs!$B$44&gt;0),((Skills!G6*((R2683-1)*IF(Skills!H6&gt;0,Skills!I6/Skills!H6,1)+IF(Skills!H6&gt;0,MIN(Skills!I6,MAX(0,MAX(0,Inputs!$B$44-B2713)-((R2683-1)*IF(Inputs!$B$39="pvp",15,MAX(0.1,Skills!D6-IF(Skills!E6=TRUE,Inputs!$B$33,0))))))/Skills!H6,1)))/Inputs!$B$44),G2683*Q2683))*IF(Inputs!$B$39="pvp",1,1+(Inputs!$B$21+0+Skills!P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Skills!E6=TRUE,Inputs!$B$33,0))))))/Skills!H6,1)))/Inputs!$B$44),G2683*Q2683))*IF(Inputs!$B$39="pvp",1,(1+(Inputs!$B$22+Skills!Q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IFERROR(1/IF(Inputs!$B$39="pvp",15,MAX(0.1,Skills!D7-IF(Skills!E7=TRUE,Inputs!$B$33,0))),0)</f>
        <v/>
      </c>
      <c r="R2684">
        <f>IF(AND(Inputs!$B$39&lt;&gt;"pvp",Inputs!$B$44&gt;0),IF(MAX(0,Inputs!$B$44-B2713)&lt;=0,0,(INT(MAX(0,Inputs!$B$44-B2713)/IF(Inputs!$B$39="pvp",15,MAX(0.1,Skills!D7-IF(Skills!E7=TRUE,Inputs!$B$33,0))))+1)),0)</f>
        <v/>
      </c>
      <c r="S2684">
        <f>IFERROR(O2684/N2684,0)</f>
        <v/>
      </c>
      <c r="T2684">
        <f>IF(C2684,(H2684*N2684*IF(AND(Inputs!$B$39&lt;&gt;"pvp",Inputs!$B$44&gt;0),((Skills!G7*((R2684-1)*IF(Skills!H7&gt;0,Skills!I7/Skills!H7,1)+IF(Skills!H7&gt;0,MIN(Skills!I7,MAX(0,MAX(0,Inputs!$B$44-B2713)-((R2684-1)*IF(Inputs!$B$39="pvp",15,MAX(0.1,Skills!D7-IF(Skills!E7=TRUE,Inputs!$B$33,0))))))/Skills!H7,1)))/Inputs!$B$44),G2684*Q2684))*IF(Inputs!$B$39="pvp",1,1+(Inputs!$B$21+0+Skills!P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Skills!E7=TRUE,Inputs!$B$33,0))))))/Skills!H7,1)))/Inputs!$B$44),G2684*Q2684))*IF(Inputs!$B$39="pvp",1,(1+(Inputs!$B$22+Skills!Q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IFERROR(1/IF(Inputs!$B$39="pvp",15,MAX(0.1,Skills!D9-IF(Skills!E9=TRUE,Inputs!$B$33,0))),0)</f>
        <v/>
      </c>
      <c r="R2686">
        <f>IF(AND(Inputs!$B$39&lt;&gt;"pvp",Inputs!$B$44&gt;0),IF(MAX(0,Inputs!$B$44-B2713)&lt;=0,0,(INT(MAX(0,Inputs!$B$44-B2713)/IF(Inputs!$B$39="pvp",15,MAX(0.1,Skills!D9-IF(Skills!E9=TRUE,Inputs!$B$33,0))))+1)),0)</f>
        <v/>
      </c>
      <c r="S2686">
        <f>IFERROR(O2686/N2686,0)</f>
        <v/>
      </c>
      <c r="T2686">
        <f>IF(C2686,(H2686*N2686*IF(AND(Inputs!$B$39&lt;&gt;"pvp",Inputs!$B$44&gt;0),((Skills!G9*((R2686-1)*IF(Skills!H9&gt;0,Skills!I9/Skills!H9,1)+IF(Skills!H9&gt;0,MIN(Skills!I9,MAX(0,MAX(0,Inputs!$B$44-B2713)-((R2686-1)*IF(Inputs!$B$39="pvp",15,MAX(0.1,Skills!D9-IF(Skills!E9=TRUE,Inputs!$B$33,0))))))/Skills!H9,1)))/Inputs!$B$44),G2686*Q2686))*IF(Inputs!$B$39="pvp",1,1+(Inputs!$B$21+0+Skills!P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Skills!E9=TRUE,Inputs!$B$33,0))))))/Skills!H9,1)))/Inputs!$B$44),G2686*Q2686))*IF(Inputs!$B$39="pvp",1,(1+(Inputs!$B$22+Skills!Q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IFERROR(1/IF(Inputs!$B$39="pvp",15,MAX(0.1,Skills!D10-IF(Skills!E10=TRUE,Inputs!$B$33,0))),0)</f>
        <v/>
      </c>
      <c r="R2687">
        <f>IF(AND(Inputs!$B$39&lt;&gt;"pvp",Inputs!$B$44&gt;0),IF(MAX(0,Inputs!$B$44-B2713)&lt;=0,0,(INT(MAX(0,Inputs!$B$44-B2713)/IF(Inputs!$B$39="pvp",15,MAX(0.1,Skills!D10-IF(Skills!E10=TRUE,Inputs!$B$33,0))))+1)),0)</f>
        <v/>
      </c>
      <c r="S2687">
        <f>IFERROR(O2687/N2687,0)</f>
        <v/>
      </c>
      <c r="T2687">
        <f>IF(C2687,(H2687*N2687*IF(AND(Inputs!$B$39&lt;&gt;"pvp",Inputs!$B$44&gt;0),((Skills!G10*((R2687-1)*IF(Skills!H10&gt;0,Skills!I10/Skills!H10,1)+IF(Skills!H10&gt;0,MIN(Skills!I10,MAX(0,MAX(0,Inputs!$B$44-B2713)-((R2687-1)*IF(Inputs!$B$39="pvp",15,MAX(0.1,Skills!D10-IF(Skills!E10=TRUE,Inputs!$B$33,0))))))/Skills!H10,1)))/Inputs!$B$44),G2687*Q2687))*IF(Inputs!$B$39="pvp",1,1+(Inputs!$B$21+0+Skills!P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Skills!E10=TRUE,Inputs!$B$33,0))))))/Skills!H10,1)))/Inputs!$B$44),G2687*Q2687))*IF(Inputs!$B$39="pvp",1,(1+(Inputs!$B$22+Skills!Q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IFERROR(1/IF(Inputs!$B$39="pvp",15,MAX(0.1,Skills!D12-IF(Skills!E12=TRUE,Inputs!$B$33,0))),0)</f>
        <v/>
      </c>
      <c r="R2689">
        <f>IF(AND(Inputs!$B$39&lt;&gt;"pvp",Inputs!$B$44&gt;0),IF(MAX(0,Inputs!$B$44-B2713)&lt;=0,0,(INT(MAX(0,Inputs!$B$44-B2713)/IF(Inputs!$B$39="pvp",15,MAX(0.1,Skills!D12-IF(Skills!E12=TRUE,Inputs!$B$33,0))))+1)),0)</f>
        <v/>
      </c>
      <c r="S2689">
        <f>IFERROR(O2689/N2689,0)</f>
        <v/>
      </c>
      <c r="T2689">
        <f>IF(C2689,(H2689*N2689*IF(AND(Inputs!$B$39&lt;&gt;"pvp",Inputs!$B$44&gt;0),((Skills!G12*((R2689-1)*IF(Skills!H12&gt;0,Skills!I12/Skills!H12,1)+IF(Skills!H12&gt;0,MIN(Skills!I12,MAX(0,MAX(0,Inputs!$B$44-B2713)-((R2689-1)*IF(Inputs!$B$39="pvp",15,MAX(0.1,Skills!D12-IF(Skills!E12=TRUE,Inputs!$B$33,0))))))/Skills!H12,1)))/Inputs!$B$44),G2689*Q2689))*IF(Inputs!$B$39="pvp",1,1+(Inputs!$B$21+0+Skills!P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Skills!E12=TRUE,Inputs!$B$33,0))))))/Skills!H12,1)))/Inputs!$B$44),G2689*Q2689))*IF(Inputs!$B$39="pvp",1,(1+(Inputs!$B$22+Skills!Q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IFERROR(1/IF(Inputs!$B$39="pvp",15,MAX(0.1,Skills!D13-IF(Skills!E13=TRUE,Inputs!$B$33,0))),0)</f>
        <v/>
      </c>
      <c r="R2690">
        <f>IF(AND(Inputs!$B$39&lt;&gt;"pvp",Inputs!$B$44&gt;0),IF(Inputs!$B$44&lt;=0,0,(INT(Inputs!$B$44/IF(Inputs!$B$39="pvp",15,MAX(0.1,Skills!D13-IF(Skills!E13=TRUE,Inputs!$B$33,0))))+1)),0)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IFERROR(1/IF(Inputs!$B$39="pvp",15,MAX(0.1,Skills!D14-IF(Skills!E14=TRUE,Inputs!$B$33,0))),0)</f>
        <v/>
      </c>
      <c r="R2691">
        <f>IF(AND(Inputs!$B$39&lt;&gt;"pvp",Inputs!$B$44&gt;0),IF(Inputs!$B$44&lt;=0,0,(INT(Inputs!$B$44/IF(Inputs!$B$39="pvp",15,MAX(0.1,Skills!D14-IF(Skills!E14=TRUE,Inputs!$B$33,0))))+1)),0)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IFERROR(1/IF(Inputs!$B$39="pvp",15,MAX(0.1,Skills!D15-IF(Skills!E15=TRUE,Inputs!$B$33,0))),0)</f>
        <v/>
      </c>
      <c r="R2692">
        <f>IF(AND(Inputs!$B$39&lt;&gt;"pvp",Inputs!$B$44&gt;0),IF(Inputs!$B$44&lt;=0,0,(INT(Inputs!$B$44/IF(Inputs!$B$39="pvp",15,MAX(0.1,Skills!D15-IF(Skills!E15=TRUE,Inputs!$B$33,0))))+1)),0)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IFERROR(1/IF(Inputs!$B$39="pvp",15,MAX(0.1,Skills!D16-IF(Skills!E16=TRUE,Inputs!$B$33,0))),0)</f>
        <v/>
      </c>
      <c r="R2693">
        <f>IF(AND(Inputs!$B$39&lt;&gt;"pvp",Inputs!$B$44&gt;0),IF(Inputs!$B$44&lt;=0,0,(INT(Inputs!$B$44/IF(Inputs!$B$39="pvp",15,MAX(0.1,Skills!D16-IF(Skills!E16=TRUE,Inputs!$B$33,0))))+1)),0)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IFERROR(1/IF(Inputs!$B$39="pvp",15,MAX(0.1,Skills!D17-IF(Skills!E17=TRUE,Inputs!$B$33,0))),0)</f>
        <v/>
      </c>
      <c r="R2694">
        <f>IF(AND(Inputs!$B$39&lt;&gt;"pvp",Inputs!$B$44&gt;0),IF(Inputs!$B$44&lt;=0,0,(INT(Inputs!$B$44/IF(Inputs!$B$39="pvp",15,MAX(0.1,Skills!D17-IF(Skills!E17=TRUE,Inputs!$B$33,0))))+1)),0)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IFERROR(1/IF(Inputs!$B$39="pvp",15,MAX(0.1,Skills!D18-IF(Skills!E18=TRUE,Inputs!$B$33,0))),0)</f>
        <v/>
      </c>
      <c r="R2695">
        <f>IF(AND(Inputs!$B$39&lt;&gt;"pvp",Inputs!$B$44&gt;0),IF(Inputs!$B$44&lt;=0,0,(INT(Inputs!$B$44/IF(Inputs!$B$39="pvp",15,MAX(0.1,Skills!D18-IF(Skills!E18=TRUE,Inputs!$B$33,0))))+1)),0)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IFERROR(1/IF(Inputs!$B$39="pvp",15,MAX(0.1,Skills!D19-IF(Skills!E19=TRUE,Inputs!$B$33,0))),0)</f>
        <v/>
      </c>
      <c r="R2696">
        <f>IF(AND(Inputs!$B$39&lt;&gt;"pvp",Inputs!$B$44&gt;0),IF(Inputs!$B$44&lt;=0,0,(INT(Inputs!$B$44/IF(Inputs!$B$39="pvp",15,MAX(0.1,Skills!D19-IF(Skills!E19=TRUE,Inputs!$B$33,0))))+1)),0)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IFERROR(1/IF(Inputs!$B$39="pvp",15,MAX(0.1,Skills!D20-IF(Skills!E20=TRUE,Inputs!$B$33,0))),0)</f>
        <v/>
      </c>
      <c r="R2697">
        <f>IF(AND(Inputs!$B$39&lt;&gt;"pvp",Inputs!$B$44&gt;0),IF(Inputs!$B$44&lt;=0,0,(INT(Inputs!$B$44/IF(Inputs!$B$39="pvp",15,MAX(0.1,Skills!D20-IF(Skills!E20=TRUE,Inputs!$B$33,0))))+1)),0)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Skills!T18*(1+Inputs!$B$35/100))+MIN((Skills!T18*(1+Inputs!$B$35/100)),MAX(0,Inputs!$B$44-((R2695-1)*Skills!D18))))/Inputs!$B$44),IF(Inputs!$B$39="pvp",MIN((Skills!T18*(1+Inputs!$B$35/100)),15)/15,(Skills!T18*(1+Inputs!$B$35/100))/Skills!D18)))</f>
        <v/>
      </c>
    </row>
    <row r="2707">
      <c r="A2707" t="inlineStr">
        <is>
          <t>Attack Speed Buff Bonus %</t>
        </is>
      </c>
      <c r="B2707">
        <f>((C2697=TRUE)*F2697*IF(AND(Inputs!$B$39&lt;&gt;"pvp",Inputs!$B$44&gt;0),(((R2697-1)*(Skills!T20*(1+Inputs!$B$35/100))+MIN((Skills!T20*(1+Inputs!$B$35/100)),MAX(0,Inputs!$B$44-((R2697-1)*Skills!D20))))/Inputs!$B$44),IF(Inputs!$B$39="pvp",MIN((Skills!T20*(1+Inputs!$B$35/100)),15)/15,(Skills!T20*(1+Inputs!$B$35/100))/Skills!D20)))</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Skills!T19*(1+Inputs!$B$35/100))+MIN((Skills!T19*(1+Inputs!$B$35/100)),MAX(0,Inputs!$B$44-((R2696-1)*Skills!D19))))/Inputs!$B$44),IF(Inputs!$B$39="pvp",MIN((Skills!T19*(1+Inputs!$B$35/100)),15)/15,(Skills!T19*(1+Inputs!$B$35/100))/Skills!D19)))</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IFERROR(1/IF(Inputs!$B$39="pvp",15,MAX(0.1,Skills!D5-IF(Skills!E5=TRUE,Inputs!$B$33,0))),0)</f>
        <v/>
      </c>
      <c r="R2724">
        <f>IF(AND(Inputs!$B$39&lt;&gt;"pvp",Inputs!$B$44&gt;0),IF(MAX(0,Inputs!$B$44-B2755)&lt;=0,0,(INT(MAX(0,Inputs!$B$44-B2755)/IF(Inputs!$B$39="pvp",15,MAX(0.1,Skills!D5-IF(Skills!E5=TRUE,Inputs!$B$33,0))))+1)),0)</f>
        <v/>
      </c>
      <c r="S2724">
        <f>IFERROR(O2724/N2724,0)</f>
        <v/>
      </c>
      <c r="T2724">
        <f>IF(C2724,(H2724*N2724*IF(AND(Inputs!$B$39&lt;&gt;"pvp",Inputs!$B$44&gt;0),((Skills!G5*((R2724-1)*IF(Skills!H5&gt;0,Skills!I5/Skills!H5,1)+IF(Skills!H5&gt;0,MIN(Skills!I5,MAX(0,MAX(0,Inputs!$B$44-B2755)-((R2724-1)*IF(Inputs!$B$39="pvp",15,MAX(0.1,Skills!D5-IF(Skills!E5=TRUE,Inputs!$B$33,0))))))/Skills!H5,1)))/Inputs!$B$44),G2724*Q2724))*IF(Inputs!$B$39="pvp",1,1+(Inputs!$B$21+0+Skills!P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Skills!E5=TRUE,Inputs!$B$33,0))))))/Skills!H5,1)))/Inputs!$B$44),G2724*Q2724))*IF(Inputs!$B$39="pvp",1,(1+(Inputs!$B$22+Skills!Q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IFERROR(1/IF(Inputs!$B$39="pvp",15,MAX(0.1,Skills!D6-IF(Skills!E6=TRUE,Inputs!$B$33,0))),0)</f>
        <v/>
      </c>
      <c r="R2725">
        <f>IF(AND(Inputs!$B$39&lt;&gt;"pvp",Inputs!$B$44&gt;0),IF(MAX(0,Inputs!$B$44-B2755)&lt;=0,0,(INT(MAX(0,Inputs!$B$44-B2755)/IF(Inputs!$B$39="pvp",15,MAX(0.1,Skills!D6-IF(Skills!E6=TRUE,Inputs!$B$33,0))))+1)),0)</f>
        <v/>
      </c>
      <c r="S2725">
        <f>IFERROR(O2725/N2725,0)</f>
        <v/>
      </c>
      <c r="T2725">
        <f>IF(C2725,(H2725*N2725*IF(AND(Inputs!$B$39&lt;&gt;"pvp",Inputs!$B$44&gt;0),((Skills!G6*((R2725-1)*IF(Skills!H6&gt;0,Skills!I6/Skills!H6,1)+IF(Skills!H6&gt;0,MIN(Skills!I6,MAX(0,MAX(0,Inputs!$B$44-B2755)-((R2725-1)*IF(Inputs!$B$39="pvp",15,MAX(0.1,Skills!D6-IF(Skills!E6=TRUE,Inputs!$B$33,0))))))/Skills!H6,1)))/Inputs!$B$44),G2725*Q2725))*IF(Inputs!$B$39="pvp",1,1+(Inputs!$B$21+0+Skills!P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Skills!E6=TRUE,Inputs!$B$33,0))))))/Skills!H6,1)))/Inputs!$B$44),G2725*Q2725))*IF(Inputs!$B$39="pvp",1,(1+(Inputs!$B$22+Skills!Q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IFERROR(1/IF(Inputs!$B$39="pvp",15,MAX(0.1,Skills!D7-IF(Skills!E7=TRUE,Inputs!$B$33,0))),0)</f>
        <v/>
      </c>
      <c r="R2726">
        <f>IF(AND(Inputs!$B$39&lt;&gt;"pvp",Inputs!$B$44&gt;0),IF(MAX(0,Inputs!$B$44-B2755)&lt;=0,0,(INT(MAX(0,Inputs!$B$44-B2755)/IF(Inputs!$B$39="pvp",15,MAX(0.1,Skills!D7-IF(Skills!E7=TRUE,Inputs!$B$33,0))))+1)),0)</f>
        <v/>
      </c>
      <c r="S2726">
        <f>IFERROR(O2726/N2726,0)</f>
        <v/>
      </c>
      <c r="T2726">
        <f>IF(C2726,(H2726*N2726*IF(AND(Inputs!$B$39&lt;&gt;"pvp",Inputs!$B$44&gt;0),((Skills!G7*((R2726-1)*IF(Skills!H7&gt;0,Skills!I7/Skills!H7,1)+IF(Skills!H7&gt;0,MIN(Skills!I7,MAX(0,MAX(0,Inputs!$B$44-B2755)-((R2726-1)*IF(Inputs!$B$39="pvp",15,MAX(0.1,Skills!D7-IF(Skills!E7=TRUE,Inputs!$B$33,0))))))/Skills!H7,1)))/Inputs!$B$44),G2726*Q2726))*IF(Inputs!$B$39="pvp",1,1+(Inputs!$B$21+0+Skills!P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Skills!E7=TRUE,Inputs!$B$33,0))))))/Skills!H7,1)))/Inputs!$B$44),G2726*Q2726))*IF(Inputs!$B$39="pvp",1,(1+(Inputs!$B$22+Skills!Q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IFERROR(1/IF(Inputs!$B$39="pvp",15,MAX(0.1,Skills!D9-IF(Skills!E9=TRUE,Inputs!$B$33,0))),0)</f>
        <v/>
      </c>
      <c r="R2728">
        <f>IF(AND(Inputs!$B$39&lt;&gt;"pvp",Inputs!$B$44&gt;0),IF(MAX(0,Inputs!$B$44-B2755)&lt;=0,0,(INT(MAX(0,Inputs!$B$44-B2755)/IF(Inputs!$B$39="pvp",15,MAX(0.1,Skills!D9-IF(Skills!E9=TRUE,Inputs!$B$33,0))))+1)),0)</f>
        <v/>
      </c>
      <c r="S2728">
        <f>IFERROR(O2728/N2728,0)</f>
        <v/>
      </c>
      <c r="T2728">
        <f>IF(C2728,(H2728*N2728*IF(AND(Inputs!$B$39&lt;&gt;"pvp",Inputs!$B$44&gt;0),((Skills!G9*((R2728-1)*IF(Skills!H9&gt;0,Skills!I9/Skills!H9,1)+IF(Skills!H9&gt;0,MIN(Skills!I9,MAX(0,MAX(0,Inputs!$B$44-B2755)-((R2728-1)*IF(Inputs!$B$39="pvp",15,MAX(0.1,Skills!D9-IF(Skills!E9=TRUE,Inputs!$B$33,0))))))/Skills!H9,1)))/Inputs!$B$44),G2728*Q2728))*IF(Inputs!$B$39="pvp",1,1+(Inputs!$B$21+0+Skills!P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Skills!E9=TRUE,Inputs!$B$33,0))))))/Skills!H9,1)))/Inputs!$B$44),G2728*Q2728))*IF(Inputs!$B$39="pvp",1,(1+(Inputs!$B$22+Skills!Q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IFERROR(1/IF(Inputs!$B$39="pvp",15,MAX(0.1,Skills!D10-IF(Skills!E10=TRUE,Inputs!$B$33,0))),0)</f>
        <v/>
      </c>
      <c r="R2729">
        <f>IF(AND(Inputs!$B$39&lt;&gt;"pvp",Inputs!$B$44&gt;0),IF(MAX(0,Inputs!$B$44-B2755)&lt;=0,0,(INT(MAX(0,Inputs!$B$44-B2755)/IF(Inputs!$B$39="pvp",15,MAX(0.1,Skills!D10-IF(Skills!E10=TRUE,Inputs!$B$33,0))))+1)),0)</f>
        <v/>
      </c>
      <c r="S2729">
        <f>IFERROR(O2729/N2729,0)</f>
        <v/>
      </c>
      <c r="T2729">
        <f>IF(C2729,(H2729*N2729*IF(AND(Inputs!$B$39&lt;&gt;"pvp",Inputs!$B$44&gt;0),((Skills!G10*((R2729-1)*IF(Skills!H10&gt;0,Skills!I10/Skills!H10,1)+IF(Skills!H10&gt;0,MIN(Skills!I10,MAX(0,MAX(0,Inputs!$B$44-B2755)-((R2729-1)*IF(Inputs!$B$39="pvp",15,MAX(0.1,Skills!D10-IF(Skills!E10=TRUE,Inputs!$B$33,0))))))/Skills!H10,1)))/Inputs!$B$44),G2729*Q2729))*IF(Inputs!$B$39="pvp",1,1+(Inputs!$B$21+0+Skills!P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Skills!E10=TRUE,Inputs!$B$33,0))))))/Skills!H10,1)))/Inputs!$B$44),G2729*Q2729))*IF(Inputs!$B$39="pvp",1,(1+(Inputs!$B$22+Skills!Q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IFERROR(1/IF(Inputs!$B$39="pvp",15,MAX(0.1,Skills!D12-IF(Skills!E12=TRUE,Inputs!$B$33,0))),0)</f>
        <v/>
      </c>
      <c r="R2731">
        <f>IF(AND(Inputs!$B$39&lt;&gt;"pvp",Inputs!$B$44&gt;0),IF(MAX(0,Inputs!$B$44-B2755)&lt;=0,0,(INT(MAX(0,Inputs!$B$44-B2755)/IF(Inputs!$B$39="pvp",15,MAX(0.1,Skills!D12-IF(Skills!E12=TRUE,Inputs!$B$33,0))))+1)),0)</f>
        <v/>
      </c>
      <c r="S2731">
        <f>IFERROR(O2731/N2731,0)</f>
        <v/>
      </c>
      <c r="T2731">
        <f>IF(C2731,(H2731*N2731*IF(AND(Inputs!$B$39&lt;&gt;"pvp",Inputs!$B$44&gt;0),((Skills!G12*((R2731-1)*IF(Skills!H12&gt;0,Skills!I12/Skills!H12,1)+IF(Skills!H12&gt;0,MIN(Skills!I12,MAX(0,MAX(0,Inputs!$B$44-B2755)-((R2731-1)*IF(Inputs!$B$39="pvp",15,MAX(0.1,Skills!D12-IF(Skills!E12=TRUE,Inputs!$B$33,0))))))/Skills!H12,1)))/Inputs!$B$44),G2731*Q2731))*IF(Inputs!$B$39="pvp",1,1+(Inputs!$B$21+0+Skills!P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Skills!E12=TRUE,Inputs!$B$33,0))))))/Skills!H12,1)))/Inputs!$B$44),G2731*Q2731))*IF(Inputs!$B$39="pvp",1,(1+(Inputs!$B$22+Skills!Q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IFERROR(1/IF(Inputs!$B$39="pvp",15,MAX(0.1,Skills!D13-IF(Skills!E13=TRUE,Inputs!$B$33,0))),0)</f>
        <v/>
      </c>
      <c r="R2732">
        <f>IF(AND(Inputs!$B$39&lt;&gt;"pvp",Inputs!$B$44&gt;0),IF(Inputs!$B$44&lt;=0,0,(INT(Inputs!$B$44/IF(Inputs!$B$39="pvp",15,MAX(0.1,Skills!D13-IF(Skills!E13=TRUE,Inputs!$B$33,0))))+1)),0)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IFERROR(1/IF(Inputs!$B$39="pvp",15,MAX(0.1,Skills!D14-IF(Skills!E14=TRUE,Inputs!$B$33,0))),0)</f>
        <v/>
      </c>
      <c r="R2733">
        <f>IF(AND(Inputs!$B$39&lt;&gt;"pvp",Inputs!$B$44&gt;0),IF(Inputs!$B$44&lt;=0,0,(INT(Inputs!$B$44/IF(Inputs!$B$39="pvp",15,MAX(0.1,Skills!D14-IF(Skills!E14=TRUE,Inputs!$B$33,0))))+1)),0)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IFERROR(1/IF(Inputs!$B$39="pvp",15,MAX(0.1,Skills!D15-IF(Skills!E15=TRUE,Inputs!$B$33,0))),0)</f>
        <v/>
      </c>
      <c r="R2734">
        <f>IF(AND(Inputs!$B$39&lt;&gt;"pvp",Inputs!$B$44&gt;0),IF(Inputs!$B$44&lt;=0,0,(INT(Inputs!$B$44/IF(Inputs!$B$39="pvp",15,MAX(0.1,Skills!D15-IF(Skills!E15=TRUE,Inputs!$B$33,0))))+1)),0)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IFERROR(1/IF(Inputs!$B$39="pvp",15,MAX(0.1,Skills!D16-IF(Skills!E16=TRUE,Inputs!$B$33,0))),0)</f>
        <v/>
      </c>
      <c r="R2735">
        <f>IF(AND(Inputs!$B$39&lt;&gt;"pvp",Inputs!$B$44&gt;0),IF(Inputs!$B$44&lt;=0,0,(INT(Inputs!$B$44/IF(Inputs!$B$39="pvp",15,MAX(0.1,Skills!D16-IF(Skills!E16=TRUE,Inputs!$B$33,0))))+1)),0)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IFERROR(1/IF(Inputs!$B$39="pvp",15,MAX(0.1,Skills!D17-IF(Skills!E17=TRUE,Inputs!$B$33,0))),0)</f>
        <v/>
      </c>
      <c r="R2736">
        <f>IF(AND(Inputs!$B$39&lt;&gt;"pvp",Inputs!$B$44&gt;0),IF(Inputs!$B$44&lt;=0,0,(INT(Inputs!$B$44/IF(Inputs!$B$39="pvp",15,MAX(0.1,Skills!D17-IF(Skills!E17=TRUE,Inputs!$B$33,0))))+1)),0)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IFERROR(1/IF(Inputs!$B$39="pvp",15,MAX(0.1,Skills!D18-IF(Skills!E18=TRUE,Inputs!$B$33,0))),0)</f>
        <v/>
      </c>
      <c r="R2737">
        <f>IF(AND(Inputs!$B$39&lt;&gt;"pvp",Inputs!$B$44&gt;0),IF(Inputs!$B$44&lt;=0,0,(INT(Inputs!$B$44/IF(Inputs!$B$39="pvp",15,MAX(0.1,Skills!D18-IF(Skills!E18=TRUE,Inputs!$B$33,0))))+1)),0)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IFERROR(1/IF(Inputs!$B$39="pvp",15,MAX(0.1,Skills!D19-IF(Skills!E19=TRUE,Inputs!$B$33,0))),0)</f>
        <v/>
      </c>
      <c r="R2738">
        <f>IF(AND(Inputs!$B$39&lt;&gt;"pvp",Inputs!$B$44&gt;0),IF(Inputs!$B$44&lt;=0,0,(INT(Inputs!$B$44/IF(Inputs!$B$39="pvp",15,MAX(0.1,Skills!D19-IF(Skills!E19=TRUE,Inputs!$B$33,0))))+1)),0)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IFERROR(1/IF(Inputs!$B$39="pvp",15,MAX(0.1,Skills!D20-IF(Skills!E20=TRUE,Inputs!$B$33,0))),0)</f>
        <v/>
      </c>
      <c r="R2739">
        <f>IF(AND(Inputs!$B$39&lt;&gt;"pvp",Inputs!$B$44&gt;0),IF(Inputs!$B$44&lt;=0,0,(INT(Inputs!$B$44/IF(Inputs!$B$39="pvp",15,MAX(0.1,Skills!D20-IF(Skills!E20=TRUE,Inputs!$B$33,0))))+1)),0)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Skills!T18*(1+Inputs!$B$35/100))+MIN((Skills!T18*(1+Inputs!$B$35/100)),MAX(0,Inputs!$B$44-((R2737-1)*Skills!D18))))/Inputs!$B$44),IF(Inputs!$B$39="pvp",MIN((Skills!T18*(1+Inputs!$B$35/100)),15)/15,(Skills!T18*(1+Inputs!$B$35/100))/Skills!D18)))</f>
        <v/>
      </c>
    </row>
    <row r="2749">
      <c r="A2749" t="inlineStr">
        <is>
          <t>Attack Speed Buff Bonus %</t>
        </is>
      </c>
      <c r="B2749">
        <f>((C2739=TRUE)*F2739*IF(AND(Inputs!$B$39&lt;&gt;"pvp",Inputs!$B$44&gt;0),(((R2739-1)*(Skills!T20*(1+Inputs!$B$35/100))+MIN((Skills!T20*(1+Inputs!$B$35/100)),MAX(0,Inputs!$B$44-((R2739-1)*Skills!D20))))/Inputs!$B$44),IF(Inputs!$B$39="pvp",MIN((Skills!T20*(1+Inputs!$B$35/100)),15)/15,(Skills!T20*(1+Inputs!$B$35/100))/Skills!D20)))</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Skills!T19*(1+Inputs!$B$35/100))+MIN((Skills!T19*(1+Inputs!$B$35/100)),MAX(0,Inputs!$B$44-((R2738-1)*Skills!D19))))/Inputs!$B$44),IF(Inputs!$B$39="pvp",MIN((Skills!T19*(1+Inputs!$B$35/100)),15)/15,(Skills!T19*(1+Inputs!$B$35/100))/Skills!D19)))</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IFERROR(1/IF(Inputs!$B$39="pvp",15,MAX(0.1,Skills!D5-IF(Skills!E5=TRUE,0.5,0))),0)</f>
        <v/>
      </c>
      <c r="R2780">
        <f>IF(AND(Inputs!$B$39&lt;&gt;"pvp",Inputs!$B$44&gt;0),IF(MAX(0,Inputs!$B$44-B2811)&lt;=0,0,(INT(MAX(0,Inputs!$B$44-B2811)/IF(Inputs!$B$39="pvp",15,MAX(0.1,Skills!D5-IF(Skills!E5=TRUE,0.5,0))))+1)),0)</f>
        <v/>
      </c>
      <c r="S2780">
        <f>IFERROR(O2780/N2780,0)</f>
        <v/>
      </c>
      <c r="T2780">
        <f>IF(C2780,(H2780*N2780*IF(AND(Inputs!$B$39&lt;&gt;"pvp",Inputs!$B$44&gt;0),((Skills!G5*((R2780-1)*IF(Skills!H5&gt;0,Skills!I5/Skills!H5,1)+IF(Skills!H5&gt;0,MIN(Skills!I5,MAX(0,MAX(0,Inputs!$B$44-B2811)-((R2780-1)*IF(Inputs!$B$39="pvp",15,MAX(0.1,Skills!D5-IF(Skills!E5=TRUE,0.5,0))))))/Skills!H5,1)))/Inputs!$B$44),G2780*Q2780))*IF(Inputs!$B$39="pvp",1,1+(Inputs!$B$21+0+Skills!P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Skills!E5=TRUE,0.5,0))))))/Skills!H5,1)))/Inputs!$B$44),G2780*Q2780))*IF(Inputs!$B$39="pvp",1,(1+(Inputs!$B$22+Skills!Q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IFERROR(1/IF(Inputs!$B$39="pvp",15,MAX(0.1,Skills!D6-IF(Skills!E6=TRUE,0.5,0))),0)</f>
        <v/>
      </c>
      <c r="R2781">
        <f>IF(AND(Inputs!$B$39&lt;&gt;"pvp",Inputs!$B$44&gt;0),IF(MAX(0,Inputs!$B$44-B2811)&lt;=0,0,(INT(MAX(0,Inputs!$B$44-B2811)/IF(Inputs!$B$39="pvp",15,MAX(0.1,Skills!D6-IF(Skills!E6=TRUE,0.5,0))))+1)),0)</f>
        <v/>
      </c>
      <c r="S2781">
        <f>IFERROR(O2781/N2781,0)</f>
        <v/>
      </c>
      <c r="T2781">
        <f>IF(C2781,(H2781*N2781*IF(AND(Inputs!$B$39&lt;&gt;"pvp",Inputs!$B$44&gt;0),((Skills!G6*((R2781-1)*IF(Skills!H6&gt;0,Skills!I6/Skills!H6,1)+IF(Skills!H6&gt;0,MIN(Skills!I6,MAX(0,MAX(0,Inputs!$B$44-B2811)-((R2781-1)*IF(Inputs!$B$39="pvp",15,MAX(0.1,Skills!D6-IF(Skills!E6=TRUE,0.5,0))))))/Skills!H6,1)))/Inputs!$B$44),G2781*Q2781))*IF(Inputs!$B$39="pvp",1,1+(Inputs!$B$21+0+Skills!P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Skills!E6=TRUE,0.5,0))))))/Skills!H6,1)))/Inputs!$B$44),G2781*Q2781))*IF(Inputs!$B$39="pvp",1,(1+(Inputs!$B$22+Skills!Q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IFERROR(1/IF(Inputs!$B$39="pvp",15,MAX(0.1,Skills!D7-IF(Skills!E7=TRUE,0.5,0))),0)</f>
        <v/>
      </c>
      <c r="R2782">
        <f>IF(AND(Inputs!$B$39&lt;&gt;"pvp",Inputs!$B$44&gt;0),IF(MAX(0,Inputs!$B$44-B2811)&lt;=0,0,(INT(MAX(0,Inputs!$B$44-B2811)/IF(Inputs!$B$39="pvp",15,MAX(0.1,Skills!D7-IF(Skills!E7=TRUE,0.5,0))))+1)),0)</f>
        <v/>
      </c>
      <c r="S2782">
        <f>IFERROR(O2782/N2782,0)</f>
        <v/>
      </c>
      <c r="T2782">
        <f>IF(C2782,(H2782*N2782*IF(AND(Inputs!$B$39&lt;&gt;"pvp",Inputs!$B$44&gt;0),((Skills!G7*((R2782-1)*IF(Skills!H7&gt;0,Skills!I7/Skills!H7,1)+IF(Skills!H7&gt;0,MIN(Skills!I7,MAX(0,MAX(0,Inputs!$B$44-B2811)-((R2782-1)*IF(Inputs!$B$39="pvp",15,MAX(0.1,Skills!D7-IF(Skills!E7=TRUE,0.5,0))))))/Skills!H7,1)))/Inputs!$B$44),G2782*Q2782))*IF(Inputs!$B$39="pvp",1,1+(Inputs!$B$21+0+Skills!P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Skills!E7=TRUE,0.5,0))))))/Skills!H7,1)))/Inputs!$B$44),G2782*Q2782))*IF(Inputs!$B$39="pvp",1,(1+(Inputs!$B$22+Skills!Q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IFERROR(1/IF(Inputs!$B$39="pvp",15,MAX(0.1,Skills!D9-IF(Skills!E9=TRUE,0.5,0))),0)</f>
        <v/>
      </c>
      <c r="R2784">
        <f>IF(AND(Inputs!$B$39&lt;&gt;"pvp",Inputs!$B$44&gt;0),IF(MAX(0,Inputs!$B$44-B2811)&lt;=0,0,(INT(MAX(0,Inputs!$B$44-B2811)/IF(Inputs!$B$39="pvp",15,MAX(0.1,Skills!D9-IF(Skills!E9=TRUE,0.5,0))))+1)),0)</f>
        <v/>
      </c>
      <c r="S2784">
        <f>IFERROR(O2784/N2784,0)</f>
        <v/>
      </c>
      <c r="T2784">
        <f>IF(C2784,(H2784*N2784*IF(AND(Inputs!$B$39&lt;&gt;"pvp",Inputs!$B$44&gt;0),((Skills!G9*((R2784-1)*IF(Skills!H9&gt;0,Skills!I9/Skills!H9,1)+IF(Skills!H9&gt;0,MIN(Skills!I9,MAX(0,MAX(0,Inputs!$B$44-B2811)-((R2784-1)*IF(Inputs!$B$39="pvp",15,MAX(0.1,Skills!D9-IF(Skills!E9=TRUE,0.5,0))))))/Skills!H9,1)))/Inputs!$B$44),G2784*Q2784))*IF(Inputs!$B$39="pvp",1,1+(Inputs!$B$21+0+Skills!P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Skills!E9=TRUE,0.5,0))))))/Skills!H9,1)))/Inputs!$B$44),G2784*Q2784))*IF(Inputs!$B$39="pvp",1,(1+(Inputs!$B$22+Skills!Q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IFERROR(1/IF(Inputs!$B$39="pvp",15,MAX(0.1,Skills!D10-IF(Skills!E10=TRUE,0.5,0))),0)</f>
        <v/>
      </c>
      <c r="R2785">
        <f>IF(AND(Inputs!$B$39&lt;&gt;"pvp",Inputs!$B$44&gt;0),IF(MAX(0,Inputs!$B$44-B2811)&lt;=0,0,(INT(MAX(0,Inputs!$B$44-B2811)/IF(Inputs!$B$39="pvp",15,MAX(0.1,Skills!D10-IF(Skills!E10=TRUE,0.5,0))))+1)),0)</f>
        <v/>
      </c>
      <c r="S2785">
        <f>IFERROR(O2785/N2785,0)</f>
        <v/>
      </c>
      <c r="T2785">
        <f>IF(C2785,(H2785*N2785*IF(AND(Inputs!$B$39&lt;&gt;"pvp",Inputs!$B$44&gt;0),((Skills!G10*((R2785-1)*IF(Skills!H10&gt;0,Skills!I10/Skills!H10,1)+IF(Skills!H10&gt;0,MIN(Skills!I10,MAX(0,MAX(0,Inputs!$B$44-B2811)-((R2785-1)*IF(Inputs!$B$39="pvp",15,MAX(0.1,Skills!D10-IF(Skills!E10=TRUE,0.5,0))))))/Skills!H10,1)))/Inputs!$B$44),G2785*Q2785))*IF(Inputs!$B$39="pvp",1,1+(Inputs!$B$21+0+Skills!P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Skills!E10=TRUE,0.5,0))))))/Skills!H10,1)))/Inputs!$B$44),G2785*Q2785))*IF(Inputs!$B$39="pvp",1,(1+(Inputs!$B$22+Skills!Q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IFERROR(1/IF(Inputs!$B$39="pvp",15,MAX(0.1,Skills!D12-IF(Skills!E12=TRUE,0.5,0))),0)</f>
        <v/>
      </c>
      <c r="R2787">
        <f>IF(AND(Inputs!$B$39&lt;&gt;"pvp",Inputs!$B$44&gt;0),IF(MAX(0,Inputs!$B$44-B2811)&lt;=0,0,(INT(MAX(0,Inputs!$B$44-B2811)/IF(Inputs!$B$39="pvp",15,MAX(0.1,Skills!D12-IF(Skills!E12=TRUE,0.5,0))))+1)),0)</f>
        <v/>
      </c>
      <c r="S2787">
        <f>IFERROR(O2787/N2787,0)</f>
        <v/>
      </c>
      <c r="T2787">
        <f>IF(C2787,(H2787*N2787*IF(AND(Inputs!$B$39&lt;&gt;"pvp",Inputs!$B$44&gt;0),((Skills!G12*((R2787-1)*IF(Skills!H12&gt;0,Skills!I12/Skills!H12,1)+IF(Skills!H12&gt;0,MIN(Skills!I12,MAX(0,MAX(0,Inputs!$B$44-B2811)-((R2787-1)*IF(Inputs!$B$39="pvp",15,MAX(0.1,Skills!D12-IF(Skills!E12=TRUE,0.5,0))))))/Skills!H12,1)))/Inputs!$B$44),G2787*Q2787))*IF(Inputs!$B$39="pvp",1,1+(Inputs!$B$21+0+Skills!P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Skills!E12=TRUE,0.5,0))))))/Skills!H12,1)))/Inputs!$B$44),G2787*Q2787))*IF(Inputs!$B$39="pvp",1,(1+(Inputs!$B$22+Skills!Q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IFERROR(1/IF(Inputs!$B$39="pvp",15,MAX(0.1,Skills!D13-IF(Skills!E13=TRUE,0.5,0))),0)</f>
        <v/>
      </c>
      <c r="R2788">
        <f>IF(AND(Inputs!$B$39&lt;&gt;"pvp",Inputs!$B$44&gt;0),IF(Inputs!$B$44&lt;=0,0,(INT(Inputs!$B$44/IF(Inputs!$B$39="pvp",15,MAX(0.1,Skills!D13-IF(Skills!E13=TRUE,0.5,0))))+1)),0)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IFERROR(1/IF(Inputs!$B$39="pvp",15,MAX(0.1,Skills!D14-IF(Skills!E14=TRUE,0.5,0))),0)</f>
        <v/>
      </c>
      <c r="R2789">
        <f>IF(AND(Inputs!$B$39&lt;&gt;"pvp",Inputs!$B$44&gt;0),IF(Inputs!$B$44&lt;=0,0,(INT(Inputs!$B$44/IF(Inputs!$B$39="pvp",15,MAX(0.1,Skills!D14-IF(Skills!E14=TRUE,0.5,0))))+1)),0)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IFERROR(1/IF(Inputs!$B$39="pvp",15,MAX(0.1,Skills!D15-IF(Skills!E15=TRUE,0.5,0))),0)</f>
        <v/>
      </c>
      <c r="R2790">
        <f>IF(AND(Inputs!$B$39&lt;&gt;"pvp",Inputs!$B$44&gt;0),IF(Inputs!$B$44&lt;=0,0,(INT(Inputs!$B$44/IF(Inputs!$B$39="pvp",15,MAX(0.1,Skills!D15-IF(Skills!E15=TRUE,0.5,0))))+1)),0)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IFERROR(1/IF(Inputs!$B$39="pvp",15,MAX(0.1,Skills!D16-IF(Skills!E16=TRUE,0.5,0))),0)</f>
        <v/>
      </c>
      <c r="R2791">
        <f>IF(AND(Inputs!$B$39&lt;&gt;"pvp",Inputs!$B$44&gt;0),IF(Inputs!$B$44&lt;=0,0,(INT(Inputs!$B$44/IF(Inputs!$B$39="pvp",15,MAX(0.1,Skills!D16-IF(Skills!E16=TRUE,0.5,0))))+1)),0)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IFERROR(1/IF(Inputs!$B$39="pvp",15,MAX(0.1,Skills!D17-IF(Skills!E17=TRUE,0.5,0))),0)</f>
        <v/>
      </c>
      <c r="R2792">
        <f>IF(AND(Inputs!$B$39&lt;&gt;"pvp",Inputs!$B$44&gt;0),IF(Inputs!$B$44&lt;=0,0,(INT(Inputs!$B$44/IF(Inputs!$B$39="pvp",15,MAX(0.1,Skills!D17-IF(Skills!E17=TRUE,0.5,0))))+1)),0)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IFERROR(1/IF(Inputs!$B$39="pvp",15,MAX(0.1,Skills!D18-IF(Skills!E18=TRUE,0.5,0))),0)</f>
        <v/>
      </c>
      <c r="R2793">
        <f>IF(AND(Inputs!$B$39&lt;&gt;"pvp",Inputs!$B$44&gt;0),IF(Inputs!$B$44&lt;=0,0,(INT(Inputs!$B$44/IF(Inputs!$B$39="pvp",15,MAX(0.1,Skills!D18-IF(Skills!E18=TRUE,0.5,0))))+1)),0)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IFERROR(1/IF(Inputs!$B$39="pvp",15,MAX(0.1,Skills!D19-IF(Skills!E19=TRUE,0.5,0))),0)</f>
        <v/>
      </c>
      <c r="R2794">
        <f>IF(AND(Inputs!$B$39&lt;&gt;"pvp",Inputs!$B$44&gt;0),IF(Inputs!$B$44&lt;=0,0,(INT(Inputs!$B$44/IF(Inputs!$B$39="pvp",15,MAX(0.1,Skills!D19-IF(Skills!E19=TRUE,0.5,0))))+1)),0)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IFERROR(1/IF(Inputs!$B$39="pvp",15,MAX(0.1,Skills!D20-IF(Skills!E20=TRUE,0.5,0))),0)</f>
        <v/>
      </c>
      <c r="R2795">
        <f>IF(AND(Inputs!$B$39&lt;&gt;"pvp",Inputs!$B$44&gt;0),IF(Inputs!$B$44&lt;=0,0,(INT(Inputs!$B$44/IF(Inputs!$B$39="pvp",15,MAX(0.1,Skills!D20-IF(Skills!E20=TRUE,0.5,0))))+1)),0)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Skills!T18*(1+Inputs!$B$35/100))+MIN((Skills!T18*(1+Inputs!$B$35/100)),MAX(0,Inputs!$B$44-((R2793-1)*Skills!D18))))/Inputs!$B$44),IF(Inputs!$B$39="pvp",MIN((Skills!T18*(1+Inputs!$B$35/100)),15)/15,(Skills!T18*(1+Inputs!$B$35/100))/Skills!D18)))</f>
        <v/>
      </c>
    </row>
    <row r="2805">
      <c r="A2805" t="inlineStr">
        <is>
          <t>Attack Speed Buff Bonus %</t>
        </is>
      </c>
      <c r="B2805">
        <f>((C2795=TRUE)*F2795*IF(AND(Inputs!$B$39&lt;&gt;"pvp",Inputs!$B$44&gt;0),(((R2795-1)*(Skills!T20*(1+Inputs!$B$35/100))+MIN((Skills!T20*(1+Inputs!$B$35/100)),MAX(0,Inputs!$B$44-((R2795-1)*Skills!D20))))/Inputs!$B$44),IF(Inputs!$B$39="pvp",MIN((Skills!T20*(1+Inputs!$B$35/100)),15)/15,(Skills!T20*(1+Inputs!$B$35/100))/Skills!D20)))</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Skills!T19*(1+Inputs!$B$35/100))+MIN((Skills!T19*(1+Inputs!$B$35/100)),MAX(0,Inputs!$B$44-((R2794-1)*Skills!D19))))/Inputs!$B$44),IF(Inputs!$B$39="pvp",MIN((Skills!T19*(1+Inputs!$B$35/100)),15)/15,(Skills!T19*(1+Inputs!$B$35/100))/Skills!D19)))</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IFERROR(1/IF(Inputs!$B$39="pvp",15,MAX(0.1,Skills!D5-IF(Skills!E5=TRUE,1.0,0))),0)</f>
        <v/>
      </c>
      <c r="R2822">
        <f>IF(AND(Inputs!$B$39&lt;&gt;"pvp",Inputs!$B$44&gt;0),IF(MAX(0,Inputs!$B$44-B2853)&lt;=0,0,(INT(MAX(0,Inputs!$B$44-B2853)/IF(Inputs!$B$39="pvp",15,MAX(0.1,Skills!D5-IF(Skills!E5=TRUE,1.0,0))))+1)),0)</f>
        <v/>
      </c>
      <c r="S2822">
        <f>IFERROR(O2822/N2822,0)</f>
        <v/>
      </c>
      <c r="T2822">
        <f>IF(C2822,(H2822*N2822*IF(AND(Inputs!$B$39&lt;&gt;"pvp",Inputs!$B$44&gt;0),((Skills!G5*((R2822-1)*IF(Skills!H5&gt;0,Skills!I5/Skills!H5,1)+IF(Skills!H5&gt;0,MIN(Skills!I5,MAX(0,MAX(0,Inputs!$B$44-B2853)-((R2822-1)*IF(Inputs!$B$39="pvp",15,MAX(0.1,Skills!D5-IF(Skills!E5=TRUE,1.0,0))))))/Skills!H5,1)))/Inputs!$B$44),G2822*Q2822))*IF(Inputs!$B$39="pvp",1,1+(Inputs!$B$21+0+Skills!P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Skills!E5=TRUE,1.0,0))))))/Skills!H5,1)))/Inputs!$B$44),G2822*Q2822))*IF(Inputs!$B$39="pvp",1,(1+(Inputs!$B$22+Skills!Q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IFERROR(1/IF(Inputs!$B$39="pvp",15,MAX(0.1,Skills!D6-IF(Skills!E6=TRUE,1.0,0))),0)</f>
        <v/>
      </c>
      <c r="R2823">
        <f>IF(AND(Inputs!$B$39&lt;&gt;"pvp",Inputs!$B$44&gt;0),IF(MAX(0,Inputs!$B$44-B2853)&lt;=0,0,(INT(MAX(0,Inputs!$B$44-B2853)/IF(Inputs!$B$39="pvp",15,MAX(0.1,Skills!D6-IF(Skills!E6=TRUE,1.0,0))))+1)),0)</f>
        <v/>
      </c>
      <c r="S2823">
        <f>IFERROR(O2823/N2823,0)</f>
        <v/>
      </c>
      <c r="T2823">
        <f>IF(C2823,(H2823*N2823*IF(AND(Inputs!$B$39&lt;&gt;"pvp",Inputs!$B$44&gt;0),((Skills!G6*((R2823-1)*IF(Skills!H6&gt;0,Skills!I6/Skills!H6,1)+IF(Skills!H6&gt;0,MIN(Skills!I6,MAX(0,MAX(0,Inputs!$B$44-B2853)-((R2823-1)*IF(Inputs!$B$39="pvp",15,MAX(0.1,Skills!D6-IF(Skills!E6=TRUE,1.0,0))))))/Skills!H6,1)))/Inputs!$B$44),G2823*Q2823))*IF(Inputs!$B$39="pvp",1,1+(Inputs!$B$21+0+Skills!P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Skills!E6=TRUE,1.0,0))))))/Skills!H6,1)))/Inputs!$B$44),G2823*Q2823))*IF(Inputs!$B$39="pvp",1,(1+(Inputs!$B$22+Skills!Q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IFERROR(1/IF(Inputs!$B$39="pvp",15,MAX(0.1,Skills!D7-IF(Skills!E7=TRUE,1.0,0))),0)</f>
        <v/>
      </c>
      <c r="R2824">
        <f>IF(AND(Inputs!$B$39&lt;&gt;"pvp",Inputs!$B$44&gt;0),IF(MAX(0,Inputs!$B$44-B2853)&lt;=0,0,(INT(MAX(0,Inputs!$B$44-B2853)/IF(Inputs!$B$39="pvp",15,MAX(0.1,Skills!D7-IF(Skills!E7=TRUE,1.0,0))))+1)),0)</f>
        <v/>
      </c>
      <c r="S2824">
        <f>IFERROR(O2824/N2824,0)</f>
        <v/>
      </c>
      <c r="T2824">
        <f>IF(C2824,(H2824*N2824*IF(AND(Inputs!$B$39&lt;&gt;"pvp",Inputs!$B$44&gt;0),((Skills!G7*((R2824-1)*IF(Skills!H7&gt;0,Skills!I7/Skills!H7,1)+IF(Skills!H7&gt;0,MIN(Skills!I7,MAX(0,MAX(0,Inputs!$B$44-B2853)-((R2824-1)*IF(Inputs!$B$39="pvp",15,MAX(0.1,Skills!D7-IF(Skills!E7=TRUE,1.0,0))))))/Skills!H7,1)))/Inputs!$B$44),G2824*Q2824))*IF(Inputs!$B$39="pvp",1,1+(Inputs!$B$21+0+Skills!P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Skills!E7=TRUE,1.0,0))))))/Skills!H7,1)))/Inputs!$B$44),G2824*Q2824))*IF(Inputs!$B$39="pvp",1,(1+(Inputs!$B$22+Skills!Q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IFERROR(1/IF(Inputs!$B$39="pvp",15,MAX(0.1,Skills!D9-IF(Skills!E9=TRUE,1.0,0))),0)</f>
        <v/>
      </c>
      <c r="R2826">
        <f>IF(AND(Inputs!$B$39&lt;&gt;"pvp",Inputs!$B$44&gt;0),IF(MAX(0,Inputs!$B$44-B2853)&lt;=0,0,(INT(MAX(0,Inputs!$B$44-B2853)/IF(Inputs!$B$39="pvp",15,MAX(0.1,Skills!D9-IF(Skills!E9=TRUE,1.0,0))))+1)),0)</f>
        <v/>
      </c>
      <c r="S2826">
        <f>IFERROR(O2826/N2826,0)</f>
        <v/>
      </c>
      <c r="T2826">
        <f>IF(C2826,(H2826*N2826*IF(AND(Inputs!$B$39&lt;&gt;"pvp",Inputs!$B$44&gt;0),((Skills!G9*((R2826-1)*IF(Skills!H9&gt;0,Skills!I9/Skills!H9,1)+IF(Skills!H9&gt;0,MIN(Skills!I9,MAX(0,MAX(0,Inputs!$B$44-B2853)-((R2826-1)*IF(Inputs!$B$39="pvp",15,MAX(0.1,Skills!D9-IF(Skills!E9=TRUE,1.0,0))))))/Skills!H9,1)))/Inputs!$B$44),G2826*Q2826))*IF(Inputs!$B$39="pvp",1,1+(Inputs!$B$21+0+Skills!P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Skills!E9=TRUE,1.0,0))))))/Skills!H9,1)))/Inputs!$B$44),G2826*Q2826))*IF(Inputs!$B$39="pvp",1,(1+(Inputs!$B$22+Skills!Q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IFERROR(1/IF(Inputs!$B$39="pvp",15,MAX(0.1,Skills!D10-IF(Skills!E10=TRUE,1.0,0))),0)</f>
        <v/>
      </c>
      <c r="R2827">
        <f>IF(AND(Inputs!$B$39&lt;&gt;"pvp",Inputs!$B$44&gt;0),IF(MAX(0,Inputs!$B$44-B2853)&lt;=0,0,(INT(MAX(0,Inputs!$B$44-B2853)/IF(Inputs!$B$39="pvp",15,MAX(0.1,Skills!D10-IF(Skills!E10=TRUE,1.0,0))))+1)),0)</f>
        <v/>
      </c>
      <c r="S2827">
        <f>IFERROR(O2827/N2827,0)</f>
        <v/>
      </c>
      <c r="T2827">
        <f>IF(C2827,(H2827*N2827*IF(AND(Inputs!$B$39&lt;&gt;"pvp",Inputs!$B$44&gt;0),((Skills!G10*((R2827-1)*IF(Skills!H10&gt;0,Skills!I10/Skills!H10,1)+IF(Skills!H10&gt;0,MIN(Skills!I10,MAX(0,MAX(0,Inputs!$B$44-B2853)-((R2827-1)*IF(Inputs!$B$39="pvp",15,MAX(0.1,Skills!D10-IF(Skills!E10=TRUE,1.0,0))))))/Skills!H10,1)))/Inputs!$B$44),G2827*Q2827))*IF(Inputs!$B$39="pvp",1,1+(Inputs!$B$21+0+Skills!P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Skills!E10=TRUE,1.0,0))))))/Skills!H10,1)))/Inputs!$B$44),G2827*Q2827))*IF(Inputs!$B$39="pvp",1,(1+(Inputs!$B$22+Skills!Q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IFERROR(1/IF(Inputs!$B$39="pvp",15,MAX(0.1,Skills!D12-IF(Skills!E12=TRUE,1.0,0))),0)</f>
        <v/>
      </c>
      <c r="R2829">
        <f>IF(AND(Inputs!$B$39&lt;&gt;"pvp",Inputs!$B$44&gt;0),IF(MAX(0,Inputs!$B$44-B2853)&lt;=0,0,(INT(MAX(0,Inputs!$B$44-B2853)/IF(Inputs!$B$39="pvp",15,MAX(0.1,Skills!D12-IF(Skills!E12=TRUE,1.0,0))))+1)),0)</f>
        <v/>
      </c>
      <c r="S2829">
        <f>IFERROR(O2829/N2829,0)</f>
        <v/>
      </c>
      <c r="T2829">
        <f>IF(C2829,(H2829*N2829*IF(AND(Inputs!$B$39&lt;&gt;"pvp",Inputs!$B$44&gt;0),((Skills!G12*((R2829-1)*IF(Skills!H12&gt;0,Skills!I12/Skills!H12,1)+IF(Skills!H12&gt;0,MIN(Skills!I12,MAX(0,MAX(0,Inputs!$B$44-B2853)-((R2829-1)*IF(Inputs!$B$39="pvp",15,MAX(0.1,Skills!D12-IF(Skills!E12=TRUE,1.0,0))))))/Skills!H12,1)))/Inputs!$B$44),G2829*Q2829))*IF(Inputs!$B$39="pvp",1,1+(Inputs!$B$21+0+Skills!P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Skills!E12=TRUE,1.0,0))))))/Skills!H12,1)))/Inputs!$B$44),G2829*Q2829))*IF(Inputs!$B$39="pvp",1,(1+(Inputs!$B$22+Skills!Q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IFERROR(1/IF(Inputs!$B$39="pvp",15,MAX(0.1,Skills!D13-IF(Skills!E13=TRUE,1.0,0))),0)</f>
        <v/>
      </c>
      <c r="R2830">
        <f>IF(AND(Inputs!$B$39&lt;&gt;"pvp",Inputs!$B$44&gt;0),IF(Inputs!$B$44&lt;=0,0,(INT(Inputs!$B$44/IF(Inputs!$B$39="pvp",15,MAX(0.1,Skills!D13-IF(Skills!E13=TRUE,1.0,0))))+1)),0)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IFERROR(1/IF(Inputs!$B$39="pvp",15,MAX(0.1,Skills!D14-IF(Skills!E14=TRUE,1.0,0))),0)</f>
        <v/>
      </c>
      <c r="R2831">
        <f>IF(AND(Inputs!$B$39&lt;&gt;"pvp",Inputs!$B$44&gt;0),IF(Inputs!$B$44&lt;=0,0,(INT(Inputs!$B$44/IF(Inputs!$B$39="pvp",15,MAX(0.1,Skills!D14-IF(Skills!E14=TRUE,1.0,0))))+1)),0)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IFERROR(1/IF(Inputs!$B$39="pvp",15,MAX(0.1,Skills!D15-IF(Skills!E15=TRUE,1.0,0))),0)</f>
        <v/>
      </c>
      <c r="R2832">
        <f>IF(AND(Inputs!$B$39&lt;&gt;"pvp",Inputs!$B$44&gt;0),IF(Inputs!$B$44&lt;=0,0,(INT(Inputs!$B$44/IF(Inputs!$B$39="pvp",15,MAX(0.1,Skills!D15-IF(Skills!E15=TRUE,1.0,0))))+1)),0)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IFERROR(1/IF(Inputs!$B$39="pvp",15,MAX(0.1,Skills!D16-IF(Skills!E16=TRUE,1.0,0))),0)</f>
        <v/>
      </c>
      <c r="R2833">
        <f>IF(AND(Inputs!$B$39&lt;&gt;"pvp",Inputs!$B$44&gt;0),IF(Inputs!$B$44&lt;=0,0,(INT(Inputs!$B$44/IF(Inputs!$B$39="pvp",15,MAX(0.1,Skills!D16-IF(Skills!E16=TRUE,1.0,0))))+1)),0)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IFERROR(1/IF(Inputs!$B$39="pvp",15,MAX(0.1,Skills!D17-IF(Skills!E17=TRUE,1.0,0))),0)</f>
        <v/>
      </c>
      <c r="R2834">
        <f>IF(AND(Inputs!$B$39&lt;&gt;"pvp",Inputs!$B$44&gt;0),IF(Inputs!$B$44&lt;=0,0,(INT(Inputs!$B$44/IF(Inputs!$B$39="pvp",15,MAX(0.1,Skills!D17-IF(Skills!E17=TRUE,1.0,0))))+1)),0)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IFERROR(1/IF(Inputs!$B$39="pvp",15,MAX(0.1,Skills!D18-IF(Skills!E18=TRUE,1.0,0))),0)</f>
        <v/>
      </c>
      <c r="R2835">
        <f>IF(AND(Inputs!$B$39&lt;&gt;"pvp",Inputs!$B$44&gt;0),IF(Inputs!$B$44&lt;=0,0,(INT(Inputs!$B$44/IF(Inputs!$B$39="pvp",15,MAX(0.1,Skills!D18-IF(Skills!E18=TRUE,1.0,0))))+1)),0)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IFERROR(1/IF(Inputs!$B$39="pvp",15,MAX(0.1,Skills!D19-IF(Skills!E19=TRUE,1.0,0))),0)</f>
        <v/>
      </c>
      <c r="R2836">
        <f>IF(AND(Inputs!$B$39&lt;&gt;"pvp",Inputs!$B$44&gt;0),IF(Inputs!$B$44&lt;=0,0,(INT(Inputs!$B$44/IF(Inputs!$B$39="pvp",15,MAX(0.1,Skills!D19-IF(Skills!E19=TRUE,1.0,0))))+1)),0)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IFERROR(1/IF(Inputs!$B$39="pvp",15,MAX(0.1,Skills!D20-IF(Skills!E20=TRUE,1.0,0))),0)</f>
        <v/>
      </c>
      <c r="R2837">
        <f>IF(AND(Inputs!$B$39&lt;&gt;"pvp",Inputs!$B$44&gt;0),IF(Inputs!$B$44&lt;=0,0,(INT(Inputs!$B$44/IF(Inputs!$B$39="pvp",15,MAX(0.1,Skills!D20-IF(Skills!E20=TRUE,1.0,0))))+1)),0)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Skills!T18*(1+Inputs!$B$35/100))+MIN((Skills!T18*(1+Inputs!$B$35/100)),MAX(0,Inputs!$B$44-((R2835-1)*Skills!D18))))/Inputs!$B$44),IF(Inputs!$B$39="pvp",MIN((Skills!T18*(1+Inputs!$B$35/100)),15)/15,(Skills!T18*(1+Inputs!$B$35/100))/Skills!D18)))</f>
        <v/>
      </c>
    </row>
    <row r="2847">
      <c r="A2847" t="inlineStr">
        <is>
          <t>Attack Speed Buff Bonus %</t>
        </is>
      </c>
      <c r="B2847">
        <f>((C2837=TRUE)*F2837*IF(AND(Inputs!$B$39&lt;&gt;"pvp",Inputs!$B$44&gt;0),(((R2837-1)*(Skills!T20*(1+Inputs!$B$35/100))+MIN((Skills!T20*(1+Inputs!$B$35/100)),MAX(0,Inputs!$B$44-((R2837-1)*Skills!D20))))/Inputs!$B$44),IF(Inputs!$B$39="pvp",MIN((Skills!T20*(1+Inputs!$B$35/100)),15)/15,(Skills!T20*(1+Inputs!$B$35/100))/Skills!D20)))</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Skills!T19*(1+Inputs!$B$35/100))+MIN((Skills!T19*(1+Inputs!$B$35/100)),MAX(0,Inputs!$B$44-((R2836-1)*Skills!D19))))/Inputs!$B$44),IF(Inputs!$B$39="pvp",MIN((Skills!T19*(1+Inputs!$B$35/100)),15)/15,(Skills!T19*(1+Inputs!$B$35/100))/Skills!D19)))</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IFERROR(1/IF(Inputs!$B$39="pvp",15,MAX(0.1,Skills!D5-IF(Skills!E5=TRUE,1.5,0))),0)</f>
        <v/>
      </c>
      <c r="R2864">
        <f>IF(AND(Inputs!$B$39&lt;&gt;"pvp",Inputs!$B$44&gt;0),IF(MAX(0,Inputs!$B$44-B2895)&lt;=0,0,(INT(MAX(0,Inputs!$B$44-B2895)/IF(Inputs!$B$39="pvp",15,MAX(0.1,Skills!D5-IF(Skills!E5=TRUE,1.5,0))))+1)),0)</f>
        <v/>
      </c>
      <c r="S2864">
        <f>IFERROR(O2864/N2864,0)</f>
        <v/>
      </c>
      <c r="T2864">
        <f>IF(C2864,(H2864*N2864*IF(AND(Inputs!$B$39&lt;&gt;"pvp",Inputs!$B$44&gt;0),((Skills!G5*((R2864-1)*IF(Skills!H5&gt;0,Skills!I5/Skills!H5,1)+IF(Skills!H5&gt;0,MIN(Skills!I5,MAX(0,MAX(0,Inputs!$B$44-B2895)-((R2864-1)*IF(Inputs!$B$39="pvp",15,MAX(0.1,Skills!D5-IF(Skills!E5=TRUE,1.5,0))))))/Skills!H5,1)))/Inputs!$B$44),G2864*Q2864))*IF(Inputs!$B$39="pvp",1,1+(Inputs!$B$21+0+Skills!P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Skills!E5=TRUE,1.5,0))))))/Skills!H5,1)))/Inputs!$B$44),G2864*Q2864))*IF(Inputs!$B$39="pvp",1,(1+(Inputs!$B$22+Skills!Q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IFERROR(1/IF(Inputs!$B$39="pvp",15,MAX(0.1,Skills!D6-IF(Skills!E6=TRUE,1.5,0))),0)</f>
        <v/>
      </c>
      <c r="R2865">
        <f>IF(AND(Inputs!$B$39&lt;&gt;"pvp",Inputs!$B$44&gt;0),IF(MAX(0,Inputs!$B$44-B2895)&lt;=0,0,(INT(MAX(0,Inputs!$B$44-B2895)/IF(Inputs!$B$39="pvp",15,MAX(0.1,Skills!D6-IF(Skills!E6=TRUE,1.5,0))))+1)),0)</f>
        <v/>
      </c>
      <c r="S2865">
        <f>IFERROR(O2865/N2865,0)</f>
        <v/>
      </c>
      <c r="T2865">
        <f>IF(C2865,(H2865*N2865*IF(AND(Inputs!$B$39&lt;&gt;"pvp",Inputs!$B$44&gt;0),((Skills!G6*((R2865-1)*IF(Skills!H6&gt;0,Skills!I6/Skills!H6,1)+IF(Skills!H6&gt;0,MIN(Skills!I6,MAX(0,MAX(0,Inputs!$B$44-B2895)-((R2865-1)*IF(Inputs!$B$39="pvp",15,MAX(0.1,Skills!D6-IF(Skills!E6=TRUE,1.5,0))))))/Skills!H6,1)))/Inputs!$B$44),G2865*Q2865))*IF(Inputs!$B$39="pvp",1,1+(Inputs!$B$21+0+Skills!P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Skills!E6=TRUE,1.5,0))))))/Skills!H6,1)))/Inputs!$B$44),G2865*Q2865))*IF(Inputs!$B$39="pvp",1,(1+(Inputs!$B$22+Skills!Q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IFERROR(1/IF(Inputs!$B$39="pvp",15,MAX(0.1,Skills!D7-IF(Skills!E7=TRUE,1.5,0))),0)</f>
        <v/>
      </c>
      <c r="R2866">
        <f>IF(AND(Inputs!$B$39&lt;&gt;"pvp",Inputs!$B$44&gt;0),IF(MAX(0,Inputs!$B$44-B2895)&lt;=0,0,(INT(MAX(0,Inputs!$B$44-B2895)/IF(Inputs!$B$39="pvp",15,MAX(0.1,Skills!D7-IF(Skills!E7=TRUE,1.5,0))))+1)),0)</f>
        <v/>
      </c>
      <c r="S2866">
        <f>IFERROR(O2866/N2866,0)</f>
        <v/>
      </c>
      <c r="T2866">
        <f>IF(C2866,(H2866*N2866*IF(AND(Inputs!$B$39&lt;&gt;"pvp",Inputs!$B$44&gt;0),((Skills!G7*((R2866-1)*IF(Skills!H7&gt;0,Skills!I7/Skills!H7,1)+IF(Skills!H7&gt;0,MIN(Skills!I7,MAX(0,MAX(0,Inputs!$B$44-B2895)-((R2866-1)*IF(Inputs!$B$39="pvp",15,MAX(0.1,Skills!D7-IF(Skills!E7=TRUE,1.5,0))))))/Skills!H7,1)))/Inputs!$B$44),G2866*Q2866))*IF(Inputs!$B$39="pvp",1,1+(Inputs!$B$21+0+Skills!P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Skills!E7=TRUE,1.5,0))))))/Skills!H7,1)))/Inputs!$B$44),G2866*Q2866))*IF(Inputs!$B$39="pvp",1,(1+(Inputs!$B$22+Skills!Q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IFERROR(1/IF(Inputs!$B$39="pvp",15,MAX(0.1,Skills!D9-IF(Skills!E9=TRUE,1.5,0))),0)</f>
        <v/>
      </c>
      <c r="R2868">
        <f>IF(AND(Inputs!$B$39&lt;&gt;"pvp",Inputs!$B$44&gt;0),IF(MAX(0,Inputs!$B$44-B2895)&lt;=0,0,(INT(MAX(0,Inputs!$B$44-B2895)/IF(Inputs!$B$39="pvp",15,MAX(0.1,Skills!D9-IF(Skills!E9=TRUE,1.5,0))))+1)),0)</f>
        <v/>
      </c>
      <c r="S2868">
        <f>IFERROR(O2868/N2868,0)</f>
        <v/>
      </c>
      <c r="T2868">
        <f>IF(C2868,(H2868*N2868*IF(AND(Inputs!$B$39&lt;&gt;"pvp",Inputs!$B$44&gt;0),((Skills!G9*((R2868-1)*IF(Skills!H9&gt;0,Skills!I9/Skills!H9,1)+IF(Skills!H9&gt;0,MIN(Skills!I9,MAX(0,MAX(0,Inputs!$B$44-B2895)-((R2868-1)*IF(Inputs!$B$39="pvp",15,MAX(0.1,Skills!D9-IF(Skills!E9=TRUE,1.5,0))))))/Skills!H9,1)))/Inputs!$B$44),G2868*Q2868))*IF(Inputs!$B$39="pvp",1,1+(Inputs!$B$21+0+Skills!P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Skills!E9=TRUE,1.5,0))))))/Skills!H9,1)))/Inputs!$B$44),G2868*Q2868))*IF(Inputs!$B$39="pvp",1,(1+(Inputs!$B$22+Skills!Q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IFERROR(1/IF(Inputs!$B$39="pvp",15,MAX(0.1,Skills!D10-IF(Skills!E10=TRUE,1.5,0))),0)</f>
        <v/>
      </c>
      <c r="R2869">
        <f>IF(AND(Inputs!$B$39&lt;&gt;"pvp",Inputs!$B$44&gt;0),IF(MAX(0,Inputs!$B$44-B2895)&lt;=0,0,(INT(MAX(0,Inputs!$B$44-B2895)/IF(Inputs!$B$39="pvp",15,MAX(0.1,Skills!D10-IF(Skills!E10=TRUE,1.5,0))))+1)),0)</f>
        <v/>
      </c>
      <c r="S2869">
        <f>IFERROR(O2869/N2869,0)</f>
        <v/>
      </c>
      <c r="T2869">
        <f>IF(C2869,(H2869*N2869*IF(AND(Inputs!$B$39&lt;&gt;"pvp",Inputs!$B$44&gt;0),((Skills!G10*((R2869-1)*IF(Skills!H10&gt;0,Skills!I10/Skills!H10,1)+IF(Skills!H10&gt;0,MIN(Skills!I10,MAX(0,MAX(0,Inputs!$B$44-B2895)-((R2869-1)*IF(Inputs!$B$39="pvp",15,MAX(0.1,Skills!D10-IF(Skills!E10=TRUE,1.5,0))))))/Skills!H10,1)))/Inputs!$B$44),G2869*Q2869))*IF(Inputs!$B$39="pvp",1,1+(Inputs!$B$21+0+Skills!P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Skills!E10=TRUE,1.5,0))))))/Skills!H10,1)))/Inputs!$B$44),G2869*Q2869))*IF(Inputs!$B$39="pvp",1,(1+(Inputs!$B$22+Skills!Q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IFERROR(1/IF(Inputs!$B$39="pvp",15,MAX(0.1,Skills!D12-IF(Skills!E12=TRUE,1.5,0))),0)</f>
        <v/>
      </c>
      <c r="R2871">
        <f>IF(AND(Inputs!$B$39&lt;&gt;"pvp",Inputs!$B$44&gt;0),IF(MAX(0,Inputs!$B$44-B2895)&lt;=0,0,(INT(MAX(0,Inputs!$B$44-B2895)/IF(Inputs!$B$39="pvp",15,MAX(0.1,Skills!D12-IF(Skills!E12=TRUE,1.5,0))))+1)),0)</f>
        <v/>
      </c>
      <c r="S2871">
        <f>IFERROR(O2871/N2871,0)</f>
        <v/>
      </c>
      <c r="T2871">
        <f>IF(C2871,(H2871*N2871*IF(AND(Inputs!$B$39&lt;&gt;"pvp",Inputs!$B$44&gt;0),((Skills!G12*((R2871-1)*IF(Skills!H12&gt;0,Skills!I12/Skills!H12,1)+IF(Skills!H12&gt;0,MIN(Skills!I12,MAX(0,MAX(0,Inputs!$B$44-B2895)-((R2871-1)*IF(Inputs!$B$39="pvp",15,MAX(0.1,Skills!D12-IF(Skills!E12=TRUE,1.5,0))))))/Skills!H12,1)))/Inputs!$B$44),G2871*Q2871))*IF(Inputs!$B$39="pvp",1,1+(Inputs!$B$21+0+Skills!P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Skills!E12=TRUE,1.5,0))))))/Skills!H12,1)))/Inputs!$B$44),G2871*Q2871))*IF(Inputs!$B$39="pvp",1,(1+(Inputs!$B$22+Skills!Q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IFERROR(1/IF(Inputs!$B$39="pvp",15,MAX(0.1,Skills!D13-IF(Skills!E13=TRUE,1.5,0))),0)</f>
        <v/>
      </c>
      <c r="R2872">
        <f>IF(AND(Inputs!$B$39&lt;&gt;"pvp",Inputs!$B$44&gt;0),IF(Inputs!$B$44&lt;=0,0,(INT(Inputs!$B$44/IF(Inputs!$B$39="pvp",15,MAX(0.1,Skills!D13-IF(Skills!E13=TRUE,1.5,0))))+1)),0)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IFERROR(1/IF(Inputs!$B$39="pvp",15,MAX(0.1,Skills!D14-IF(Skills!E14=TRUE,1.5,0))),0)</f>
        <v/>
      </c>
      <c r="R2873">
        <f>IF(AND(Inputs!$B$39&lt;&gt;"pvp",Inputs!$B$44&gt;0),IF(Inputs!$B$44&lt;=0,0,(INT(Inputs!$B$44/IF(Inputs!$B$39="pvp",15,MAX(0.1,Skills!D14-IF(Skills!E14=TRUE,1.5,0))))+1)),0)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IFERROR(1/IF(Inputs!$B$39="pvp",15,MAX(0.1,Skills!D15-IF(Skills!E15=TRUE,1.5,0))),0)</f>
        <v/>
      </c>
      <c r="R2874">
        <f>IF(AND(Inputs!$B$39&lt;&gt;"pvp",Inputs!$B$44&gt;0),IF(Inputs!$B$44&lt;=0,0,(INT(Inputs!$B$44/IF(Inputs!$B$39="pvp",15,MAX(0.1,Skills!D15-IF(Skills!E15=TRUE,1.5,0))))+1)),0)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IFERROR(1/IF(Inputs!$B$39="pvp",15,MAX(0.1,Skills!D16-IF(Skills!E16=TRUE,1.5,0))),0)</f>
        <v/>
      </c>
      <c r="R2875">
        <f>IF(AND(Inputs!$B$39&lt;&gt;"pvp",Inputs!$B$44&gt;0),IF(Inputs!$B$44&lt;=0,0,(INT(Inputs!$B$44/IF(Inputs!$B$39="pvp",15,MAX(0.1,Skills!D16-IF(Skills!E16=TRUE,1.5,0))))+1)),0)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IFERROR(1/IF(Inputs!$B$39="pvp",15,MAX(0.1,Skills!D17-IF(Skills!E17=TRUE,1.5,0))),0)</f>
        <v/>
      </c>
      <c r="R2876">
        <f>IF(AND(Inputs!$B$39&lt;&gt;"pvp",Inputs!$B$44&gt;0),IF(Inputs!$B$44&lt;=0,0,(INT(Inputs!$B$44/IF(Inputs!$B$39="pvp",15,MAX(0.1,Skills!D17-IF(Skills!E17=TRUE,1.5,0))))+1)),0)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IFERROR(1/IF(Inputs!$B$39="pvp",15,MAX(0.1,Skills!D18-IF(Skills!E18=TRUE,1.5,0))),0)</f>
        <v/>
      </c>
      <c r="R2877">
        <f>IF(AND(Inputs!$B$39&lt;&gt;"pvp",Inputs!$B$44&gt;0),IF(Inputs!$B$44&lt;=0,0,(INT(Inputs!$B$44/IF(Inputs!$B$39="pvp",15,MAX(0.1,Skills!D18-IF(Skills!E18=TRUE,1.5,0))))+1)),0)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IFERROR(1/IF(Inputs!$B$39="pvp",15,MAX(0.1,Skills!D19-IF(Skills!E19=TRUE,1.5,0))),0)</f>
        <v/>
      </c>
      <c r="R2878">
        <f>IF(AND(Inputs!$B$39&lt;&gt;"pvp",Inputs!$B$44&gt;0),IF(Inputs!$B$44&lt;=0,0,(INT(Inputs!$B$44/IF(Inputs!$B$39="pvp",15,MAX(0.1,Skills!D19-IF(Skills!E19=TRUE,1.5,0))))+1)),0)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IFERROR(1/IF(Inputs!$B$39="pvp",15,MAX(0.1,Skills!D20-IF(Skills!E20=TRUE,1.5,0))),0)</f>
        <v/>
      </c>
      <c r="R2879">
        <f>IF(AND(Inputs!$B$39&lt;&gt;"pvp",Inputs!$B$44&gt;0),IF(Inputs!$B$44&lt;=0,0,(INT(Inputs!$B$44/IF(Inputs!$B$39="pvp",15,MAX(0.1,Skills!D20-IF(Skills!E20=TRUE,1.5,0))))+1)),0)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Skills!T18*(1+Inputs!$B$35/100))+MIN((Skills!T18*(1+Inputs!$B$35/100)),MAX(0,Inputs!$B$44-((R2877-1)*Skills!D18))))/Inputs!$B$44),IF(Inputs!$B$39="pvp",MIN((Skills!T18*(1+Inputs!$B$35/100)),15)/15,(Skills!T18*(1+Inputs!$B$35/100))/Skills!D18)))</f>
        <v/>
      </c>
    </row>
    <row r="2889">
      <c r="A2889" t="inlineStr">
        <is>
          <t>Attack Speed Buff Bonus %</t>
        </is>
      </c>
      <c r="B2889">
        <f>((C2879=TRUE)*F2879*IF(AND(Inputs!$B$39&lt;&gt;"pvp",Inputs!$B$44&gt;0),(((R2879-1)*(Skills!T20*(1+Inputs!$B$35/100))+MIN((Skills!T20*(1+Inputs!$B$35/100)),MAX(0,Inputs!$B$44-((R2879-1)*Skills!D20))))/Inputs!$B$44),IF(Inputs!$B$39="pvp",MIN((Skills!T20*(1+Inputs!$B$35/100)),15)/15,(Skills!T20*(1+Inputs!$B$35/100))/Skills!D20)))</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Skills!T19*(1+Inputs!$B$35/100))+MIN((Skills!T19*(1+Inputs!$B$35/100)),MAX(0,Inputs!$B$44-((R2878-1)*Skills!D19))))/Inputs!$B$44),IF(Inputs!$B$39="pvp",MIN((Skills!T19*(1+Inputs!$B$35/100)),15)/15,(Skills!T19*(1+Inputs!$B$35/100))/Skills!D19)))</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IFERROR(1/IF(Inputs!$B$39="pvp",15,MAX(0.1,Skills!D5-IF(Skills!E5=TRUE,2.0,0))),0)</f>
        <v/>
      </c>
      <c r="R2906">
        <f>IF(AND(Inputs!$B$39&lt;&gt;"pvp",Inputs!$B$44&gt;0),IF(MAX(0,Inputs!$B$44-B2937)&lt;=0,0,(INT(MAX(0,Inputs!$B$44-B2937)/IF(Inputs!$B$39="pvp",15,MAX(0.1,Skills!D5-IF(Skills!E5=TRUE,2.0,0))))+1)),0)</f>
        <v/>
      </c>
      <c r="S2906">
        <f>IFERROR(O2906/N2906,0)</f>
        <v/>
      </c>
      <c r="T2906">
        <f>IF(C2906,(H2906*N2906*IF(AND(Inputs!$B$39&lt;&gt;"pvp",Inputs!$B$44&gt;0),((Skills!G5*((R2906-1)*IF(Skills!H5&gt;0,Skills!I5/Skills!H5,1)+IF(Skills!H5&gt;0,MIN(Skills!I5,MAX(0,MAX(0,Inputs!$B$44-B2937)-((R2906-1)*IF(Inputs!$B$39="pvp",15,MAX(0.1,Skills!D5-IF(Skills!E5=TRUE,2.0,0))))))/Skills!H5,1)))/Inputs!$B$44),G2906*Q2906))*IF(Inputs!$B$39="pvp",1,1+(Inputs!$B$21+0+Skills!P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Skills!E5=TRUE,2.0,0))))))/Skills!H5,1)))/Inputs!$B$44),G2906*Q2906))*IF(Inputs!$B$39="pvp",1,(1+(Inputs!$B$22+Skills!Q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IFERROR(1/IF(Inputs!$B$39="pvp",15,MAX(0.1,Skills!D6-IF(Skills!E6=TRUE,2.0,0))),0)</f>
        <v/>
      </c>
      <c r="R2907">
        <f>IF(AND(Inputs!$B$39&lt;&gt;"pvp",Inputs!$B$44&gt;0),IF(MAX(0,Inputs!$B$44-B2937)&lt;=0,0,(INT(MAX(0,Inputs!$B$44-B2937)/IF(Inputs!$B$39="pvp",15,MAX(0.1,Skills!D6-IF(Skills!E6=TRUE,2.0,0))))+1)),0)</f>
        <v/>
      </c>
      <c r="S2907">
        <f>IFERROR(O2907/N2907,0)</f>
        <v/>
      </c>
      <c r="T2907">
        <f>IF(C2907,(H2907*N2907*IF(AND(Inputs!$B$39&lt;&gt;"pvp",Inputs!$B$44&gt;0),((Skills!G6*((R2907-1)*IF(Skills!H6&gt;0,Skills!I6/Skills!H6,1)+IF(Skills!H6&gt;0,MIN(Skills!I6,MAX(0,MAX(0,Inputs!$B$44-B2937)-((R2907-1)*IF(Inputs!$B$39="pvp",15,MAX(0.1,Skills!D6-IF(Skills!E6=TRUE,2.0,0))))))/Skills!H6,1)))/Inputs!$B$44),G2907*Q2907))*IF(Inputs!$B$39="pvp",1,1+(Inputs!$B$21+0+Skills!P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Skills!E6=TRUE,2.0,0))))))/Skills!H6,1)))/Inputs!$B$44),G2907*Q2907))*IF(Inputs!$B$39="pvp",1,(1+(Inputs!$B$22+Skills!Q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IFERROR(1/IF(Inputs!$B$39="pvp",15,MAX(0.1,Skills!D7-IF(Skills!E7=TRUE,2.0,0))),0)</f>
        <v/>
      </c>
      <c r="R2908">
        <f>IF(AND(Inputs!$B$39&lt;&gt;"pvp",Inputs!$B$44&gt;0),IF(MAX(0,Inputs!$B$44-B2937)&lt;=0,0,(INT(MAX(0,Inputs!$B$44-B2937)/IF(Inputs!$B$39="pvp",15,MAX(0.1,Skills!D7-IF(Skills!E7=TRUE,2.0,0))))+1)),0)</f>
        <v/>
      </c>
      <c r="S2908">
        <f>IFERROR(O2908/N2908,0)</f>
        <v/>
      </c>
      <c r="T2908">
        <f>IF(C2908,(H2908*N2908*IF(AND(Inputs!$B$39&lt;&gt;"pvp",Inputs!$B$44&gt;0),((Skills!G7*((R2908-1)*IF(Skills!H7&gt;0,Skills!I7/Skills!H7,1)+IF(Skills!H7&gt;0,MIN(Skills!I7,MAX(0,MAX(0,Inputs!$B$44-B2937)-((R2908-1)*IF(Inputs!$B$39="pvp",15,MAX(0.1,Skills!D7-IF(Skills!E7=TRUE,2.0,0))))))/Skills!H7,1)))/Inputs!$B$44),G2908*Q2908))*IF(Inputs!$B$39="pvp",1,1+(Inputs!$B$21+0+Skills!P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Skills!E7=TRUE,2.0,0))))))/Skills!H7,1)))/Inputs!$B$44),G2908*Q2908))*IF(Inputs!$B$39="pvp",1,(1+(Inputs!$B$22+Skills!Q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IFERROR(1/IF(Inputs!$B$39="pvp",15,MAX(0.1,Skills!D9-IF(Skills!E9=TRUE,2.0,0))),0)</f>
        <v/>
      </c>
      <c r="R2910">
        <f>IF(AND(Inputs!$B$39&lt;&gt;"pvp",Inputs!$B$44&gt;0),IF(MAX(0,Inputs!$B$44-B2937)&lt;=0,0,(INT(MAX(0,Inputs!$B$44-B2937)/IF(Inputs!$B$39="pvp",15,MAX(0.1,Skills!D9-IF(Skills!E9=TRUE,2.0,0))))+1)),0)</f>
        <v/>
      </c>
      <c r="S2910">
        <f>IFERROR(O2910/N2910,0)</f>
        <v/>
      </c>
      <c r="T2910">
        <f>IF(C2910,(H2910*N2910*IF(AND(Inputs!$B$39&lt;&gt;"pvp",Inputs!$B$44&gt;0),((Skills!G9*((R2910-1)*IF(Skills!H9&gt;0,Skills!I9/Skills!H9,1)+IF(Skills!H9&gt;0,MIN(Skills!I9,MAX(0,MAX(0,Inputs!$B$44-B2937)-((R2910-1)*IF(Inputs!$B$39="pvp",15,MAX(0.1,Skills!D9-IF(Skills!E9=TRUE,2.0,0))))))/Skills!H9,1)))/Inputs!$B$44),G2910*Q2910))*IF(Inputs!$B$39="pvp",1,1+(Inputs!$B$21+0+Skills!P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Skills!E9=TRUE,2.0,0))))))/Skills!H9,1)))/Inputs!$B$44),G2910*Q2910))*IF(Inputs!$B$39="pvp",1,(1+(Inputs!$B$22+Skills!Q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IFERROR(1/IF(Inputs!$B$39="pvp",15,MAX(0.1,Skills!D10-IF(Skills!E10=TRUE,2.0,0))),0)</f>
        <v/>
      </c>
      <c r="R2911">
        <f>IF(AND(Inputs!$B$39&lt;&gt;"pvp",Inputs!$B$44&gt;0),IF(MAX(0,Inputs!$B$44-B2937)&lt;=0,0,(INT(MAX(0,Inputs!$B$44-B2937)/IF(Inputs!$B$39="pvp",15,MAX(0.1,Skills!D10-IF(Skills!E10=TRUE,2.0,0))))+1)),0)</f>
        <v/>
      </c>
      <c r="S2911">
        <f>IFERROR(O2911/N2911,0)</f>
        <v/>
      </c>
      <c r="T2911">
        <f>IF(C2911,(H2911*N2911*IF(AND(Inputs!$B$39&lt;&gt;"pvp",Inputs!$B$44&gt;0),((Skills!G10*((R2911-1)*IF(Skills!H10&gt;0,Skills!I10/Skills!H10,1)+IF(Skills!H10&gt;0,MIN(Skills!I10,MAX(0,MAX(0,Inputs!$B$44-B2937)-((R2911-1)*IF(Inputs!$B$39="pvp",15,MAX(0.1,Skills!D10-IF(Skills!E10=TRUE,2.0,0))))))/Skills!H10,1)))/Inputs!$B$44),G2911*Q2911))*IF(Inputs!$B$39="pvp",1,1+(Inputs!$B$21+0+Skills!P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Skills!E10=TRUE,2.0,0))))))/Skills!H10,1)))/Inputs!$B$44),G2911*Q2911))*IF(Inputs!$B$39="pvp",1,(1+(Inputs!$B$22+Skills!Q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IFERROR(1/IF(Inputs!$B$39="pvp",15,MAX(0.1,Skills!D12-IF(Skills!E12=TRUE,2.0,0))),0)</f>
        <v/>
      </c>
      <c r="R2913">
        <f>IF(AND(Inputs!$B$39&lt;&gt;"pvp",Inputs!$B$44&gt;0),IF(MAX(0,Inputs!$B$44-B2937)&lt;=0,0,(INT(MAX(0,Inputs!$B$44-B2937)/IF(Inputs!$B$39="pvp",15,MAX(0.1,Skills!D12-IF(Skills!E12=TRUE,2.0,0))))+1)),0)</f>
        <v/>
      </c>
      <c r="S2913">
        <f>IFERROR(O2913/N2913,0)</f>
        <v/>
      </c>
      <c r="T2913">
        <f>IF(C2913,(H2913*N2913*IF(AND(Inputs!$B$39&lt;&gt;"pvp",Inputs!$B$44&gt;0),((Skills!G12*((R2913-1)*IF(Skills!H12&gt;0,Skills!I12/Skills!H12,1)+IF(Skills!H12&gt;0,MIN(Skills!I12,MAX(0,MAX(0,Inputs!$B$44-B2937)-((R2913-1)*IF(Inputs!$B$39="pvp",15,MAX(0.1,Skills!D12-IF(Skills!E12=TRUE,2.0,0))))))/Skills!H12,1)))/Inputs!$B$44),G2913*Q2913))*IF(Inputs!$B$39="pvp",1,1+(Inputs!$B$21+0+Skills!P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Skills!E12=TRUE,2.0,0))))))/Skills!H12,1)))/Inputs!$B$44),G2913*Q2913))*IF(Inputs!$B$39="pvp",1,(1+(Inputs!$B$22+Skills!Q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IFERROR(1/IF(Inputs!$B$39="pvp",15,MAX(0.1,Skills!D13-IF(Skills!E13=TRUE,2.0,0))),0)</f>
        <v/>
      </c>
      <c r="R2914">
        <f>IF(AND(Inputs!$B$39&lt;&gt;"pvp",Inputs!$B$44&gt;0),IF(Inputs!$B$44&lt;=0,0,(INT(Inputs!$B$44/IF(Inputs!$B$39="pvp",15,MAX(0.1,Skills!D13-IF(Skills!E13=TRUE,2.0,0))))+1)),0)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IFERROR(1/IF(Inputs!$B$39="pvp",15,MAX(0.1,Skills!D14-IF(Skills!E14=TRUE,2.0,0))),0)</f>
        <v/>
      </c>
      <c r="R2915">
        <f>IF(AND(Inputs!$B$39&lt;&gt;"pvp",Inputs!$B$44&gt;0),IF(Inputs!$B$44&lt;=0,0,(INT(Inputs!$B$44/IF(Inputs!$B$39="pvp",15,MAX(0.1,Skills!D14-IF(Skills!E14=TRUE,2.0,0))))+1)),0)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IFERROR(1/IF(Inputs!$B$39="pvp",15,MAX(0.1,Skills!D15-IF(Skills!E15=TRUE,2.0,0))),0)</f>
        <v/>
      </c>
      <c r="R2916">
        <f>IF(AND(Inputs!$B$39&lt;&gt;"pvp",Inputs!$B$44&gt;0),IF(Inputs!$B$44&lt;=0,0,(INT(Inputs!$B$44/IF(Inputs!$B$39="pvp",15,MAX(0.1,Skills!D15-IF(Skills!E15=TRUE,2.0,0))))+1)),0)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IFERROR(1/IF(Inputs!$B$39="pvp",15,MAX(0.1,Skills!D16-IF(Skills!E16=TRUE,2.0,0))),0)</f>
        <v/>
      </c>
      <c r="R2917">
        <f>IF(AND(Inputs!$B$39&lt;&gt;"pvp",Inputs!$B$44&gt;0),IF(Inputs!$B$44&lt;=0,0,(INT(Inputs!$B$44/IF(Inputs!$B$39="pvp",15,MAX(0.1,Skills!D16-IF(Skills!E16=TRUE,2.0,0))))+1)),0)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IFERROR(1/IF(Inputs!$B$39="pvp",15,MAX(0.1,Skills!D17-IF(Skills!E17=TRUE,2.0,0))),0)</f>
        <v/>
      </c>
      <c r="R2918">
        <f>IF(AND(Inputs!$B$39&lt;&gt;"pvp",Inputs!$B$44&gt;0),IF(Inputs!$B$44&lt;=0,0,(INT(Inputs!$B$44/IF(Inputs!$B$39="pvp",15,MAX(0.1,Skills!D17-IF(Skills!E17=TRUE,2.0,0))))+1)),0)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IFERROR(1/IF(Inputs!$B$39="pvp",15,MAX(0.1,Skills!D18-IF(Skills!E18=TRUE,2.0,0))),0)</f>
        <v/>
      </c>
      <c r="R2919">
        <f>IF(AND(Inputs!$B$39&lt;&gt;"pvp",Inputs!$B$44&gt;0),IF(Inputs!$B$44&lt;=0,0,(INT(Inputs!$B$44/IF(Inputs!$B$39="pvp",15,MAX(0.1,Skills!D18-IF(Skills!E18=TRUE,2.0,0))))+1)),0)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IFERROR(1/IF(Inputs!$B$39="pvp",15,MAX(0.1,Skills!D19-IF(Skills!E19=TRUE,2.0,0))),0)</f>
        <v/>
      </c>
      <c r="R2920">
        <f>IF(AND(Inputs!$B$39&lt;&gt;"pvp",Inputs!$B$44&gt;0),IF(Inputs!$B$44&lt;=0,0,(INT(Inputs!$B$44/IF(Inputs!$B$39="pvp",15,MAX(0.1,Skills!D19-IF(Skills!E19=TRUE,2.0,0))))+1)),0)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IFERROR(1/IF(Inputs!$B$39="pvp",15,MAX(0.1,Skills!D20-IF(Skills!E20=TRUE,2.0,0))),0)</f>
        <v/>
      </c>
      <c r="R2921">
        <f>IF(AND(Inputs!$B$39&lt;&gt;"pvp",Inputs!$B$44&gt;0),IF(Inputs!$B$44&lt;=0,0,(INT(Inputs!$B$44/IF(Inputs!$B$39="pvp",15,MAX(0.1,Skills!D20-IF(Skills!E20=TRUE,2.0,0))))+1)),0)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Skills!T18*(1+Inputs!$B$35/100))+MIN((Skills!T18*(1+Inputs!$B$35/100)),MAX(0,Inputs!$B$44-((R2919-1)*Skills!D18))))/Inputs!$B$44),IF(Inputs!$B$39="pvp",MIN((Skills!T18*(1+Inputs!$B$35/100)),15)/15,(Skills!T18*(1+Inputs!$B$35/100))/Skills!D18)))</f>
        <v/>
      </c>
    </row>
    <row r="2931">
      <c r="A2931" t="inlineStr">
        <is>
          <t>Attack Speed Buff Bonus %</t>
        </is>
      </c>
      <c r="B2931">
        <f>((C2921=TRUE)*F2921*IF(AND(Inputs!$B$39&lt;&gt;"pvp",Inputs!$B$44&gt;0),(((R2921-1)*(Skills!T20*(1+Inputs!$B$35/100))+MIN((Skills!T20*(1+Inputs!$B$35/100)),MAX(0,Inputs!$B$44-((R2921-1)*Skills!D20))))/Inputs!$B$44),IF(Inputs!$B$39="pvp",MIN((Skills!T20*(1+Inputs!$B$35/100)),15)/15,(Skills!T20*(1+Inputs!$B$35/100))/Skills!D20)))</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Skills!T19*(1+Inputs!$B$35/100))+MIN((Skills!T19*(1+Inputs!$B$35/100)),MAX(0,Inputs!$B$44-((R2920-1)*Skills!D19))))/Inputs!$B$44),IF(Inputs!$B$39="pvp",MIN((Skills!T19*(1+Inputs!$B$35/100)),15)/15,(Skills!T19*(1+Inputs!$B$35/100))/Skills!D19)))</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IFERROR(1/IF(Inputs!$B$39="pvp",15,MAX(0.1,Skills!D5-IF(Skills!E5=TRUE,2.5,0))),0)</f>
        <v/>
      </c>
      <c r="R2948">
        <f>IF(AND(Inputs!$B$39&lt;&gt;"pvp",Inputs!$B$44&gt;0),IF(MAX(0,Inputs!$B$44-B2979)&lt;=0,0,(INT(MAX(0,Inputs!$B$44-B2979)/IF(Inputs!$B$39="pvp",15,MAX(0.1,Skills!D5-IF(Skills!E5=TRUE,2.5,0))))+1)),0)</f>
        <v/>
      </c>
      <c r="S2948">
        <f>IFERROR(O2948/N2948,0)</f>
        <v/>
      </c>
      <c r="T2948">
        <f>IF(C2948,(H2948*N2948*IF(AND(Inputs!$B$39&lt;&gt;"pvp",Inputs!$B$44&gt;0),((Skills!G5*((R2948-1)*IF(Skills!H5&gt;0,Skills!I5/Skills!H5,1)+IF(Skills!H5&gt;0,MIN(Skills!I5,MAX(0,MAX(0,Inputs!$B$44-B2979)-((R2948-1)*IF(Inputs!$B$39="pvp",15,MAX(0.1,Skills!D5-IF(Skills!E5=TRUE,2.5,0))))))/Skills!H5,1)))/Inputs!$B$44),G2948*Q2948))*IF(Inputs!$B$39="pvp",1,1+(Inputs!$B$21+0+Skills!P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Skills!E5=TRUE,2.5,0))))))/Skills!H5,1)))/Inputs!$B$44),G2948*Q2948))*IF(Inputs!$B$39="pvp",1,(1+(Inputs!$B$22+Skills!Q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IFERROR(1/IF(Inputs!$B$39="pvp",15,MAX(0.1,Skills!D6-IF(Skills!E6=TRUE,2.5,0))),0)</f>
        <v/>
      </c>
      <c r="R2949">
        <f>IF(AND(Inputs!$B$39&lt;&gt;"pvp",Inputs!$B$44&gt;0),IF(MAX(0,Inputs!$B$44-B2979)&lt;=0,0,(INT(MAX(0,Inputs!$B$44-B2979)/IF(Inputs!$B$39="pvp",15,MAX(0.1,Skills!D6-IF(Skills!E6=TRUE,2.5,0))))+1)),0)</f>
        <v/>
      </c>
      <c r="S2949">
        <f>IFERROR(O2949/N2949,0)</f>
        <v/>
      </c>
      <c r="T2949">
        <f>IF(C2949,(H2949*N2949*IF(AND(Inputs!$B$39&lt;&gt;"pvp",Inputs!$B$44&gt;0),((Skills!G6*((R2949-1)*IF(Skills!H6&gt;0,Skills!I6/Skills!H6,1)+IF(Skills!H6&gt;0,MIN(Skills!I6,MAX(0,MAX(0,Inputs!$B$44-B2979)-((R2949-1)*IF(Inputs!$B$39="pvp",15,MAX(0.1,Skills!D6-IF(Skills!E6=TRUE,2.5,0))))))/Skills!H6,1)))/Inputs!$B$44),G2949*Q2949))*IF(Inputs!$B$39="pvp",1,1+(Inputs!$B$21+0+Skills!P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Skills!E6=TRUE,2.5,0))))))/Skills!H6,1)))/Inputs!$B$44),G2949*Q2949))*IF(Inputs!$B$39="pvp",1,(1+(Inputs!$B$22+Skills!Q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IFERROR(1/IF(Inputs!$B$39="pvp",15,MAX(0.1,Skills!D7-IF(Skills!E7=TRUE,2.5,0))),0)</f>
        <v/>
      </c>
      <c r="R2950">
        <f>IF(AND(Inputs!$B$39&lt;&gt;"pvp",Inputs!$B$44&gt;0),IF(MAX(0,Inputs!$B$44-B2979)&lt;=0,0,(INT(MAX(0,Inputs!$B$44-B2979)/IF(Inputs!$B$39="pvp",15,MAX(0.1,Skills!D7-IF(Skills!E7=TRUE,2.5,0))))+1)),0)</f>
        <v/>
      </c>
      <c r="S2950">
        <f>IFERROR(O2950/N2950,0)</f>
        <v/>
      </c>
      <c r="T2950">
        <f>IF(C2950,(H2950*N2950*IF(AND(Inputs!$B$39&lt;&gt;"pvp",Inputs!$B$44&gt;0),((Skills!G7*((R2950-1)*IF(Skills!H7&gt;0,Skills!I7/Skills!H7,1)+IF(Skills!H7&gt;0,MIN(Skills!I7,MAX(0,MAX(0,Inputs!$B$44-B2979)-((R2950-1)*IF(Inputs!$B$39="pvp",15,MAX(0.1,Skills!D7-IF(Skills!E7=TRUE,2.5,0))))))/Skills!H7,1)))/Inputs!$B$44),G2950*Q2950))*IF(Inputs!$B$39="pvp",1,1+(Inputs!$B$21+0+Skills!P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Skills!E7=TRUE,2.5,0))))))/Skills!H7,1)))/Inputs!$B$44),G2950*Q2950))*IF(Inputs!$B$39="pvp",1,(1+(Inputs!$B$22+Skills!Q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IFERROR(1/IF(Inputs!$B$39="pvp",15,MAX(0.1,Skills!D9-IF(Skills!E9=TRUE,2.5,0))),0)</f>
        <v/>
      </c>
      <c r="R2952">
        <f>IF(AND(Inputs!$B$39&lt;&gt;"pvp",Inputs!$B$44&gt;0),IF(MAX(0,Inputs!$B$44-B2979)&lt;=0,0,(INT(MAX(0,Inputs!$B$44-B2979)/IF(Inputs!$B$39="pvp",15,MAX(0.1,Skills!D9-IF(Skills!E9=TRUE,2.5,0))))+1)),0)</f>
        <v/>
      </c>
      <c r="S2952">
        <f>IFERROR(O2952/N2952,0)</f>
        <v/>
      </c>
      <c r="T2952">
        <f>IF(C2952,(H2952*N2952*IF(AND(Inputs!$B$39&lt;&gt;"pvp",Inputs!$B$44&gt;0),((Skills!G9*((R2952-1)*IF(Skills!H9&gt;0,Skills!I9/Skills!H9,1)+IF(Skills!H9&gt;0,MIN(Skills!I9,MAX(0,MAX(0,Inputs!$B$44-B2979)-((R2952-1)*IF(Inputs!$B$39="pvp",15,MAX(0.1,Skills!D9-IF(Skills!E9=TRUE,2.5,0))))))/Skills!H9,1)))/Inputs!$B$44),G2952*Q2952))*IF(Inputs!$B$39="pvp",1,1+(Inputs!$B$21+0+Skills!P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Skills!E9=TRUE,2.5,0))))))/Skills!H9,1)))/Inputs!$B$44),G2952*Q2952))*IF(Inputs!$B$39="pvp",1,(1+(Inputs!$B$22+Skills!Q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IFERROR(1/IF(Inputs!$B$39="pvp",15,MAX(0.1,Skills!D10-IF(Skills!E10=TRUE,2.5,0))),0)</f>
        <v/>
      </c>
      <c r="R2953">
        <f>IF(AND(Inputs!$B$39&lt;&gt;"pvp",Inputs!$B$44&gt;0),IF(MAX(0,Inputs!$B$44-B2979)&lt;=0,0,(INT(MAX(0,Inputs!$B$44-B2979)/IF(Inputs!$B$39="pvp",15,MAX(0.1,Skills!D10-IF(Skills!E10=TRUE,2.5,0))))+1)),0)</f>
        <v/>
      </c>
      <c r="S2953">
        <f>IFERROR(O2953/N2953,0)</f>
        <v/>
      </c>
      <c r="T2953">
        <f>IF(C2953,(H2953*N2953*IF(AND(Inputs!$B$39&lt;&gt;"pvp",Inputs!$B$44&gt;0),((Skills!G10*((R2953-1)*IF(Skills!H10&gt;0,Skills!I10/Skills!H10,1)+IF(Skills!H10&gt;0,MIN(Skills!I10,MAX(0,MAX(0,Inputs!$B$44-B2979)-((R2953-1)*IF(Inputs!$B$39="pvp",15,MAX(0.1,Skills!D10-IF(Skills!E10=TRUE,2.5,0))))))/Skills!H10,1)))/Inputs!$B$44),G2953*Q2953))*IF(Inputs!$B$39="pvp",1,1+(Inputs!$B$21+0+Skills!P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Skills!E10=TRUE,2.5,0))))))/Skills!H10,1)))/Inputs!$B$44),G2953*Q2953))*IF(Inputs!$B$39="pvp",1,(1+(Inputs!$B$22+Skills!Q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IFERROR(1/IF(Inputs!$B$39="pvp",15,MAX(0.1,Skills!D12-IF(Skills!E12=TRUE,2.5,0))),0)</f>
        <v/>
      </c>
      <c r="R2955">
        <f>IF(AND(Inputs!$B$39&lt;&gt;"pvp",Inputs!$B$44&gt;0),IF(MAX(0,Inputs!$B$44-B2979)&lt;=0,0,(INT(MAX(0,Inputs!$B$44-B2979)/IF(Inputs!$B$39="pvp",15,MAX(0.1,Skills!D12-IF(Skills!E12=TRUE,2.5,0))))+1)),0)</f>
        <v/>
      </c>
      <c r="S2955">
        <f>IFERROR(O2955/N2955,0)</f>
        <v/>
      </c>
      <c r="T2955">
        <f>IF(C2955,(H2955*N2955*IF(AND(Inputs!$B$39&lt;&gt;"pvp",Inputs!$B$44&gt;0),((Skills!G12*((R2955-1)*IF(Skills!H12&gt;0,Skills!I12/Skills!H12,1)+IF(Skills!H12&gt;0,MIN(Skills!I12,MAX(0,MAX(0,Inputs!$B$44-B2979)-((R2955-1)*IF(Inputs!$B$39="pvp",15,MAX(0.1,Skills!D12-IF(Skills!E12=TRUE,2.5,0))))))/Skills!H12,1)))/Inputs!$B$44),G2955*Q2955))*IF(Inputs!$B$39="pvp",1,1+(Inputs!$B$21+0+Skills!P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Skills!E12=TRUE,2.5,0))))))/Skills!H12,1)))/Inputs!$B$44),G2955*Q2955))*IF(Inputs!$B$39="pvp",1,(1+(Inputs!$B$22+Skills!Q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IFERROR(1/IF(Inputs!$B$39="pvp",15,MAX(0.1,Skills!D13-IF(Skills!E13=TRUE,2.5,0))),0)</f>
        <v/>
      </c>
      <c r="R2956">
        <f>IF(AND(Inputs!$B$39&lt;&gt;"pvp",Inputs!$B$44&gt;0),IF(Inputs!$B$44&lt;=0,0,(INT(Inputs!$B$44/IF(Inputs!$B$39="pvp",15,MAX(0.1,Skills!D13-IF(Skills!E13=TRUE,2.5,0))))+1)),0)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IFERROR(1/IF(Inputs!$B$39="pvp",15,MAX(0.1,Skills!D14-IF(Skills!E14=TRUE,2.5,0))),0)</f>
        <v/>
      </c>
      <c r="R2957">
        <f>IF(AND(Inputs!$B$39&lt;&gt;"pvp",Inputs!$B$44&gt;0),IF(Inputs!$B$44&lt;=0,0,(INT(Inputs!$B$44/IF(Inputs!$B$39="pvp",15,MAX(0.1,Skills!D14-IF(Skills!E14=TRUE,2.5,0))))+1)),0)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IFERROR(1/IF(Inputs!$B$39="pvp",15,MAX(0.1,Skills!D15-IF(Skills!E15=TRUE,2.5,0))),0)</f>
        <v/>
      </c>
      <c r="R2958">
        <f>IF(AND(Inputs!$B$39&lt;&gt;"pvp",Inputs!$B$44&gt;0),IF(Inputs!$B$44&lt;=0,0,(INT(Inputs!$B$44/IF(Inputs!$B$39="pvp",15,MAX(0.1,Skills!D15-IF(Skills!E15=TRUE,2.5,0))))+1)),0)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IFERROR(1/IF(Inputs!$B$39="pvp",15,MAX(0.1,Skills!D16-IF(Skills!E16=TRUE,2.5,0))),0)</f>
        <v/>
      </c>
      <c r="R2959">
        <f>IF(AND(Inputs!$B$39&lt;&gt;"pvp",Inputs!$B$44&gt;0),IF(Inputs!$B$44&lt;=0,0,(INT(Inputs!$B$44/IF(Inputs!$B$39="pvp",15,MAX(0.1,Skills!D16-IF(Skills!E16=TRUE,2.5,0))))+1)),0)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IFERROR(1/IF(Inputs!$B$39="pvp",15,MAX(0.1,Skills!D17-IF(Skills!E17=TRUE,2.5,0))),0)</f>
        <v/>
      </c>
      <c r="R2960">
        <f>IF(AND(Inputs!$B$39&lt;&gt;"pvp",Inputs!$B$44&gt;0),IF(Inputs!$B$44&lt;=0,0,(INT(Inputs!$B$44/IF(Inputs!$B$39="pvp",15,MAX(0.1,Skills!D17-IF(Skills!E17=TRUE,2.5,0))))+1)),0)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IFERROR(1/IF(Inputs!$B$39="pvp",15,MAX(0.1,Skills!D18-IF(Skills!E18=TRUE,2.5,0))),0)</f>
        <v/>
      </c>
      <c r="R2961">
        <f>IF(AND(Inputs!$B$39&lt;&gt;"pvp",Inputs!$B$44&gt;0),IF(Inputs!$B$44&lt;=0,0,(INT(Inputs!$B$44/IF(Inputs!$B$39="pvp",15,MAX(0.1,Skills!D18-IF(Skills!E18=TRUE,2.5,0))))+1)),0)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IFERROR(1/IF(Inputs!$B$39="pvp",15,MAX(0.1,Skills!D19-IF(Skills!E19=TRUE,2.5,0))),0)</f>
        <v/>
      </c>
      <c r="R2962">
        <f>IF(AND(Inputs!$B$39&lt;&gt;"pvp",Inputs!$B$44&gt;0),IF(Inputs!$B$44&lt;=0,0,(INT(Inputs!$B$44/IF(Inputs!$B$39="pvp",15,MAX(0.1,Skills!D19-IF(Skills!E19=TRUE,2.5,0))))+1)),0)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IFERROR(1/IF(Inputs!$B$39="pvp",15,MAX(0.1,Skills!D20-IF(Skills!E20=TRUE,2.5,0))),0)</f>
        <v/>
      </c>
      <c r="R2963">
        <f>IF(AND(Inputs!$B$39&lt;&gt;"pvp",Inputs!$B$44&gt;0),IF(Inputs!$B$44&lt;=0,0,(INT(Inputs!$B$44/IF(Inputs!$B$39="pvp",15,MAX(0.1,Skills!D20-IF(Skills!E20=TRUE,2.5,0))))+1)),0)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Skills!T18*(1+Inputs!$B$35/100))+MIN((Skills!T18*(1+Inputs!$B$35/100)),MAX(0,Inputs!$B$44-((R2961-1)*Skills!D18))))/Inputs!$B$44),IF(Inputs!$B$39="pvp",MIN((Skills!T18*(1+Inputs!$B$35/100)),15)/15,(Skills!T18*(1+Inputs!$B$35/100))/Skills!D18)))</f>
        <v/>
      </c>
    </row>
    <row r="2973">
      <c r="A2973" t="inlineStr">
        <is>
          <t>Attack Speed Buff Bonus %</t>
        </is>
      </c>
      <c r="B2973">
        <f>((C2963=TRUE)*F2963*IF(AND(Inputs!$B$39&lt;&gt;"pvp",Inputs!$B$44&gt;0),(((R2963-1)*(Skills!T20*(1+Inputs!$B$35/100))+MIN((Skills!T20*(1+Inputs!$B$35/100)),MAX(0,Inputs!$B$44-((R2963-1)*Skills!D20))))/Inputs!$B$44),IF(Inputs!$B$39="pvp",MIN((Skills!T20*(1+Inputs!$B$35/100)),15)/15,(Skills!T20*(1+Inputs!$B$35/100))/Skills!D20)))</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Skills!T19*(1+Inputs!$B$35/100))+MIN((Skills!T19*(1+Inputs!$B$35/100)),MAX(0,Inputs!$B$44-((R2962-1)*Skills!D19))))/Inputs!$B$44),IF(Inputs!$B$39="pvp",MIN((Skills!T19*(1+Inputs!$B$35/100)),15)/15,(Skills!T19*(1+Inputs!$B$35/100))/Skills!D19)))</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IFERROR(1/IF(Inputs!$B$39="pvp",15,MAX(0.1,Skills!D5-IF(Skills!E5=TRUE,3.0,0))),0)</f>
        <v/>
      </c>
      <c r="R2990">
        <f>IF(AND(Inputs!$B$39&lt;&gt;"pvp",Inputs!$B$44&gt;0),IF(MAX(0,Inputs!$B$44-B3021)&lt;=0,0,(INT(MAX(0,Inputs!$B$44-B3021)/IF(Inputs!$B$39="pvp",15,MAX(0.1,Skills!D5-IF(Skills!E5=TRUE,3.0,0))))+1)),0)</f>
        <v/>
      </c>
      <c r="S2990">
        <f>IFERROR(O2990/N2990,0)</f>
        <v/>
      </c>
      <c r="T2990">
        <f>IF(C2990,(H2990*N2990*IF(AND(Inputs!$B$39&lt;&gt;"pvp",Inputs!$B$44&gt;0),((Skills!G5*((R2990-1)*IF(Skills!H5&gt;0,Skills!I5/Skills!H5,1)+IF(Skills!H5&gt;0,MIN(Skills!I5,MAX(0,MAX(0,Inputs!$B$44-B3021)-((R2990-1)*IF(Inputs!$B$39="pvp",15,MAX(0.1,Skills!D5-IF(Skills!E5=TRUE,3.0,0))))))/Skills!H5,1)))/Inputs!$B$44),G2990*Q2990))*IF(Inputs!$B$39="pvp",1,1+(Inputs!$B$21+0+Skills!P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Skills!E5=TRUE,3.0,0))))))/Skills!H5,1)))/Inputs!$B$44),G2990*Q2990))*IF(Inputs!$B$39="pvp",1,(1+(Inputs!$B$22+Skills!Q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IFERROR(1/IF(Inputs!$B$39="pvp",15,MAX(0.1,Skills!D6-IF(Skills!E6=TRUE,3.0,0))),0)</f>
        <v/>
      </c>
      <c r="R2991">
        <f>IF(AND(Inputs!$B$39&lt;&gt;"pvp",Inputs!$B$44&gt;0),IF(MAX(0,Inputs!$B$44-B3021)&lt;=0,0,(INT(MAX(0,Inputs!$B$44-B3021)/IF(Inputs!$B$39="pvp",15,MAX(0.1,Skills!D6-IF(Skills!E6=TRUE,3.0,0))))+1)),0)</f>
        <v/>
      </c>
      <c r="S2991">
        <f>IFERROR(O2991/N2991,0)</f>
        <v/>
      </c>
      <c r="T2991">
        <f>IF(C2991,(H2991*N2991*IF(AND(Inputs!$B$39&lt;&gt;"pvp",Inputs!$B$44&gt;0),((Skills!G6*((R2991-1)*IF(Skills!H6&gt;0,Skills!I6/Skills!H6,1)+IF(Skills!H6&gt;0,MIN(Skills!I6,MAX(0,MAX(0,Inputs!$B$44-B3021)-((R2991-1)*IF(Inputs!$B$39="pvp",15,MAX(0.1,Skills!D6-IF(Skills!E6=TRUE,3.0,0))))))/Skills!H6,1)))/Inputs!$B$44),G2991*Q2991))*IF(Inputs!$B$39="pvp",1,1+(Inputs!$B$21+0+Skills!P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Skills!E6=TRUE,3.0,0))))))/Skills!H6,1)))/Inputs!$B$44),G2991*Q2991))*IF(Inputs!$B$39="pvp",1,(1+(Inputs!$B$22+Skills!Q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IFERROR(1/IF(Inputs!$B$39="pvp",15,MAX(0.1,Skills!D7-IF(Skills!E7=TRUE,3.0,0))),0)</f>
        <v/>
      </c>
      <c r="R2992">
        <f>IF(AND(Inputs!$B$39&lt;&gt;"pvp",Inputs!$B$44&gt;0),IF(MAX(0,Inputs!$B$44-B3021)&lt;=0,0,(INT(MAX(0,Inputs!$B$44-B3021)/IF(Inputs!$B$39="pvp",15,MAX(0.1,Skills!D7-IF(Skills!E7=TRUE,3.0,0))))+1)),0)</f>
        <v/>
      </c>
      <c r="S2992">
        <f>IFERROR(O2992/N2992,0)</f>
        <v/>
      </c>
      <c r="T2992">
        <f>IF(C2992,(H2992*N2992*IF(AND(Inputs!$B$39&lt;&gt;"pvp",Inputs!$B$44&gt;0),((Skills!G7*((R2992-1)*IF(Skills!H7&gt;0,Skills!I7/Skills!H7,1)+IF(Skills!H7&gt;0,MIN(Skills!I7,MAX(0,MAX(0,Inputs!$B$44-B3021)-((R2992-1)*IF(Inputs!$B$39="pvp",15,MAX(0.1,Skills!D7-IF(Skills!E7=TRUE,3.0,0))))))/Skills!H7,1)))/Inputs!$B$44),G2992*Q2992))*IF(Inputs!$B$39="pvp",1,1+(Inputs!$B$21+0+Skills!P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Skills!E7=TRUE,3.0,0))))))/Skills!H7,1)))/Inputs!$B$44),G2992*Q2992))*IF(Inputs!$B$39="pvp",1,(1+(Inputs!$B$22+Skills!Q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IFERROR(1/IF(Inputs!$B$39="pvp",15,MAX(0.1,Skills!D9-IF(Skills!E9=TRUE,3.0,0))),0)</f>
        <v/>
      </c>
      <c r="R2994">
        <f>IF(AND(Inputs!$B$39&lt;&gt;"pvp",Inputs!$B$44&gt;0),IF(MAX(0,Inputs!$B$44-B3021)&lt;=0,0,(INT(MAX(0,Inputs!$B$44-B3021)/IF(Inputs!$B$39="pvp",15,MAX(0.1,Skills!D9-IF(Skills!E9=TRUE,3.0,0))))+1)),0)</f>
        <v/>
      </c>
      <c r="S2994">
        <f>IFERROR(O2994/N2994,0)</f>
        <v/>
      </c>
      <c r="T2994">
        <f>IF(C2994,(H2994*N2994*IF(AND(Inputs!$B$39&lt;&gt;"pvp",Inputs!$B$44&gt;0),((Skills!G9*((R2994-1)*IF(Skills!H9&gt;0,Skills!I9/Skills!H9,1)+IF(Skills!H9&gt;0,MIN(Skills!I9,MAX(0,MAX(0,Inputs!$B$44-B3021)-((R2994-1)*IF(Inputs!$B$39="pvp",15,MAX(0.1,Skills!D9-IF(Skills!E9=TRUE,3.0,0))))))/Skills!H9,1)))/Inputs!$B$44),G2994*Q2994))*IF(Inputs!$B$39="pvp",1,1+(Inputs!$B$21+0+Skills!P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Skills!E9=TRUE,3.0,0))))))/Skills!H9,1)))/Inputs!$B$44),G2994*Q2994))*IF(Inputs!$B$39="pvp",1,(1+(Inputs!$B$22+Skills!Q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IFERROR(1/IF(Inputs!$B$39="pvp",15,MAX(0.1,Skills!D10-IF(Skills!E10=TRUE,3.0,0))),0)</f>
        <v/>
      </c>
      <c r="R2995">
        <f>IF(AND(Inputs!$B$39&lt;&gt;"pvp",Inputs!$B$44&gt;0),IF(MAX(0,Inputs!$B$44-B3021)&lt;=0,0,(INT(MAX(0,Inputs!$B$44-B3021)/IF(Inputs!$B$39="pvp",15,MAX(0.1,Skills!D10-IF(Skills!E10=TRUE,3.0,0))))+1)),0)</f>
        <v/>
      </c>
      <c r="S2995">
        <f>IFERROR(O2995/N2995,0)</f>
        <v/>
      </c>
      <c r="T2995">
        <f>IF(C2995,(H2995*N2995*IF(AND(Inputs!$B$39&lt;&gt;"pvp",Inputs!$B$44&gt;0),((Skills!G10*((R2995-1)*IF(Skills!H10&gt;0,Skills!I10/Skills!H10,1)+IF(Skills!H10&gt;0,MIN(Skills!I10,MAX(0,MAX(0,Inputs!$B$44-B3021)-((R2995-1)*IF(Inputs!$B$39="pvp",15,MAX(0.1,Skills!D10-IF(Skills!E10=TRUE,3.0,0))))))/Skills!H10,1)))/Inputs!$B$44),G2995*Q2995))*IF(Inputs!$B$39="pvp",1,1+(Inputs!$B$21+0+Skills!P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Skills!E10=TRUE,3.0,0))))))/Skills!H10,1)))/Inputs!$B$44),G2995*Q2995))*IF(Inputs!$B$39="pvp",1,(1+(Inputs!$B$22+Skills!Q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IFERROR(1/IF(Inputs!$B$39="pvp",15,MAX(0.1,Skills!D12-IF(Skills!E12=TRUE,3.0,0))),0)</f>
        <v/>
      </c>
      <c r="R2997">
        <f>IF(AND(Inputs!$B$39&lt;&gt;"pvp",Inputs!$B$44&gt;0),IF(MAX(0,Inputs!$B$44-B3021)&lt;=0,0,(INT(MAX(0,Inputs!$B$44-B3021)/IF(Inputs!$B$39="pvp",15,MAX(0.1,Skills!D12-IF(Skills!E12=TRUE,3.0,0))))+1)),0)</f>
        <v/>
      </c>
      <c r="S2997">
        <f>IFERROR(O2997/N2997,0)</f>
        <v/>
      </c>
      <c r="T2997">
        <f>IF(C2997,(H2997*N2997*IF(AND(Inputs!$B$39&lt;&gt;"pvp",Inputs!$B$44&gt;0),((Skills!G12*((R2997-1)*IF(Skills!H12&gt;0,Skills!I12/Skills!H12,1)+IF(Skills!H12&gt;0,MIN(Skills!I12,MAX(0,MAX(0,Inputs!$B$44-B3021)-((R2997-1)*IF(Inputs!$B$39="pvp",15,MAX(0.1,Skills!D12-IF(Skills!E12=TRUE,3.0,0))))))/Skills!H12,1)))/Inputs!$B$44),G2997*Q2997))*IF(Inputs!$B$39="pvp",1,1+(Inputs!$B$21+0+Skills!P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Skills!E12=TRUE,3.0,0))))))/Skills!H12,1)))/Inputs!$B$44),G2997*Q2997))*IF(Inputs!$B$39="pvp",1,(1+(Inputs!$B$22+Skills!Q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IFERROR(1/IF(Inputs!$B$39="pvp",15,MAX(0.1,Skills!D13-IF(Skills!E13=TRUE,3.0,0))),0)</f>
        <v/>
      </c>
      <c r="R2998">
        <f>IF(AND(Inputs!$B$39&lt;&gt;"pvp",Inputs!$B$44&gt;0),IF(Inputs!$B$44&lt;=0,0,(INT(Inputs!$B$44/IF(Inputs!$B$39="pvp",15,MAX(0.1,Skills!D13-IF(Skills!E13=TRUE,3.0,0))))+1)),0)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IFERROR(1/IF(Inputs!$B$39="pvp",15,MAX(0.1,Skills!D14-IF(Skills!E14=TRUE,3.0,0))),0)</f>
        <v/>
      </c>
      <c r="R2999">
        <f>IF(AND(Inputs!$B$39&lt;&gt;"pvp",Inputs!$B$44&gt;0),IF(Inputs!$B$44&lt;=0,0,(INT(Inputs!$B$44/IF(Inputs!$B$39="pvp",15,MAX(0.1,Skills!D14-IF(Skills!E14=TRUE,3.0,0))))+1)),0)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IFERROR(1/IF(Inputs!$B$39="pvp",15,MAX(0.1,Skills!D15-IF(Skills!E15=TRUE,3.0,0))),0)</f>
        <v/>
      </c>
      <c r="R3000">
        <f>IF(AND(Inputs!$B$39&lt;&gt;"pvp",Inputs!$B$44&gt;0),IF(Inputs!$B$44&lt;=0,0,(INT(Inputs!$B$44/IF(Inputs!$B$39="pvp",15,MAX(0.1,Skills!D15-IF(Skills!E15=TRUE,3.0,0))))+1)),0)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IFERROR(1/IF(Inputs!$B$39="pvp",15,MAX(0.1,Skills!D16-IF(Skills!E16=TRUE,3.0,0))),0)</f>
        <v/>
      </c>
      <c r="R3001">
        <f>IF(AND(Inputs!$B$39&lt;&gt;"pvp",Inputs!$B$44&gt;0),IF(Inputs!$B$44&lt;=0,0,(INT(Inputs!$B$44/IF(Inputs!$B$39="pvp",15,MAX(0.1,Skills!D16-IF(Skills!E16=TRUE,3.0,0))))+1)),0)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IFERROR(1/IF(Inputs!$B$39="pvp",15,MAX(0.1,Skills!D17-IF(Skills!E17=TRUE,3.0,0))),0)</f>
        <v/>
      </c>
      <c r="R3002">
        <f>IF(AND(Inputs!$B$39&lt;&gt;"pvp",Inputs!$B$44&gt;0),IF(Inputs!$B$44&lt;=0,0,(INT(Inputs!$B$44/IF(Inputs!$B$39="pvp",15,MAX(0.1,Skills!D17-IF(Skills!E17=TRUE,3.0,0))))+1)),0)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IFERROR(1/IF(Inputs!$B$39="pvp",15,MAX(0.1,Skills!D18-IF(Skills!E18=TRUE,3.0,0))),0)</f>
        <v/>
      </c>
      <c r="R3003">
        <f>IF(AND(Inputs!$B$39&lt;&gt;"pvp",Inputs!$B$44&gt;0),IF(Inputs!$B$44&lt;=0,0,(INT(Inputs!$B$44/IF(Inputs!$B$39="pvp",15,MAX(0.1,Skills!D18-IF(Skills!E18=TRUE,3.0,0))))+1)),0)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IFERROR(1/IF(Inputs!$B$39="pvp",15,MAX(0.1,Skills!D19-IF(Skills!E19=TRUE,3.0,0))),0)</f>
        <v/>
      </c>
      <c r="R3004">
        <f>IF(AND(Inputs!$B$39&lt;&gt;"pvp",Inputs!$B$44&gt;0),IF(Inputs!$B$44&lt;=0,0,(INT(Inputs!$B$44/IF(Inputs!$B$39="pvp",15,MAX(0.1,Skills!D19-IF(Skills!E19=TRUE,3.0,0))))+1)),0)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IFERROR(1/IF(Inputs!$B$39="pvp",15,MAX(0.1,Skills!D20-IF(Skills!E20=TRUE,3.0,0))),0)</f>
        <v/>
      </c>
      <c r="R3005">
        <f>IF(AND(Inputs!$B$39&lt;&gt;"pvp",Inputs!$B$44&gt;0),IF(Inputs!$B$44&lt;=0,0,(INT(Inputs!$B$44/IF(Inputs!$B$39="pvp",15,MAX(0.1,Skills!D20-IF(Skills!E20=TRUE,3.0,0))))+1)),0)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Skills!T18*(1+Inputs!$B$35/100))+MIN((Skills!T18*(1+Inputs!$B$35/100)),MAX(0,Inputs!$B$44-((R3003-1)*Skills!D18))))/Inputs!$B$44),IF(Inputs!$B$39="pvp",MIN((Skills!T18*(1+Inputs!$B$35/100)),15)/15,(Skills!T18*(1+Inputs!$B$35/100))/Skills!D18)))</f>
        <v/>
      </c>
    </row>
    <row r="3015">
      <c r="A3015" t="inlineStr">
        <is>
          <t>Attack Speed Buff Bonus %</t>
        </is>
      </c>
      <c r="B3015">
        <f>((C3005=TRUE)*F3005*IF(AND(Inputs!$B$39&lt;&gt;"pvp",Inputs!$B$44&gt;0),(((R3005-1)*(Skills!T20*(1+Inputs!$B$35/100))+MIN((Skills!T20*(1+Inputs!$B$35/100)),MAX(0,Inputs!$B$44-((R3005-1)*Skills!D20))))/Inputs!$B$44),IF(Inputs!$B$39="pvp",MIN((Skills!T20*(1+Inputs!$B$35/100)),15)/15,(Skills!T20*(1+Inputs!$B$35/100))/Skills!D20)))</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Skills!T19*(1+Inputs!$B$35/100))+MIN((Skills!T19*(1+Inputs!$B$35/100)),MAX(0,Inputs!$B$44-((R3004-1)*Skills!D19))))/Inputs!$B$44),IF(Inputs!$B$39="pvp",MIN((Skills!T19*(1+Inputs!$B$35/100)),15)/15,(Skills!T19*(1+Inputs!$B$35/100))/Skills!D19)))</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IFERROR(1/IF(Inputs!$B$39="pvp",15,MAX(0.1,Skills!D5-IF(Skills!E5=TRUE,3.5,0))),0)</f>
        <v/>
      </c>
      <c r="R3032">
        <f>IF(AND(Inputs!$B$39&lt;&gt;"pvp",Inputs!$B$44&gt;0),IF(MAX(0,Inputs!$B$44-B3063)&lt;=0,0,(INT(MAX(0,Inputs!$B$44-B3063)/IF(Inputs!$B$39="pvp",15,MAX(0.1,Skills!D5-IF(Skills!E5=TRUE,3.5,0))))+1)),0)</f>
        <v/>
      </c>
      <c r="S3032">
        <f>IFERROR(O3032/N3032,0)</f>
        <v/>
      </c>
      <c r="T3032">
        <f>IF(C3032,(H3032*N3032*IF(AND(Inputs!$B$39&lt;&gt;"pvp",Inputs!$B$44&gt;0),((Skills!G5*((R3032-1)*IF(Skills!H5&gt;0,Skills!I5/Skills!H5,1)+IF(Skills!H5&gt;0,MIN(Skills!I5,MAX(0,MAX(0,Inputs!$B$44-B3063)-((R3032-1)*IF(Inputs!$B$39="pvp",15,MAX(0.1,Skills!D5-IF(Skills!E5=TRUE,3.5,0))))))/Skills!H5,1)))/Inputs!$B$44),G3032*Q3032))*IF(Inputs!$B$39="pvp",1,1+(Inputs!$B$21+0+Skills!P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Skills!E5=TRUE,3.5,0))))))/Skills!H5,1)))/Inputs!$B$44),G3032*Q3032))*IF(Inputs!$B$39="pvp",1,(1+(Inputs!$B$22+Skills!Q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IFERROR(1/IF(Inputs!$B$39="pvp",15,MAX(0.1,Skills!D6-IF(Skills!E6=TRUE,3.5,0))),0)</f>
        <v/>
      </c>
      <c r="R3033">
        <f>IF(AND(Inputs!$B$39&lt;&gt;"pvp",Inputs!$B$44&gt;0),IF(MAX(0,Inputs!$B$44-B3063)&lt;=0,0,(INT(MAX(0,Inputs!$B$44-B3063)/IF(Inputs!$B$39="pvp",15,MAX(0.1,Skills!D6-IF(Skills!E6=TRUE,3.5,0))))+1)),0)</f>
        <v/>
      </c>
      <c r="S3033">
        <f>IFERROR(O3033/N3033,0)</f>
        <v/>
      </c>
      <c r="T3033">
        <f>IF(C3033,(H3033*N3033*IF(AND(Inputs!$B$39&lt;&gt;"pvp",Inputs!$B$44&gt;0),((Skills!G6*((R3033-1)*IF(Skills!H6&gt;0,Skills!I6/Skills!H6,1)+IF(Skills!H6&gt;0,MIN(Skills!I6,MAX(0,MAX(0,Inputs!$B$44-B3063)-((R3033-1)*IF(Inputs!$B$39="pvp",15,MAX(0.1,Skills!D6-IF(Skills!E6=TRUE,3.5,0))))))/Skills!H6,1)))/Inputs!$B$44),G3033*Q3033))*IF(Inputs!$B$39="pvp",1,1+(Inputs!$B$21+0+Skills!P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Skills!E6=TRUE,3.5,0))))))/Skills!H6,1)))/Inputs!$B$44),G3033*Q3033))*IF(Inputs!$B$39="pvp",1,(1+(Inputs!$B$22+Skills!Q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IFERROR(1/IF(Inputs!$B$39="pvp",15,MAX(0.1,Skills!D7-IF(Skills!E7=TRUE,3.5,0))),0)</f>
        <v/>
      </c>
      <c r="R3034">
        <f>IF(AND(Inputs!$B$39&lt;&gt;"pvp",Inputs!$B$44&gt;0),IF(MAX(0,Inputs!$B$44-B3063)&lt;=0,0,(INT(MAX(0,Inputs!$B$44-B3063)/IF(Inputs!$B$39="pvp",15,MAX(0.1,Skills!D7-IF(Skills!E7=TRUE,3.5,0))))+1)),0)</f>
        <v/>
      </c>
      <c r="S3034">
        <f>IFERROR(O3034/N3034,0)</f>
        <v/>
      </c>
      <c r="T3034">
        <f>IF(C3034,(H3034*N3034*IF(AND(Inputs!$B$39&lt;&gt;"pvp",Inputs!$B$44&gt;0),((Skills!G7*((R3034-1)*IF(Skills!H7&gt;0,Skills!I7/Skills!H7,1)+IF(Skills!H7&gt;0,MIN(Skills!I7,MAX(0,MAX(0,Inputs!$B$44-B3063)-((R3034-1)*IF(Inputs!$B$39="pvp",15,MAX(0.1,Skills!D7-IF(Skills!E7=TRUE,3.5,0))))))/Skills!H7,1)))/Inputs!$B$44),G3034*Q3034))*IF(Inputs!$B$39="pvp",1,1+(Inputs!$B$21+0+Skills!P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Skills!E7=TRUE,3.5,0))))))/Skills!H7,1)))/Inputs!$B$44),G3034*Q3034))*IF(Inputs!$B$39="pvp",1,(1+(Inputs!$B$22+Skills!Q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IFERROR(1/IF(Inputs!$B$39="pvp",15,MAX(0.1,Skills!D9-IF(Skills!E9=TRUE,3.5,0))),0)</f>
        <v/>
      </c>
      <c r="R3036">
        <f>IF(AND(Inputs!$B$39&lt;&gt;"pvp",Inputs!$B$44&gt;0),IF(MAX(0,Inputs!$B$44-B3063)&lt;=0,0,(INT(MAX(0,Inputs!$B$44-B3063)/IF(Inputs!$B$39="pvp",15,MAX(0.1,Skills!D9-IF(Skills!E9=TRUE,3.5,0))))+1)),0)</f>
        <v/>
      </c>
      <c r="S3036">
        <f>IFERROR(O3036/N3036,0)</f>
        <v/>
      </c>
      <c r="T3036">
        <f>IF(C3036,(H3036*N3036*IF(AND(Inputs!$B$39&lt;&gt;"pvp",Inputs!$B$44&gt;0),((Skills!G9*((R3036-1)*IF(Skills!H9&gt;0,Skills!I9/Skills!H9,1)+IF(Skills!H9&gt;0,MIN(Skills!I9,MAX(0,MAX(0,Inputs!$B$44-B3063)-((R3036-1)*IF(Inputs!$B$39="pvp",15,MAX(0.1,Skills!D9-IF(Skills!E9=TRUE,3.5,0))))))/Skills!H9,1)))/Inputs!$B$44),G3036*Q3036))*IF(Inputs!$B$39="pvp",1,1+(Inputs!$B$21+0+Skills!P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Skills!E9=TRUE,3.5,0))))))/Skills!H9,1)))/Inputs!$B$44),G3036*Q3036))*IF(Inputs!$B$39="pvp",1,(1+(Inputs!$B$22+Skills!Q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IFERROR(1/IF(Inputs!$B$39="pvp",15,MAX(0.1,Skills!D10-IF(Skills!E10=TRUE,3.5,0))),0)</f>
        <v/>
      </c>
      <c r="R3037">
        <f>IF(AND(Inputs!$B$39&lt;&gt;"pvp",Inputs!$B$44&gt;0),IF(MAX(0,Inputs!$B$44-B3063)&lt;=0,0,(INT(MAX(0,Inputs!$B$44-B3063)/IF(Inputs!$B$39="pvp",15,MAX(0.1,Skills!D10-IF(Skills!E10=TRUE,3.5,0))))+1)),0)</f>
        <v/>
      </c>
      <c r="S3037">
        <f>IFERROR(O3037/N3037,0)</f>
        <v/>
      </c>
      <c r="T3037">
        <f>IF(C3037,(H3037*N3037*IF(AND(Inputs!$B$39&lt;&gt;"pvp",Inputs!$B$44&gt;0),((Skills!G10*((R3037-1)*IF(Skills!H10&gt;0,Skills!I10/Skills!H10,1)+IF(Skills!H10&gt;0,MIN(Skills!I10,MAX(0,MAX(0,Inputs!$B$44-B3063)-((R3037-1)*IF(Inputs!$B$39="pvp",15,MAX(0.1,Skills!D10-IF(Skills!E10=TRUE,3.5,0))))))/Skills!H10,1)))/Inputs!$B$44),G3037*Q3037))*IF(Inputs!$B$39="pvp",1,1+(Inputs!$B$21+0+Skills!P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Skills!E10=TRUE,3.5,0))))))/Skills!H10,1)))/Inputs!$B$44),G3037*Q3037))*IF(Inputs!$B$39="pvp",1,(1+(Inputs!$B$22+Skills!Q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IFERROR(1/IF(Inputs!$B$39="pvp",15,MAX(0.1,Skills!D12-IF(Skills!E12=TRUE,3.5,0))),0)</f>
        <v/>
      </c>
      <c r="R3039">
        <f>IF(AND(Inputs!$B$39&lt;&gt;"pvp",Inputs!$B$44&gt;0),IF(MAX(0,Inputs!$B$44-B3063)&lt;=0,0,(INT(MAX(0,Inputs!$B$44-B3063)/IF(Inputs!$B$39="pvp",15,MAX(0.1,Skills!D12-IF(Skills!E12=TRUE,3.5,0))))+1)),0)</f>
        <v/>
      </c>
      <c r="S3039">
        <f>IFERROR(O3039/N3039,0)</f>
        <v/>
      </c>
      <c r="T3039">
        <f>IF(C3039,(H3039*N3039*IF(AND(Inputs!$B$39&lt;&gt;"pvp",Inputs!$B$44&gt;0),((Skills!G12*((R3039-1)*IF(Skills!H12&gt;0,Skills!I12/Skills!H12,1)+IF(Skills!H12&gt;0,MIN(Skills!I12,MAX(0,MAX(0,Inputs!$B$44-B3063)-((R3039-1)*IF(Inputs!$B$39="pvp",15,MAX(0.1,Skills!D12-IF(Skills!E12=TRUE,3.5,0))))))/Skills!H12,1)))/Inputs!$B$44),G3039*Q3039))*IF(Inputs!$B$39="pvp",1,1+(Inputs!$B$21+0+Skills!P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Skills!E12=TRUE,3.5,0))))))/Skills!H12,1)))/Inputs!$B$44),G3039*Q3039))*IF(Inputs!$B$39="pvp",1,(1+(Inputs!$B$22+Skills!Q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IFERROR(1/IF(Inputs!$B$39="pvp",15,MAX(0.1,Skills!D13-IF(Skills!E13=TRUE,3.5,0))),0)</f>
        <v/>
      </c>
      <c r="R3040">
        <f>IF(AND(Inputs!$B$39&lt;&gt;"pvp",Inputs!$B$44&gt;0),IF(Inputs!$B$44&lt;=0,0,(INT(Inputs!$B$44/IF(Inputs!$B$39="pvp",15,MAX(0.1,Skills!D13-IF(Skills!E13=TRUE,3.5,0))))+1)),0)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IFERROR(1/IF(Inputs!$B$39="pvp",15,MAX(0.1,Skills!D14-IF(Skills!E14=TRUE,3.5,0))),0)</f>
        <v/>
      </c>
      <c r="R3041">
        <f>IF(AND(Inputs!$B$39&lt;&gt;"pvp",Inputs!$B$44&gt;0),IF(Inputs!$B$44&lt;=0,0,(INT(Inputs!$B$44/IF(Inputs!$B$39="pvp",15,MAX(0.1,Skills!D14-IF(Skills!E14=TRUE,3.5,0))))+1)),0)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IFERROR(1/IF(Inputs!$B$39="pvp",15,MAX(0.1,Skills!D15-IF(Skills!E15=TRUE,3.5,0))),0)</f>
        <v/>
      </c>
      <c r="R3042">
        <f>IF(AND(Inputs!$B$39&lt;&gt;"pvp",Inputs!$B$44&gt;0),IF(Inputs!$B$44&lt;=0,0,(INT(Inputs!$B$44/IF(Inputs!$B$39="pvp",15,MAX(0.1,Skills!D15-IF(Skills!E15=TRUE,3.5,0))))+1)),0)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IFERROR(1/IF(Inputs!$B$39="pvp",15,MAX(0.1,Skills!D16-IF(Skills!E16=TRUE,3.5,0))),0)</f>
        <v/>
      </c>
      <c r="R3043">
        <f>IF(AND(Inputs!$B$39&lt;&gt;"pvp",Inputs!$B$44&gt;0),IF(Inputs!$B$44&lt;=0,0,(INT(Inputs!$B$44/IF(Inputs!$B$39="pvp",15,MAX(0.1,Skills!D16-IF(Skills!E16=TRUE,3.5,0))))+1)),0)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IFERROR(1/IF(Inputs!$B$39="pvp",15,MAX(0.1,Skills!D17-IF(Skills!E17=TRUE,3.5,0))),0)</f>
        <v/>
      </c>
      <c r="R3044">
        <f>IF(AND(Inputs!$B$39&lt;&gt;"pvp",Inputs!$B$44&gt;0),IF(Inputs!$B$44&lt;=0,0,(INT(Inputs!$B$44/IF(Inputs!$B$39="pvp",15,MAX(0.1,Skills!D17-IF(Skills!E17=TRUE,3.5,0))))+1)),0)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IFERROR(1/IF(Inputs!$B$39="pvp",15,MAX(0.1,Skills!D18-IF(Skills!E18=TRUE,3.5,0))),0)</f>
        <v/>
      </c>
      <c r="R3045">
        <f>IF(AND(Inputs!$B$39&lt;&gt;"pvp",Inputs!$B$44&gt;0),IF(Inputs!$B$44&lt;=0,0,(INT(Inputs!$B$44/IF(Inputs!$B$39="pvp",15,MAX(0.1,Skills!D18-IF(Skills!E18=TRUE,3.5,0))))+1)),0)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IFERROR(1/IF(Inputs!$B$39="pvp",15,MAX(0.1,Skills!D19-IF(Skills!E19=TRUE,3.5,0))),0)</f>
        <v/>
      </c>
      <c r="R3046">
        <f>IF(AND(Inputs!$B$39&lt;&gt;"pvp",Inputs!$B$44&gt;0),IF(Inputs!$B$44&lt;=0,0,(INT(Inputs!$B$44/IF(Inputs!$B$39="pvp",15,MAX(0.1,Skills!D19-IF(Skills!E19=TRUE,3.5,0))))+1)),0)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IFERROR(1/IF(Inputs!$B$39="pvp",15,MAX(0.1,Skills!D20-IF(Skills!E20=TRUE,3.5,0))),0)</f>
        <v/>
      </c>
      <c r="R3047">
        <f>IF(AND(Inputs!$B$39&lt;&gt;"pvp",Inputs!$B$44&gt;0),IF(Inputs!$B$44&lt;=0,0,(INT(Inputs!$B$44/IF(Inputs!$B$39="pvp",15,MAX(0.1,Skills!D20-IF(Skills!E20=TRUE,3.5,0))))+1)),0)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Skills!T18*(1+Inputs!$B$35/100))+MIN((Skills!T18*(1+Inputs!$B$35/100)),MAX(0,Inputs!$B$44-((R3045-1)*Skills!D18))))/Inputs!$B$44),IF(Inputs!$B$39="pvp",MIN((Skills!T18*(1+Inputs!$B$35/100)),15)/15,(Skills!T18*(1+Inputs!$B$35/100))/Skills!D18)))</f>
        <v/>
      </c>
    </row>
    <row r="3057">
      <c r="A3057" t="inlineStr">
        <is>
          <t>Attack Speed Buff Bonus %</t>
        </is>
      </c>
      <c r="B3057">
        <f>((C3047=TRUE)*F3047*IF(AND(Inputs!$B$39&lt;&gt;"pvp",Inputs!$B$44&gt;0),(((R3047-1)*(Skills!T20*(1+Inputs!$B$35/100))+MIN((Skills!T20*(1+Inputs!$B$35/100)),MAX(0,Inputs!$B$44-((R3047-1)*Skills!D20))))/Inputs!$B$44),IF(Inputs!$B$39="pvp",MIN((Skills!T20*(1+Inputs!$B$35/100)),15)/15,(Skills!T20*(1+Inputs!$B$35/100))/Skills!D20)))</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Skills!T19*(1+Inputs!$B$35/100))+MIN((Skills!T19*(1+Inputs!$B$35/100)),MAX(0,Inputs!$B$44-((R3046-1)*Skills!D19))))/Inputs!$B$44),IF(Inputs!$B$39="pvp",MIN((Skills!T19*(1+Inputs!$B$35/100)),15)/15,(Skills!T19*(1+Inputs!$B$35/100))/Skills!D19)))</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IFERROR(1/IF(Inputs!$B$39="pvp",15,MAX(0.1,Skills!D5-IF(Skills!E5=TRUE,4.0,0))),0)</f>
        <v/>
      </c>
      <c r="R3074">
        <f>IF(AND(Inputs!$B$39&lt;&gt;"pvp",Inputs!$B$44&gt;0),IF(MAX(0,Inputs!$B$44-B3105)&lt;=0,0,(INT(MAX(0,Inputs!$B$44-B3105)/IF(Inputs!$B$39="pvp",15,MAX(0.1,Skills!D5-IF(Skills!E5=TRUE,4.0,0))))+1)),0)</f>
        <v/>
      </c>
      <c r="S3074">
        <f>IFERROR(O3074/N3074,0)</f>
        <v/>
      </c>
      <c r="T3074">
        <f>IF(C3074,(H3074*N3074*IF(AND(Inputs!$B$39&lt;&gt;"pvp",Inputs!$B$44&gt;0),((Skills!G5*((R3074-1)*IF(Skills!H5&gt;0,Skills!I5/Skills!H5,1)+IF(Skills!H5&gt;0,MIN(Skills!I5,MAX(0,MAX(0,Inputs!$B$44-B3105)-((R3074-1)*IF(Inputs!$B$39="pvp",15,MAX(0.1,Skills!D5-IF(Skills!E5=TRUE,4.0,0))))))/Skills!H5,1)))/Inputs!$B$44),G3074*Q3074))*IF(Inputs!$B$39="pvp",1,1+(Inputs!$B$21+0+Skills!P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Skills!E5=TRUE,4.0,0))))))/Skills!H5,1)))/Inputs!$B$44),G3074*Q3074))*IF(Inputs!$B$39="pvp",1,(1+(Inputs!$B$22+Skills!Q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IFERROR(1/IF(Inputs!$B$39="pvp",15,MAX(0.1,Skills!D6-IF(Skills!E6=TRUE,4.0,0))),0)</f>
        <v/>
      </c>
      <c r="R3075">
        <f>IF(AND(Inputs!$B$39&lt;&gt;"pvp",Inputs!$B$44&gt;0),IF(MAX(0,Inputs!$B$44-B3105)&lt;=0,0,(INT(MAX(0,Inputs!$B$44-B3105)/IF(Inputs!$B$39="pvp",15,MAX(0.1,Skills!D6-IF(Skills!E6=TRUE,4.0,0))))+1)),0)</f>
        <v/>
      </c>
      <c r="S3075">
        <f>IFERROR(O3075/N3075,0)</f>
        <v/>
      </c>
      <c r="T3075">
        <f>IF(C3075,(H3075*N3075*IF(AND(Inputs!$B$39&lt;&gt;"pvp",Inputs!$B$44&gt;0),((Skills!G6*((R3075-1)*IF(Skills!H6&gt;0,Skills!I6/Skills!H6,1)+IF(Skills!H6&gt;0,MIN(Skills!I6,MAX(0,MAX(0,Inputs!$B$44-B3105)-((R3075-1)*IF(Inputs!$B$39="pvp",15,MAX(0.1,Skills!D6-IF(Skills!E6=TRUE,4.0,0))))))/Skills!H6,1)))/Inputs!$B$44),G3075*Q3075))*IF(Inputs!$B$39="pvp",1,1+(Inputs!$B$21+0+Skills!P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Skills!E6=TRUE,4.0,0))))))/Skills!H6,1)))/Inputs!$B$44),G3075*Q3075))*IF(Inputs!$B$39="pvp",1,(1+(Inputs!$B$22+Skills!Q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IFERROR(1/IF(Inputs!$B$39="pvp",15,MAX(0.1,Skills!D7-IF(Skills!E7=TRUE,4.0,0))),0)</f>
        <v/>
      </c>
      <c r="R3076">
        <f>IF(AND(Inputs!$B$39&lt;&gt;"pvp",Inputs!$B$44&gt;0),IF(MAX(0,Inputs!$B$44-B3105)&lt;=0,0,(INT(MAX(0,Inputs!$B$44-B3105)/IF(Inputs!$B$39="pvp",15,MAX(0.1,Skills!D7-IF(Skills!E7=TRUE,4.0,0))))+1)),0)</f>
        <v/>
      </c>
      <c r="S3076">
        <f>IFERROR(O3076/N3076,0)</f>
        <v/>
      </c>
      <c r="T3076">
        <f>IF(C3076,(H3076*N3076*IF(AND(Inputs!$B$39&lt;&gt;"pvp",Inputs!$B$44&gt;0),((Skills!G7*((R3076-1)*IF(Skills!H7&gt;0,Skills!I7/Skills!H7,1)+IF(Skills!H7&gt;0,MIN(Skills!I7,MAX(0,MAX(0,Inputs!$B$44-B3105)-((R3076-1)*IF(Inputs!$B$39="pvp",15,MAX(0.1,Skills!D7-IF(Skills!E7=TRUE,4.0,0))))))/Skills!H7,1)))/Inputs!$B$44),G3076*Q3076))*IF(Inputs!$B$39="pvp",1,1+(Inputs!$B$21+0+Skills!P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Skills!E7=TRUE,4.0,0))))))/Skills!H7,1)))/Inputs!$B$44),G3076*Q3076))*IF(Inputs!$B$39="pvp",1,(1+(Inputs!$B$22+Skills!Q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IFERROR(1/IF(Inputs!$B$39="pvp",15,MAX(0.1,Skills!D9-IF(Skills!E9=TRUE,4.0,0))),0)</f>
        <v/>
      </c>
      <c r="R3078">
        <f>IF(AND(Inputs!$B$39&lt;&gt;"pvp",Inputs!$B$44&gt;0),IF(MAX(0,Inputs!$B$44-B3105)&lt;=0,0,(INT(MAX(0,Inputs!$B$44-B3105)/IF(Inputs!$B$39="pvp",15,MAX(0.1,Skills!D9-IF(Skills!E9=TRUE,4.0,0))))+1)),0)</f>
        <v/>
      </c>
      <c r="S3078">
        <f>IFERROR(O3078/N3078,0)</f>
        <v/>
      </c>
      <c r="T3078">
        <f>IF(C3078,(H3078*N3078*IF(AND(Inputs!$B$39&lt;&gt;"pvp",Inputs!$B$44&gt;0),((Skills!G9*((R3078-1)*IF(Skills!H9&gt;0,Skills!I9/Skills!H9,1)+IF(Skills!H9&gt;0,MIN(Skills!I9,MAX(0,MAX(0,Inputs!$B$44-B3105)-((R3078-1)*IF(Inputs!$B$39="pvp",15,MAX(0.1,Skills!D9-IF(Skills!E9=TRUE,4.0,0))))))/Skills!H9,1)))/Inputs!$B$44),G3078*Q3078))*IF(Inputs!$B$39="pvp",1,1+(Inputs!$B$21+0+Skills!P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Skills!E9=TRUE,4.0,0))))))/Skills!H9,1)))/Inputs!$B$44),G3078*Q3078))*IF(Inputs!$B$39="pvp",1,(1+(Inputs!$B$22+Skills!Q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IFERROR(1/IF(Inputs!$B$39="pvp",15,MAX(0.1,Skills!D10-IF(Skills!E10=TRUE,4.0,0))),0)</f>
        <v/>
      </c>
      <c r="R3079">
        <f>IF(AND(Inputs!$B$39&lt;&gt;"pvp",Inputs!$B$44&gt;0),IF(MAX(0,Inputs!$B$44-B3105)&lt;=0,0,(INT(MAX(0,Inputs!$B$44-B3105)/IF(Inputs!$B$39="pvp",15,MAX(0.1,Skills!D10-IF(Skills!E10=TRUE,4.0,0))))+1)),0)</f>
        <v/>
      </c>
      <c r="S3079">
        <f>IFERROR(O3079/N3079,0)</f>
        <v/>
      </c>
      <c r="T3079">
        <f>IF(C3079,(H3079*N3079*IF(AND(Inputs!$B$39&lt;&gt;"pvp",Inputs!$B$44&gt;0),((Skills!G10*((R3079-1)*IF(Skills!H10&gt;0,Skills!I10/Skills!H10,1)+IF(Skills!H10&gt;0,MIN(Skills!I10,MAX(0,MAX(0,Inputs!$B$44-B3105)-((R3079-1)*IF(Inputs!$B$39="pvp",15,MAX(0.1,Skills!D10-IF(Skills!E10=TRUE,4.0,0))))))/Skills!H10,1)))/Inputs!$B$44),G3079*Q3079))*IF(Inputs!$B$39="pvp",1,1+(Inputs!$B$21+0+Skills!P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Skills!E10=TRUE,4.0,0))))))/Skills!H10,1)))/Inputs!$B$44),G3079*Q3079))*IF(Inputs!$B$39="pvp",1,(1+(Inputs!$B$22+Skills!Q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IFERROR(1/IF(Inputs!$B$39="pvp",15,MAX(0.1,Skills!D12-IF(Skills!E12=TRUE,4.0,0))),0)</f>
        <v/>
      </c>
      <c r="R3081">
        <f>IF(AND(Inputs!$B$39&lt;&gt;"pvp",Inputs!$B$44&gt;0),IF(MAX(0,Inputs!$B$44-B3105)&lt;=0,0,(INT(MAX(0,Inputs!$B$44-B3105)/IF(Inputs!$B$39="pvp",15,MAX(0.1,Skills!D12-IF(Skills!E12=TRUE,4.0,0))))+1)),0)</f>
        <v/>
      </c>
      <c r="S3081">
        <f>IFERROR(O3081/N3081,0)</f>
        <v/>
      </c>
      <c r="T3081">
        <f>IF(C3081,(H3081*N3081*IF(AND(Inputs!$B$39&lt;&gt;"pvp",Inputs!$B$44&gt;0),((Skills!G12*((R3081-1)*IF(Skills!H12&gt;0,Skills!I12/Skills!H12,1)+IF(Skills!H12&gt;0,MIN(Skills!I12,MAX(0,MAX(0,Inputs!$B$44-B3105)-((R3081-1)*IF(Inputs!$B$39="pvp",15,MAX(0.1,Skills!D12-IF(Skills!E12=TRUE,4.0,0))))))/Skills!H12,1)))/Inputs!$B$44),G3081*Q3081))*IF(Inputs!$B$39="pvp",1,1+(Inputs!$B$21+0+Skills!P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Skills!E12=TRUE,4.0,0))))))/Skills!H12,1)))/Inputs!$B$44),G3081*Q3081))*IF(Inputs!$B$39="pvp",1,(1+(Inputs!$B$22+Skills!Q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IFERROR(1/IF(Inputs!$B$39="pvp",15,MAX(0.1,Skills!D13-IF(Skills!E13=TRUE,4.0,0))),0)</f>
        <v/>
      </c>
      <c r="R3082">
        <f>IF(AND(Inputs!$B$39&lt;&gt;"pvp",Inputs!$B$44&gt;0),IF(Inputs!$B$44&lt;=0,0,(INT(Inputs!$B$44/IF(Inputs!$B$39="pvp",15,MAX(0.1,Skills!D13-IF(Skills!E13=TRUE,4.0,0))))+1)),0)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IFERROR(1/IF(Inputs!$B$39="pvp",15,MAX(0.1,Skills!D14-IF(Skills!E14=TRUE,4.0,0))),0)</f>
        <v/>
      </c>
      <c r="R3083">
        <f>IF(AND(Inputs!$B$39&lt;&gt;"pvp",Inputs!$B$44&gt;0),IF(Inputs!$B$44&lt;=0,0,(INT(Inputs!$B$44/IF(Inputs!$B$39="pvp",15,MAX(0.1,Skills!D14-IF(Skills!E14=TRUE,4.0,0))))+1)),0)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IFERROR(1/IF(Inputs!$B$39="pvp",15,MAX(0.1,Skills!D15-IF(Skills!E15=TRUE,4.0,0))),0)</f>
        <v/>
      </c>
      <c r="R3084">
        <f>IF(AND(Inputs!$B$39&lt;&gt;"pvp",Inputs!$B$44&gt;0),IF(Inputs!$B$44&lt;=0,0,(INT(Inputs!$B$44/IF(Inputs!$B$39="pvp",15,MAX(0.1,Skills!D15-IF(Skills!E15=TRUE,4.0,0))))+1)),0)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IFERROR(1/IF(Inputs!$B$39="pvp",15,MAX(0.1,Skills!D16-IF(Skills!E16=TRUE,4.0,0))),0)</f>
        <v/>
      </c>
      <c r="R3085">
        <f>IF(AND(Inputs!$B$39&lt;&gt;"pvp",Inputs!$B$44&gt;0),IF(Inputs!$B$44&lt;=0,0,(INT(Inputs!$B$44/IF(Inputs!$B$39="pvp",15,MAX(0.1,Skills!D16-IF(Skills!E16=TRUE,4.0,0))))+1)),0)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IFERROR(1/IF(Inputs!$B$39="pvp",15,MAX(0.1,Skills!D17-IF(Skills!E17=TRUE,4.0,0))),0)</f>
        <v/>
      </c>
      <c r="R3086">
        <f>IF(AND(Inputs!$B$39&lt;&gt;"pvp",Inputs!$B$44&gt;0),IF(Inputs!$B$44&lt;=0,0,(INT(Inputs!$B$44/IF(Inputs!$B$39="pvp",15,MAX(0.1,Skills!D17-IF(Skills!E17=TRUE,4.0,0))))+1)),0)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IFERROR(1/IF(Inputs!$B$39="pvp",15,MAX(0.1,Skills!D18-IF(Skills!E18=TRUE,4.0,0))),0)</f>
        <v/>
      </c>
      <c r="R3087">
        <f>IF(AND(Inputs!$B$39&lt;&gt;"pvp",Inputs!$B$44&gt;0),IF(Inputs!$B$44&lt;=0,0,(INT(Inputs!$B$44/IF(Inputs!$B$39="pvp",15,MAX(0.1,Skills!D18-IF(Skills!E18=TRUE,4.0,0))))+1)),0)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IFERROR(1/IF(Inputs!$B$39="pvp",15,MAX(0.1,Skills!D19-IF(Skills!E19=TRUE,4.0,0))),0)</f>
        <v/>
      </c>
      <c r="R3088">
        <f>IF(AND(Inputs!$B$39&lt;&gt;"pvp",Inputs!$B$44&gt;0),IF(Inputs!$B$44&lt;=0,0,(INT(Inputs!$B$44/IF(Inputs!$B$39="pvp",15,MAX(0.1,Skills!D19-IF(Skills!E19=TRUE,4.0,0))))+1)),0)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IFERROR(1/IF(Inputs!$B$39="pvp",15,MAX(0.1,Skills!D20-IF(Skills!E20=TRUE,4.0,0))),0)</f>
        <v/>
      </c>
      <c r="R3089">
        <f>IF(AND(Inputs!$B$39&lt;&gt;"pvp",Inputs!$B$44&gt;0),IF(Inputs!$B$44&lt;=0,0,(INT(Inputs!$B$44/IF(Inputs!$B$39="pvp",15,MAX(0.1,Skills!D20-IF(Skills!E20=TRUE,4.0,0))))+1)),0)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Skills!T18*(1+Inputs!$B$35/100))+MIN((Skills!T18*(1+Inputs!$B$35/100)),MAX(0,Inputs!$B$44-((R3087-1)*Skills!D18))))/Inputs!$B$44),IF(Inputs!$B$39="pvp",MIN((Skills!T18*(1+Inputs!$B$35/100)),15)/15,(Skills!T18*(1+Inputs!$B$35/100))/Skills!D18)))</f>
        <v/>
      </c>
    </row>
    <row r="3099">
      <c r="A3099" t="inlineStr">
        <is>
          <t>Attack Speed Buff Bonus %</t>
        </is>
      </c>
      <c r="B3099">
        <f>((C3089=TRUE)*F3089*IF(AND(Inputs!$B$39&lt;&gt;"pvp",Inputs!$B$44&gt;0),(((R3089-1)*(Skills!T20*(1+Inputs!$B$35/100))+MIN((Skills!T20*(1+Inputs!$B$35/100)),MAX(0,Inputs!$B$44-((R3089-1)*Skills!D20))))/Inputs!$B$44),IF(Inputs!$B$39="pvp",MIN((Skills!T20*(1+Inputs!$B$35/100)),15)/15,(Skills!T20*(1+Inputs!$B$35/100))/Skills!D20)))</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Skills!T19*(1+Inputs!$B$35/100))+MIN((Skills!T19*(1+Inputs!$B$35/100)),MAX(0,Inputs!$B$44-((R3088-1)*Skills!D19))))/Inputs!$B$44),IF(Inputs!$B$39="pvp",MIN((Skills!T19*(1+Inputs!$B$35/100)),15)/15,(Skills!T19*(1+Inputs!$B$35/100))/Skills!D19)))</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IFERROR(1/IF(Inputs!$B$39="pvp",15,MAX(0.1,Skills!D5-IF(Skills!E5=TRUE,4.5,0))),0)</f>
        <v/>
      </c>
      <c r="R3116">
        <f>IF(AND(Inputs!$B$39&lt;&gt;"pvp",Inputs!$B$44&gt;0),IF(MAX(0,Inputs!$B$44-B3147)&lt;=0,0,(INT(MAX(0,Inputs!$B$44-B3147)/IF(Inputs!$B$39="pvp",15,MAX(0.1,Skills!D5-IF(Skills!E5=TRUE,4.5,0))))+1)),0)</f>
        <v/>
      </c>
      <c r="S3116">
        <f>IFERROR(O3116/N3116,0)</f>
        <v/>
      </c>
      <c r="T3116">
        <f>IF(C3116,(H3116*N3116*IF(AND(Inputs!$B$39&lt;&gt;"pvp",Inputs!$B$44&gt;0),((Skills!G5*((R3116-1)*IF(Skills!H5&gt;0,Skills!I5/Skills!H5,1)+IF(Skills!H5&gt;0,MIN(Skills!I5,MAX(0,MAX(0,Inputs!$B$44-B3147)-((R3116-1)*IF(Inputs!$B$39="pvp",15,MAX(0.1,Skills!D5-IF(Skills!E5=TRUE,4.5,0))))))/Skills!H5,1)))/Inputs!$B$44),G3116*Q3116))*IF(Inputs!$B$39="pvp",1,1+(Inputs!$B$21+0+Skills!P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Skills!E5=TRUE,4.5,0))))))/Skills!H5,1)))/Inputs!$B$44),G3116*Q3116))*IF(Inputs!$B$39="pvp",1,(1+(Inputs!$B$22+Skills!Q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IFERROR(1/IF(Inputs!$B$39="pvp",15,MAX(0.1,Skills!D6-IF(Skills!E6=TRUE,4.5,0))),0)</f>
        <v/>
      </c>
      <c r="R3117">
        <f>IF(AND(Inputs!$B$39&lt;&gt;"pvp",Inputs!$B$44&gt;0),IF(MAX(0,Inputs!$B$44-B3147)&lt;=0,0,(INT(MAX(0,Inputs!$B$44-B3147)/IF(Inputs!$B$39="pvp",15,MAX(0.1,Skills!D6-IF(Skills!E6=TRUE,4.5,0))))+1)),0)</f>
        <v/>
      </c>
      <c r="S3117">
        <f>IFERROR(O3117/N3117,0)</f>
        <v/>
      </c>
      <c r="T3117">
        <f>IF(C3117,(H3117*N3117*IF(AND(Inputs!$B$39&lt;&gt;"pvp",Inputs!$B$44&gt;0),((Skills!G6*((R3117-1)*IF(Skills!H6&gt;0,Skills!I6/Skills!H6,1)+IF(Skills!H6&gt;0,MIN(Skills!I6,MAX(0,MAX(0,Inputs!$B$44-B3147)-((R3117-1)*IF(Inputs!$B$39="pvp",15,MAX(0.1,Skills!D6-IF(Skills!E6=TRUE,4.5,0))))))/Skills!H6,1)))/Inputs!$B$44),G3117*Q3117))*IF(Inputs!$B$39="pvp",1,1+(Inputs!$B$21+0+Skills!P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Skills!E6=TRUE,4.5,0))))))/Skills!H6,1)))/Inputs!$B$44),G3117*Q3117))*IF(Inputs!$B$39="pvp",1,(1+(Inputs!$B$22+Skills!Q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IFERROR(1/IF(Inputs!$B$39="pvp",15,MAX(0.1,Skills!D7-IF(Skills!E7=TRUE,4.5,0))),0)</f>
        <v/>
      </c>
      <c r="R3118">
        <f>IF(AND(Inputs!$B$39&lt;&gt;"pvp",Inputs!$B$44&gt;0),IF(MAX(0,Inputs!$B$44-B3147)&lt;=0,0,(INT(MAX(0,Inputs!$B$44-B3147)/IF(Inputs!$B$39="pvp",15,MAX(0.1,Skills!D7-IF(Skills!E7=TRUE,4.5,0))))+1)),0)</f>
        <v/>
      </c>
      <c r="S3118">
        <f>IFERROR(O3118/N3118,0)</f>
        <v/>
      </c>
      <c r="T3118">
        <f>IF(C3118,(H3118*N3118*IF(AND(Inputs!$B$39&lt;&gt;"pvp",Inputs!$B$44&gt;0),((Skills!G7*((R3118-1)*IF(Skills!H7&gt;0,Skills!I7/Skills!H7,1)+IF(Skills!H7&gt;0,MIN(Skills!I7,MAX(0,MAX(0,Inputs!$B$44-B3147)-((R3118-1)*IF(Inputs!$B$39="pvp",15,MAX(0.1,Skills!D7-IF(Skills!E7=TRUE,4.5,0))))))/Skills!H7,1)))/Inputs!$B$44),G3118*Q3118))*IF(Inputs!$B$39="pvp",1,1+(Inputs!$B$21+0+Skills!P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Skills!E7=TRUE,4.5,0))))))/Skills!H7,1)))/Inputs!$B$44),G3118*Q3118))*IF(Inputs!$B$39="pvp",1,(1+(Inputs!$B$22+Skills!Q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IFERROR(1/IF(Inputs!$B$39="pvp",15,MAX(0.1,Skills!D9-IF(Skills!E9=TRUE,4.5,0))),0)</f>
        <v/>
      </c>
      <c r="R3120">
        <f>IF(AND(Inputs!$B$39&lt;&gt;"pvp",Inputs!$B$44&gt;0),IF(MAX(0,Inputs!$B$44-B3147)&lt;=0,0,(INT(MAX(0,Inputs!$B$44-B3147)/IF(Inputs!$B$39="pvp",15,MAX(0.1,Skills!D9-IF(Skills!E9=TRUE,4.5,0))))+1)),0)</f>
        <v/>
      </c>
      <c r="S3120">
        <f>IFERROR(O3120/N3120,0)</f>
        <v/>
      </c>
      <c r="T3120">
        <f>IF(C3120,(H3120*N3120*IF(AND(Inputs!$B$39&lt;&gt;"pvp",Inputs!$B$44&gt;0),((Skills!G9*((R3120-1)*IF(Skills!H9&gt;0,Skills!I9/Skills!H9,1)+IF(Skills!H9&gt;0,MIN(Skills!I9,MAX(0,MAX(0,Inputs!$B$44-B3147)-((R3120-1)*IF(Inputs!$B$39="pvp",15,MAX(0.1,Skills!D9-IF(Skills!E9=TRUE,4.5,0))))))/Skills!H9,1)))/Inputs!$B$44),G3120*Q3120))*IF(Inputs!$B$39="pvp",1,1+(Inputs!$B$21+0+Skills!P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Skills!E9=TRUE,4.5,0))))))/Skills!H9,1)))/Inputs!$B$44),G3120*Q3120))*IF(Inputs!$B$39="pvp",1,(1+(Inputs!$B$22+Skills!Q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IFERROR(1/IF(Inputs!$B$39="pvp",15,MAX(0.1,Skills!D10-IF(Skills!E10=TRUE,4.5,0))),0)</f>
        <v/>
      </c>
      <c r="R3121">
        <f>IF(AND(Inputs!$B$39&lt;&gt;"pvp",Inputs!$B$44&gt;0),IF(MAX(0,Inputs!$B$44-B3147)&lt;=0,0,(INT(MAX(0,Inputs!$B$44-B3147)/IF(Inputs!$B$39="pvp",15,MAX(0.1,Skills!D10-IF(Skills!E10=TRUE,4.5,0))))+1)),0)</f>
        <v/>
      </c>
      <c r="S3121">
        <f>IFERROR(O3121/N3121,0)</f>
        <v/>
      </c>
      <c r="T3121">
        <f>IF(C3121,(H3121*N3121*IF(AND(Inputs!$B$39&lt;&gt;"pvp",Inputs!$B$44&gt;0),((Skills!G10*((R3121-1)*IF(Skills!H10&gt;0,Skills!I10/Skills!H10,1)+IF(Skills!H10&gt;0,MIN(Skills!I10,MAX(0,MAX(0,Inputs!$B$44-B3147)-((R3121-1)*IF(Inputs!$B$39="pvp",15,MAX(0.1,Skills!D10-IF(Skills!E10=TRUE,4.5,0))))))/Skills!H10,1)))/Inputs!$B$44),G3121*Q3121))*IF(Inputs!$B$39="pvp",1,1+(Inputs!$B$21+0+Skills!P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Skills!E10=TRUE,4.5,0))))))/Skills!H10,1)))/Inputs!$B$44),G3121*Q3121))*IF(Inputs!$B$39="pvp",1,(1+(Inputs!$B$22+Skills!Q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IFERROR(1/IF(Inputs!$B$39="pvp",15,MAX(0.1,Skills!D12-IF(Skills!E12=TRUE,4.5,0))),0)</f>
        <v/>
      </c>
      <c r="R3123">
        <f>IF(AND(Inputs!$B$39&lt;&gt;"pvp",Inputs!$B$44&gt;0),IF(MAX(0,Inputs!$B$44-B3147)&lt;=0,0,(INT(MAX(0,Inputs!$B$44-B3147)/IF(Inputs!$B$39="pvp",15,MAX(0.1,Skills!D12-IF(Skills!E12=TRUE,4.5,0))))+1)),0)</f>
        <v/>
      </c>
      <c r="S3123">
        <f>IFERROR(O3123/N3123,0)</f>
        <v/>
      </c>
      <c r="T3123">
        <f>IF(C3123,(H3123*N3123*IF(AND(Inputs!$B$39&lt;&gt;"pvp",Inputs!$B$44&gt;0),((Skills!G12*((R3123-1)*IF(Skills!H12&gt;0,Skills!I12/Skills!H12,1)+IF(Skills!H12&gt;0,MIN(Skills!I12,MAX(0,MAX(0,Inputs!$B$44-B3147)-((R3123-1)*IF(Inputs!$B$39="pvp",15,MAX(0.1,Skills!D12-IF(Skills!E12=TRUE,4.5,0))))))/Skills!H12,1)))/Inputs!$B$44),G3123*Q3123))*IF(Inputs!$B$39="pvp",1,1+(Inputs!$B$21+0+Skills!P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Skills!E12=TRUE,4.5,0))))))/Skills!H12,1)))/Inputs!$B$44),G3123*Q3123))*IF(Inputs!$B$39="pvp",1,(1+(Inputs!$B$22+Skills!Q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IFERROR(1/IF(Inputs!$B$39="pvp",15,MAX(0.1,Skills!D13-IF(Skills!E13=TRUE,4.5,0))),0)</f>
        <v/>
      </c>
      <c r="R3124">
        <f>IF(AND(Inputs!$B$39&lt;&gt;"pvp",Inputs!$B$44&gt;0),IF(Inputs!$B$44&lt;=0,0,(INT(Inputs!$B$44/IF(Inputs!$B$39="pvp",15,MAX(0.1,Skills!D13-IF(Skills!E13=TRUE,4.5,0))))+1)),0)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IFERROR(1/IF(Inputs!$B$39="pvp",15,MAX(0.1,Skills!D14-IF(Skills!E14=TRUE,4.5,0))),0)</f>
        <v/>
      </c>
      <c r="R3125">
        <f>IF(AND(Inputs!$B$39&lt;&gt;"pvp",Inputs!$B$44&gt;0),IF(Inputs!$B$44&lt;=0,0,(INT(Inputs!$B$44/IF(Inputs!$B$39="pvp",15,MAX(0.1,Skills!D14-IF(Skills!E14=TRUE,4.5,0))))+1)),0)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IFERROR(1/IF(Inputs!$B$39="pvp",15,MAX(0.1,Skills!D15-IF(Skills!E15=TRUE,4.5,0))),0)</f>
        <v/>
      </c>
      <c r="R3126">
        <f>IF(AND(Inputs!$B$39&lt;&gt;"pvp",Inputs!$B$44&gt;0),IF(Inputs!$B$44&lt;=0,0,(INT(Inputs!$B$44/IF(Inputs!$B$39="pvp",15,MAX(0.1,Skills!D15-IF(Skills!E15=TRUE,4.5,0))))+1)),0)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IFERROR(1/IF(Inputs!$B$39="pvp",15,MAX(0.1,Skills!D16-IF(Skills!E16=TRUE,4.5,0))),0)</f>
        <v/>
      </c>
      <c r="R3127">
        <f>IF(AND(Inputs!$B$39&lt;&gt;"pvp",Inputs!$B$44&gt;0),IF(Inputs!$B$44&lt;=0,0,(INT(Inputs!$B$44/IF(Inputs!$B$39="pvp",15,MAX(0.1,Skills!D16-IF(Skills!E16=TRUE,4.5,0))))+1)),0)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IFERROR(1/IF(Inputs!$B$39="pvp",15,MAX(0.1,Skills!D17-IF(Skills!E17=TRUE,4.5,0))),0)</f>
        <v/>
      </c>
      <c r="R3128">
        <f>IF(AND(Inputs!$B$39&lt;&gt;"pvp",Inputs!$B$44&gt;0),IF(Inputs!$B$44&lt;=0,0,(INT(Inputs!$B$44/IF(Inputs!$B$39="pvp",15,MAX(0.1,Skills!D17-IF(Skills!E17=TRUE,4.5,0))))+1)),0)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IFERROR(1/IF(Inputs!$B$39="pvp",15,MAX(0.1,Skills!D18-IF(Skills!E18=TRUE,4.5,0))),0)</f>
        <v/>
      </c>
      <c r="R3129">
        <f>IF(AND(Inputs!$B$39&lt;&gt;"pvp",Inputs!$B$44&gt;0),IF(Inputs!$B$44&lt;=0,0,(INT(Inputs!$B$44/IF(Inputs!$B$39="pvp",15,MAX(0.1,Skills!D18-IF(Skills!E18=TRUE,4.5,0))))+1)),0)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IFERROR(1/IF(Inputs!$B$39="pvp",15,MAX(0.1,Skills!D19-IF(Skills!E19=TRUE,4.5,0))),0)</f>
        <v/>
      </c>
      <c r="R3130">
        <f>IF(AND(Inputs!$B$39&lt;&gt;"pvp",Inputs!$B$44&gt;0),IF(Inputs!$B$44&lt;=0,0,(INT(Inputs!$B$44/IF(Inputs!$B$39="pvp",15,MAX(0.1,Skills!D19-IF(Skills!E19=TRUE,4.5,0))))+1)),0)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IFERROR(1/IF(Inputs!$B$39="pvp",15,MAX(0.1,Skills!D20-IF(Skills!E20=TRUE,4.5,0))),0)</f>
        <v/>
      </c>
      <c r="R3131">
        <f>IF(AND(Inputs!$B$39&lt;&gt;"pvp",Inputs!$B$44&gt;0),IF(Inputs!$B$44&lt;=0,0,(INT(Inputs!$B$44/IF(Inputs!$B$39="pvp",15,MAX(0.1,Skills!D20-IF(Skills!E20=TRUE,4.5,0))))+1)),0)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Skills!T18*(1+Inputs!$B$35/100))+MIN((Skills!T18*(1+Inputs!$B$35/100)),MAX(0,Inputs!$B$44-((R3129-1)*Skills!D18))))/Inputs!$B$44),IF(Inputs!$B$39="pvp",MIN((Skills!T18*(1+Inputs!$B$35/100)),15)/15,(Skills!T18*(1+Inputs!$B$35/100))/Skills!D18)))</f>
        <v/>
      </c>
    </row>
    <row r="3141">
      <c r="A3141" t="inlineStr">
        <is>
          <t>Attack Speed Buff Bonus %</t>
        </is>
      </c>
      <c r="B3141">
        <f>((C3131=TRUE)*F3131*IF(AND(Inputs!$B$39&lt;&gt;"pvp",Inputs!$B$44&gt;0),(((R3131-1)*(Skills!T20*(1+Inputs!$B$35/100))+MIN((Skills!T20*(1+Inputs!$B$35/100)),MAX(0,Inputs!$B$44-((R3131-1)*Skills!D20))))/Inputs!$B$44),IF(Inputs!$B$39="pvp",MIN((Skills!T20*(1+Inputs!$B$35/100)),15)/15,(Skills!T20*(1+Inputs!$B$35/100))/Skills!D20)))</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Skills!T19*(1+Inputs!$B$35/100))+MIN((Skills!T19*(1+Inputs!$B$35/100)),MAX(0,Inputs!$B$44-((R3130-1)*Skills!D19))))/Inputs!$B$44),IF(Inputs!$B$39="pvp",MIN((Skills!T19*(1+Inputs!$B$35/100)),15)/15,(Skills!T19*(1+Inputs!$B$35/100))/Skills!D19)))</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IFERROR(1/IF(Inputs!$B$39="pvp",15,MAX(0.1,Skills!D5-IF(Skills!E5=TRUE,5.0,0))),0)</f>
        <v/>
      </c>
      <c r="R3158">
        <f>IF(AND(Inputs!$B$39&lt;&gt;"pvp",Inputs!$B$44&gt;0),IF(MAX(0,Inputs!$B$44-B3189)&lt;=0,0,(INT(MAX(0,Inputs!$B$44-B3189)/IF(Inputs!$B$39="pvp",15,MAX(0.1,Skills!D5-IF(Skills!E5=TRUE,5.0,0))))+1)),0)</f>
        <v/>
      </c>
      <c r="S3158">
        <f>IFERROR(O3158/N3158,0)</f>
        <v/>
      </c>
      <c r="T3158">
        <f>IF(C3158,(H3158*N3158*IF(AND(Inputs!$B$39&lt;&gt;"pvp",Inputs!$B$44&gt;0),((Skills!G5*((R3158-1)*IF(Skills!H5&gt;0,Skills!I5/Skills!H5,1)+IF(Skills!H5&gt;0,MIN(Skills!I5,MAX(0,MAX(0,Inputs!$B$44-B3189)-((R3158-1)*IF(Inputs!$B$39="pvp",15,MAX(0.1,Skills!D5-IF(Skills!E5=TRUE,5.0,0))))))/Skills!H5,1)))/Inputs!$B$44),G3158*Q3158))*IF(Inputs!$B$39="pvp",1,1+(Inputs!$B$21+0+Skills!P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Skills!E5=TRUE,5.0,0))))))/Skills!H5,1)))/Inputs!$B$44),G3158*Q3158))*IF(Inputs!$B$39="pvp",1,(1+(Inputs!$B$22+Skills!Q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IFERROR(1/IF(Inputs!$B$39="pvp",15,MAX(0.1,Skills!D6-IF(Skills!E6=TRUE,5.0,0))),0)</f>
        <v/>
      </c>
      <c r="R3159">
        <f>IF(AND(Inputs!$B$39&lt;&gt;"pvp",Inputs!$B$44&gt;0),IF(MAX(0,Inputs!$B$44-B3189)&lt;=0,0,(INT(MAX(0,Inputs!$B$44-B3189)/IF(Inputs!$B$39="pvp",15,MAX(0.1,Skills!D6-IF(Skills!E6=TRUE,5.0,0))))+1)),0)</f>
        <v/>
      </c>
      <c r="S3159">
        <f>IFERROR(O3159/N3159,0)</f>
        <v/>
      </c>
      <c r="T3159">
        <f>IF(C3159,(H3159*N3159*IF(AND(Inputs!$B$39&lt;&gt;"pvp",Inputs!$B$44&gt;0),((Skills!G6*((R3159-1)*IF(Skills!H6&gt;0,Skills!I6/Skills!H6,1)+IF(Skills!H6&gt;0,MIN(Skills!I6,MAX(0,MAX(0,Inputs!$B$44-B3189)-((R3159-1)*IF(Inputs!$B$39="pvp",15,MAX(0.1,Skills!D6-IF(Skills!E6=TRUE,5.0,0))))))/Skills!H6,1)))/Inputs!$B$44),G3159*Q3159))*IF(Inputs!$B$39="pvp",1,1+(Inputs!$B$21+0+Skills!P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Skills!E6=TRUE,5.0,0))))))/Skills!H6,1)))/Inputs!$B$44),G3159*Q3159))*IF(Inputs!$B$39="pvp",1,(1+(Inputs!$B$22+Skills!Q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IFERROR(1/IF(Inputs!$B$39="pvp",15,MAX(0.1,Skills!D7-IF(Skills!E7=TRUE,5.0,0))),0)</f>
        <v/>
      </c>
      <c r="R3160">
        <f>IF(AND(Inputs!$B$39&lt;&gt;"pvp",Inputs!$B$44&gt;0),IF(MAX(0,Inputs!$B$44-B3189)&lt;=0,0,(INT(MAX(0,Inputs!$B$44-B3189)/IF(Inputs!$B$39="pvp",15,MAX(0.1,Skills!D7-IF(Skills!E7=TRUE,5.0,0))))+1)),0)</f>
        <v/>
      </c>
      <c r="S3160">
        <f>IFERROR(O3160/N3160,0)</f>
        <v/>
      </c>
      <c r="T3160">
        <f>IF(C3160,(H3160*N3160*IF(AND(Inputs!$B$39&lt;&gt;"pvp",Inputs!$B$44&gt;0),((Skills!G7*((R3160-1)*IF(Skills!H7&gt;0,Skills!I7/Skills!H7,1)+IF(Skills!H7&gt;0,MIN(Skills!I7,MAX(0,MAX(0,Inputs!$B$44-B3189)-((R3160-1)*IF(Inputs!$B$39="pvp",15,MAX(0.1,Skills!D7-IF(Skills!E7=TRUE,5.0,0))))))/Skills!H7,1)))/Inputs!$B$44),G3160*Q3160))*IF(Inputs!$B$39="pvp",1,1+(Inputs!$B$21+0+Skills!P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Skills!E7=TRUE,5.0,0))))))/Skills!H7,1)))/Inputs!$B$44),G3160*Q3160))*IF(Inputs!$B$39="pvp",1,(1+(Inputs!$B$22+Skills!Q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IFERROR(1/IF(Inputs!$B$39="pvp",15,MAX(0.1,Skills!D9-IF(Skills!E9=TRUE,5.0,0))),0)</f>
        <v/>
      </c>
      <c r="R3162">
        <f>IF(AND(Inputs!$B$39&lt;&gt;"pvp",Inputs!$B$44&gt;0),IF(MAX(0,Inputs!$B$44-B3189)&lt;=0,0,(INT(MAX(0,Inputs!$B$44-B3189)/IF(Inputs!$B$39="pvp",15,MAX(0.1,Skills!D9-IF(Skills!E9=TRUE,5.0,0))))+1)),0)</f>
        <v/>
      </c>
      <c r="S3162">
        <f>IFERROR(O3162/N3162,0)</f>
        <v/>
      </c>
      <c r="T3162">
        <f>IF(C3162,(H3162*N3162*IF(AND(Inputs!$B$39&lt;&gt;"pvp",Inputs!$B$44&gt;0),((Skills!G9*((R3162-1)*IF(Skills!H9&gt;0,Skills!I9/Skills!H9,1)+IF(Skills!H9&gt;0,MIN(Skills!I9,MAX(0,MAX(0,Inputs!$B$44-B3189)-((R3162-1)*IF(Inputs!$B$39="pvp",15,MAX(0.1,Skills!D9-IF(Skills!E9=TRUE,5.0,0))))))/Skills!H9,1)))/Inputs!$B$44),G3162*Q3162))*IF(Inputs!$B$39="pvp",1,1+(Inputs!$B$21+0+Skills!P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Skills!E9=TRUE,5.0,0))))))/Skills!H9,1)))/Inputs!$B$44),G3162*Q3162))*IF(Inputs!$B$39="pvp",1,(1+(Inputs!$B$22+Skills!Q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IFERROR(1/IF(Inputs!$B$39="pvp",15,MAX(0.1,Skills!D10-IF(Skills!E10=TRUE,5.0,0))),0)</f>
        <v/>
      </c>
      <c r="R3163">
        <f>IF(AND(Inputs!$B$39&lt;&gt;"pvp",Inputs!$B$44&gt;0),IF(MAX(0,Inputs!$B$44-B3189)&lt;=0,0,(INT(MAX(0,Inputs!$B$44-B3189)/IF(Inputs!$B$39="pvp",15,MAX(0.1,Skills!D10-IF(Skills!E10=TRUE,5.0,0))))+1)),0)</f>
        <v/>
      </c>
      <c r="S3163">
        <f>IFERROR(O3163/N3163,0)</f>
        <v/>
      </c>
      <c r="T3163">
        <f>IF(C3163,(H3163*N3163*IF(AND(Inputs!$B$39&lt;&gt;"pvp",Inputs!$B$44&gt;0),((Skills!G10*((R3163-1)*IF(Skills!H10&gt;0,Skills!I10/Skills!H10,1)+IF(Skills!H10&gt;0,MIN(Skills!I10,MAX(0,MAX(0,Inputs!$B$44-B3189)-((R3163-1)*IF(Inputs!$B$39="pvp",15,MAX(0.1,Skills!D10-IF(Skills!E10=TRUE,5.0,0))))))/Skills!H10,1)))/Inputs!$B$44),G3163*Q3163))*IF(Inputs!$B$39="pvp",1,1+(Inputs!$B$21+0+Skills!P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Skills!E10=TRUE,5.0,0))))))/Skills!H10,1)))/Inputs!$B$44),G3163*Q3163))*IF(Inputs!$B$39="pvp",1,(1+(Inputs!$B$22+Skills!Q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IFERROR(1/IF(Inputs!$B$39="pvp",15,MAX(0.1,Skills!D12-IF(Skills!E12=TRUE,5.0,0))),0)</f>
        <v/>
      </c>
      <c r="R3165">
        <f>IF(AND(Inputs!$B$39&lt;&gt;"pvp",Inputs!$B$44&gt;0),IF(MAX(0,Inputs!$B$44-B3189)&lt;=0,0,(INT(MAX(0,Inputs!$B$44-B3189)/IF(Inputs!$B$39="pvp",15,MAX(0.1,Skills!D12-IF(Skills!E12=TRUE,5.0,0))))+1)),0)</f>
        <v/>
      </c>
      <c r="S3165">
        <f>IFERROR(O3165/N3165,0)</f>
        <v/>
      </c>
      <c r="T3165">
        <f>IF(C3165,(H3165*N3165*IF(AND(Inputs!$B$39&lt;&gt;"pvp",Inputs!$B$44&gt;0),((Skills!G12*((R3165-1)*IF(Skills!H12&gt;0,Skills!I12/Skills!H12,1)+IF(Skills!H12&gt;0,MIN(Skills!I12,MAX(0,MAX(0,Inputs!$B$44-B3189)-((R3165-1)*IF(Inputs!$B$39="pvp",15,MAX(0.1,Skills!D12-IF(Skills!E12=TRUE,5.0,0))))))/Skills!H12,1)))/Inputs!$B$44),G3165*Q3165))*IF(Inputs!$B$39="pvp",1,1+(Inputs!$B$21+0+Skills!P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Skills!E12=TRUE,5.0,0))))))/Skills!H12,1)))/Inputs!$B$44),G3165*Q3165))*IF(Inputs!$B$39="pvp",1,(1+(Inputs!$B$22+Skills!Q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IFERROR(1/IF(Inputs!$B$39="pvp",15,MAX(0.1,Skills!D13-IF(Skills!E13=TRUE,5.0,0))),0)</f>
        <v/>
      </c>
      <c r="R3166">
        <f>IF(AND(Inputs!$B$39&lt;&gt;"pvp",Inputs!$B$44&gt;0),IF(Inputs!$B$44&lt;=0,0,(INT(Inputs!$B$44/IF(Inputs!$B$39="pvp",15,MAX(0.1,Skills!D13-IF(Skills!E13=TRUE,5.0,0))))+1)),0)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IFERROR(1/IF(Inputs!$B$39="pvp",15,MAX(0.1,Skills!D14-IF(Skills!E14=TRUE,5.0,0))),0)</f>
        <v/>
      </c>
      <c r="R3167">
        <f>IF(AND(Inputs!$B$39&lt;&gt;"pvp",Inputs!$B$44&gt;0),IF(Inputs!$B$44&lt;=0,0,(INT(Inputs!$B$44/IF(Inputs!$B$39="pvp",15,MAX(0.1,Skills!D14-IF(Skills!E14=TRUE,5.0,0))))+1)),0)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IFERROR(1/IF(Inputs!$B$39="pvp",15,MAX(0.1,Skills!D15-IF(Skills!E15=TRUE,5.0,0))),0)</f>
        <v/>
      </c>
      <c r="R3168">
        <f>IF(AND(Inputs!$B$39&lt;&gt;"pvp",Inputs!$B$44&gt;0),IF(Inputs!$B$44&lt;=0,0,(INT(Inputs!$B$44/IF(Inputs!$B$39="pvp",15,MAX(0.1,Skills!D15-IF(Skills!E15=TRUE,5.0,0))))+1)),0)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IFERROR(1/IF(Inputs!$B$39="pvp",15,MAX(0.1,Skills!D16-IF(Skills!E16=TRUE,5.0,0))),0)</f>
        <v/>
      </c>
      <c r="R3169">
        <f>IF(AND(Inputs!$B$39&lt;&gt;"pvp",Inputs!$B$44&gt;0),IF(Inputs!$B$44&lt;=0,0,(INT(Inputs!$B$44/IF(Inputs!$B$39="pvp",15,MAX(0.1,Skills!D16-IF(Skills!E16=TRUE,5.0,0))))+1)),0)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IFERROR(1/IF(Inputs!$B$39="pvp",15,MAX(0.1,Skills!D17-IF(Skills!E17=TRUE,5.0,0))),0)</f>
        <v/>
      </c>
      <c r="R3170">
        <f>IF(AND(Inputs!$B$39&lt;&gt;"pvp",Inputs!$B$44&gt;0),IF(Inputs!$B$44&lt;=0,0,(INT(Inputs!$B$44/IF(Inputs!$B$39="pvp",15,MAX(0.1,Skills!D17-IF(Skills!E17=TRUE,5.0,0))))+1)),0)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IFERROR(1/IF(Inputs!$B$39="pvp",15,MAX(0.1,Skills!D18-IF(Skills!E18=TRUE,5.0,0))),0)</f>
        <v/>
      </c>
      <c r="R3171">
        <f>IF(AND(Inputs!$B$39&lt;&gt;"pvp",Inputs!$B$44&gt;0),IF(Inputs!$B$44&lt;=0,0,(INT(Inputs!$B$44/IF(Inputs!$B$39="pvp",15,MAX(0.1,Skills!D18-IF(Skills!E18=TRUE,5.0,0))))+1)),0)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IFERROR(1/IF(Inputs!$B$39="pvp",15,MAX(0.1,Skills!D19-IF(Skills!E19=TRUE,5.0,0))),0)</f>
        <v/>
      </c>
      <c r="R3172">
        <f>IF(AND(Inputs!$B$39&lt;&gt;"pvp",Inputs!$B$44&gt;0),IF(Inputs!$B$44&lt;=0,0,(INT(Inputs!$B$44/IF(Inputs!$B$39="pvp",15,MAX(0.1,Skills!D19-IF(Skills!E19=TRUE,5.0,0))))+1)),0)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IFERROR(1/IF(Inputs!$B$39="pvp",15,MAX(0.1,Skills!D20-IF(Skills!E20=TRUE,5.0,0))),0)</f>
        <v/>
      </c>
      <c r="R3173">
        <f>IF(AND(Inputs!$B$39&lt;&gt;"pvp",Inputs!$B$44&gt;0),IF(Inputs!$B$44&lt;=0,0,(INT(Inputs!$B$44/IF(Inputs!$B$39="pvp",15,MAX(0.1,Skills!D20-IF(Skills!E20=TRUE,5.0,0))))+1)),0)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Skills!T18*(1+Inputs!$B$35/100))+MIN((Skills!T18*(1+Inputs!$B$35/100)),MAX(0,Inputs!$B$44-((R3171-1)*Skills!D18))))/Inputs!$B$44),IF(Inputs!$B$39="pvp",MIN((Skills!T18*(1+Inputs!$B$35/100)),15)/15,(Skills!T18*(1+Inputs!$B$35/100))/Skills!D18)))</f>
        <v/>
      </c>
    </row>
    <row r="3183">
      <c r="A3183" t="inlineStr">
        <is>
          <t>Attack Speed Buff Bonus %</t>
        </is>
      </c>
      <c r="B3183">
        <f>((C3173=TRUE)*F3173*IF(AND(Inputs!$B$39&lt;&gt;"pvp",Inputs!$B$44&gt;0),(((R3173-1)*(Skills!T20*(1+Inputs!$B$35/100))+MIN((Skills!T20*(1+Inputs!$B$35/100)),MAX(0,Inputs!$B$44-((R3173-1)*Skills!D20))))/Inputs!$B$44),IF(Inputs!$B$39="pvp",MIN((Skills!T20*(1+Inputs!$B$35/100)),15)/15,(Skills!T20*(1+Inputs!$B$35/100))/Skills!D20)))</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Skills!T19*(1+Inputs!$B$35/100))+MIN((Skills!T19*(1+Inputs!$B$35/100)),MAX(0,Inputs!$B$44-((R3172-1)*Skills!D19))))/Inputs!$B$44),IF(Inputs!$B$39="pvp",MIN((Skills!T19*(1+Inputs!$B$35/100)),15)/15,(Skills!T19*(1+Inputs!$B$35/100))/Skills!D19)))</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Dark Knight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C5*Sensitivity!H28</f>
        <v/>
      </c>
      <c r="E5">
        <f>SUMIF($B$5:$B$10,B5,$D$5:$D$10)</f>
        <v/>
      </c>
      <c r="F5">
        <f>TRUE</f>
        <v/>
      </c>
      <c r="G5">
        <f>IF(NOT(F5),1,1+E5/Summary!$B$3)</f>
        <v/>
      </c>
      <c r="I5" s="8" t="inlineStr">
        <is>
          <t>Attack (flat)</t>
        </is>
      </c>
      <c r="J5" s="7" t="n">
        <v>0</v>
      </c>
      <c r="K5">
        <f>J5*Sensitivity!H28</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(flat)",Sensitivity!H28,IF(B6="Min Damage %",Sensitivity!H15,IF(B6="Max Damage %",Sensitivity!H16,IF(B6="Damage %",Sensitivity!H10,IF(B6="Critical Rate %",IF(Inputs!$B$10&gt;=100,Sensitivity!H18,Sensitivity!H17),IF(B6="Critical Damage %",Sensitivity!H18,IF(B6="Boss Monster Damage %",Sensitivity!H12,IF(B6="Normal Monster Damage %",Sensitivity!H13,IF(B6="Defense Penetration %",Sensitivity!H20,IF(B6="Defense (flat)",Sensitivity!H8,IF(B6="Skill Level Bonus — 1st Job",Sensitivity!H23,IF(B6="Skill Level Bonus — 2nd Job",Sensitivity!H24,IF(B6="Skill Level Bonus — 3rd Job",Sensitivity!H25,IF(B6="Skill Level Bonus — 4th Job",Sensitivity!H26,IF(B6="Skill Level Bonus — All Skills",Sensitivity!H27,IF(B6="Final Damage %",Sensitivity!H14,IF(B6="Basic Attack Damage %",Sensitivity!H21,IF(B6="Skill Damage %",Sensitivity!H22,IF(B6="Attack Speed %",Sensitivity!H19,0)))))))))))))))))))))))</f>
        <v/>
      </c>
      <c r="E6">
        <f>SUMIF($B$5:$B$10,B6,$D$5:$D$10)</f>
        <v/>
      </c>
      <c r="F6">
        <f>AND(B6&lt;&gt;"(none)",COUNTIF($B$5:B5,B6)=0)</f>
        <v/>
      </c>
      <c r="G6">
        <f>IF(NOT(F6),1,1+E6/Summary!$B$3)</f>
        <v/>
      </c>
      <c r="I6" s="7" t="inlineStr">
        <is>
          <t>(none)</t>
        </is>
      </c>
      <c r="J6" s="7" t="n">
        <v>0</v>
      </c>
      <c r="K6">
        <f>IF(I6="(none)",0,J6*(IF(I6="Main Stat (flat)",Sensitivity!H5,IF(I6="Main Stat %",Sensitivity!H6,IF(I6="Attack (flat)",Sensitivity!H28,IF(I6="Min Damage %",Sensitivity!H15,IF(I6="Max Damage %",Sensitivity!H16,IF(I6="Damage %",Sensitivity!H10,IF(I6="Critical Rate %",IF(Inputs!$B$10&gt;=100,Sensitivity!H18,Sensitivity!H17),IF(I6="Critical Damage %",Sensitivity!H18,IF(I6="Boss Monster Damage %",Sensitivity!H12,IF(I6="Normal Monster Damage %",Sensitivity!H13,IF(I6="Defense Penetration %",Sensitivity!H20,IF(I6="Defense (flat)",Sensitivity!H8,IF(I6="Skill Level Bonus — 1st Job",Sensitivity!H23,IF(I6="Skill Level Bonus — 2nd Job",Sensitivity!H24,IF(I6="Skill Level Bonus — 3rd Job",Sensitivity!H25,IF(I6="Skill Level Bonus — 4th Job",Sensitivity!H26,IF(I6="Skill Level Bonus — All Skills",Sensitivity!H27,IF(I6="Final Damage %",Sensitivity!H14,IF(I6="Basic Attack Damage %",Sensitivity!H21,IF(I6="Skill Damage %",Sensitivity!H22,IF(I6="Attack Speed %",Sensitivity!H19,0)))))))))))))))))))))))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(flat)",Sensitivity!H28,IF(B7="Min Damage %",Sensitivity!H15,IF(B7="Max Damage %",Sensitivity!H16,IF(B7="Damage %",Sensitivity!H10,IF(B7="Critical Rate %",IF(Inputs!$B$10&gt;=100,Sensitivity!H18,Sensitivity!H17),IF(B7="Critical Damage %",Sensitivity!H18,IF(B7="Boss Monster Damage %",Sensitivity!H12,IF(B7="Normal Monster Damage %",Sensitivity!H13,IF(B7="Defense Penetration %",Sensitivity!H20,IF(B7="Defense (flat)",Sensitivity!H8,IF(B7="Skill Level Bonus — 1st Job",Sensitivity!H23,IF(B7="Skill Level Bonus — 2nd Job",Sensitivity!H24,IF(B7="Skill Level Bonus — 3rd Job",Sensitivity!H25,IF(B7="Skill Level Bonus — 4th Job",Sensitivity!H26,IF(B7="Skill Level Bonus — All Skills",Sensitivity!H27,IF(B7="Final Damage %",Sensitivity!H14,IF(B7="Basic Attack Damage %",Sensitivity!H21,IF(B7="Skill Damage %",Sensitivity!H22,IF(B7="Attack Speed %",Sensitivity!H19,0)))))))))))))))))))))))</f>
        <v/>
      </c>
      <c r="E7">
        <f>SUMIF($B$5:$B$10,B7,$D$5:$D$10)</f>
        <v/>
      </c>
      <c r="F7">
        <f>AND(B7&lt;&gt;"(none)",COUNTIF($B$5:B6,B7)=0)</f>
        <v/>
      </c>
      <c r="G7">
        <f>IF(NOT(F7),1,1+E7/Summary!$B$3)</f>
        <v/>
      </c>
      <c r="I7" s="7" t="inlineStr">
        <is>
          <t>(none)</t>
        </is>
      </c>
      <c r="J7" s="7" t="n">
        <v>0</v>
      </c>
      <c r="K7">
        <f>IF(I7="(none)",0,J7*(IF(I7="Main Stat (flat)",Sensitivity!H5,IF(I7="Main Stat %",Sensitivity!H6,IF(I7="Attack (flat)",Sensitivity!H28,IF(I7="Min Damage %",Sensitivity!H15,IF(I7="Max Damage %",Sensitivity!H16,IF(I7="Damage %",Sensitivity!H10,IF(I7="Critical Rate %",IF(Inputs!$B$10&gt;=100,Sensitivity!H18,Sensitivity!H17),IF(I7="Critical Damage %",Sensitivity!H18,IF(I7="Boss Monster Damage %",Sensitivity!H12,IF(I7="Normal Monster Damage %",Sensitivity!H13,IF(I7="Defense Penetration %",Sensitivity!H20,IF(I7="Defense (flat)",Sensitivity!H8,IF(I7="Skill Level Bonus — 1st Job",Sensitivity!H23,IF(I7="Skill Level Bonus — 2nd Job",Sensitivity!H24,IF(I7="Skill Level Bonus — 3rd Job",Sensitivity!H25,IF(I7="Skill Level Bonus — 4th Job",Sensitivity!H26,IF(I7="Skill Level Bonus — All Skills",Sensitivity!H27,IF(I7="Final Damage %",Sensitivity!H14,IF(I7="Basic Attack Damage %",Sensitivity!H21,IF(I7="Skill Damage %",Sensitivity!H22,IF(I7="Attack Speed %",Sensitivity!H19,0)))))))))))))))))))))))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(flat)",Sensitivity!H28,IF(B8="Min Damage %",Sensitivity!H15,IF(B8="Max Damage %",Sensitivity!H16,IF(B8="Damage %",Sensitivity!H10,IF(B8="Critical Rate %",IF(Inputs!$B$10&gt;=100,Sensitivity!H18,Sensitivity!H17),IF(B8="Critical Damage %",Sensitivity!H18,IF(B8="Boss Monster Damage %",Sensitivity!H12,IF(B8="Normal Monster Damage %",Sensitivity!H13,IF(B8="Defense Penetration %",Sensitivity!H20,IF(B8="Defense (flat)",Sensitivity!H8,IF(B8="Skill Level Bonus — 1st Job",Sensitivity!H23,IF(B8="Skill Level Bonus — 2nd Job",Sensitivity!H24,IF(B8="Skill Level Bonus — 3rd Job",Sensitivity!H25,IF(B8="Skill Level Bonus — 4th Job",Sensitivity!H26,IF(B8="Skill Level Bonus — All Skills",Sensitivity!H27,IF(B8="Final Damage %",Sensitivity!H14,IF(B8="Basic Attack Damage %",Sensitivity!H21,IF(B8="Skill Damage %",Sensitivity!H22,IF(B8="Attack Speed %",Sensitivity!H19,0)))))))))))))))))))))))</f>
        <v/>
      </c>
      <c r="E8">
        <f>SUMIF($B$5:$B$10,B8,$D$5:$D$10)</f>
        <v/>
      </c>
      <c r="F8">
        <f>AND(B8&lt;&gt;"(none)",COUNTIF($B$5:B7,B8)=0)</f>
        <v/>
      </c>
      <c r="G8">
        <f>IF(NOT(F8),1,1+E8/Summary!$B$3)</f>
        <v/>
      </c>
      <c r="I8" s="7" t="inlineStr">
        <is>
          <t>(none)</t>
        </is>
      </c>
      <c r="J8" s="7" t="n">
        <v>0</v>
      </c>
      <c r="K8">
        <f>IF(I8="(none)",0,J8*(IF(I8="Main Stat (flat)",Sensitivity!H5,IF(I8="Main Stat %",Sensitivity!H6,IF(I8="Attack (flat)",Sensitivity!H28,IF(I8="Min Damage %",Sensitivity!H15,IF(I8="Max Damage %",Sensitivity!H16,IF(I8="Damage %",Sensitivity!H10,IF(I8="Critical Rate %",IF(Inputs!$B$10&gt;=100,Sensitivity!H18,Sensitivity!H17),IF(I8="Critical Damage %",Sensitivity!H18,IF(I8="Boss Monster Damage %",Sensitivity!H12,IF(I8="Normal Monster Damage %",Sensitivity!H13,IF(I8="Defense Penetration %",Sensitivity!H20,IF(I8="Defense (flat)",Sensitivity!H8,IF(I8="Skill Level Bonus — 1st Job",Sensitivity!H23,IF(I8="Skill Level Bonus — 2nd Job",Sensitivity!H24,IF(I8="Skill Level Bonus — 3rd Job",Sensitivity!H25,IF(I8="Skill Level Bonus — 4th Job",Sensitivity!H26,IF(I8="Skill Level Bonus — All Skills",Sensitivity!H27,IF(I8="Final Damage %",Sensitivity!H14,IF(I8="Basic Attack Damage %",Sensitivity!H21,IF(I8="Skill Damage %",Sensitivity!H22,IF(I8="Attack Speed %",Sensitivity!H19,0)))))))))))))))))))))))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(flat)",Sensitivity!H28,IF(B9="Min Damage %",Sensitivity!H15,IF(B9="Max Damage %",Sensitivity!H16,IF(B9="Damage %",Sensitivity!H10,IF(B9="Critical Rate %",IF(Inputs!$B$10&gt;=100,Sensitivity!H18,Sensitivity!H17),IF(B9="Critical Damage %",Sensitivity!H18,IF(B9="Boss Monster Damage %",Sensitivity!H12,IF(B9="Normal Monster Damage %",Sensitivity!H13,IF(B9="Defense Penetration %",Sensitivity!H20,IF(B9="Defense (flat)",Sensitivity!H8,IF(B9="Skill Level Bonus — 1st Job",Sensitivity!H23,IF(B9="Skill Level Bonus — 2nd Job",Sensitivity!H24,IF(B9="Skill Level Bonus — 3rd Job",Sensitivity!H25,IF(B9="Skill Level Bonus — 4th Job",Sensitivity!H26,IF(B9="Skill Level Bonus — All Skills",Sensitivity!H27,IF(B9="Final Damage %",Sensitivity!H14,IF(B9="Basic Attack Damage %",Sensitivity!H21,IF(B9="Skill Damage %",Sensitivity!H22,IF(B9="Attack Speed %",Sensitivity!H19,0)))))))))))))))))))))))</f>
        <v/>
      </c>
      <c r="E9">
        <f>SUMIF($B$5:$B$10,B9,$D$5:$D$10)</f>
        <v/>
      </c>
      <c r="F9">
        <f>AND(B9&lt;&gt;"(none)",COUNTIF($B$5:B8,B9)=0)</f>
        <v/>
      </c>
      <c r="G9">
        <f>IF(NOT(F9),1,1+E9/Summary!$B$3)</f>
        <v/>
      </c>
      <c r="I9" s="7" t="inlineStr">
        <is>
          <t>(none)</t>
        </is>
      </c>
      <c r="J9" s="7" t="n">
        <v>0</v>
      </c>
      <c r="K9">
        <f>IF(I9="(none)",0,J9*(IF(I9="Main Stat (flat)",Sensitivity!H5,IF(I9="Main Stat %",Sensitivity!H6,IF(I9="Attack (flat)",Sensitivity!H28,IF(I9="Min Damage %",Sensitivity!H15,IF(I9="Max Damage %",Sensitivity!H16,IF(I9="Damage %",Sensitivity!H10,IF(I9="Critical Rate %",IF(Inputs!$B$10&gt;=100,Sensitivity!H18,Sensitivity!H17),IF(I9="Critical Damage %",Sensitivity!H18,IF(I9="Boss Monster Damage %",Sensitivity!H12,IF(I9="Normal Monster Damage %",Sensitivity!H13,IF(I9="Defense Penetration %",Sensitivity!H20,IF(I9="Defense (flat)",Sensitivity!H8,IF(I9="Skill Level Bonus — 1st Job",Sensitivity!H23,IF(I9="Skill Level Bonus — 2nd Job",Sensitivity!H24,IF(I9="Skill Level Bonus — 3rd Job",Sensitivity!H25,IF(I9="Skill Level Bonus — 4th Job",Sensitivity!H26,IF(I9="Skill Level Bonus — All Skills",Sensitivity!H27,IF(I9="Final Damage %",Sensitivity!H14,IF(I9="Basic Attack Damage %",Sensitivity!H21,IF(I9="Skill Damage %",Sensitivity!H22,IF(I9="Attack Speed %",Sensitivity!H19,0)))))))))))))))))))))))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(flat)",Sensitivity!H28,IF(B10="Min Damage %",Sensitivity!H15,IF(B10="Max Damage %",Sensitivity!H16,IF(B10="Damage %",Sensitivity!H10,IF(B10="Critical Rate %",IF(Inputs!$B$10&gt;=100,Sensitivity!H18,Sensitivity!H17),IF(B10="Critical Damage %",Sensitivity!H18,IF(B10="Boss Monster Damage %",Sensitivity!H12,IF(B10="Normal Monster Damage %",Sensitivity!H13,IF(B10="Defense Penetration %",Sensitivity!H20,IF(B10="Defense (flat)",Sensitivity!H8,IF(B10="Skill Level Bonus — 1st Job",Sensitivity!H23,IF(B10="Skill Level Bonus — 2nd Job",Sensitivity!H24,IF(B10="Skill Level Bonus — 3rd Job",Sensitivity!H25,IF(B10="Skill Level Bonus — 4th Job",Sensitivity!H26,IF(B10="Skill Level Bonus — All Skills",Sensitivity!H27,IF(B10="Final Damage %",Sensitivity!H14,IF(B10="Basic Attack Damage %",Sensitivity!H21,IF(B10="Skill Damage %",Sensitivity!H22,IF(B10="Attack Speed %",Sensitivity!H19,0)))))))))))))))))))))))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(flat)",Sensitivity!H28,IF(I10="Min Damage %",Sensitivity!H15,IF(I10="Max Damage %",Sensitivity!H16,IF(I10="Damage %",Sensitivity!H10,IF(I10="Critical Rate %",IF(Inputs!$B$10&gt;=100,Sensitivity!H18,Sensitivity!H17),IF(I10="Critical Damage %",Sensitivity!H18,IF(I10="Boss Monster Damage %",Sensitivity!H12,IF(I10="Normal Monster Damage %",Sensitivity!H13,IF(I10="Defense Penetration %",Sensitivity!H20,IF(I10="Defense (flat)",Sensitivity!H8,IF(I10="Skill Level Bonus — 1st Job",Sensitivity!H23,IF(I10="Skill Level Bonus — 2nd Job",Sensitivity!H24,IF(I10="Skill Level Bonus — 3rd Job",Sensitivity!H25,IF(I10="Skill Level Bonus — 4th Job",Sensitivity!H26,IF(I10="Skill Level Bonus — All Skills",Sensitivity!H27,IF(I10="Final Damage %",Sensitivity!H14,IF(I10="Basic Attack Damage %",Sensitivity!H21,IF(I10="Skill Damage %",Sensitivity!H22,IF(I10="Attack Speed %",Sensitivity!H19,0)))))))))))))))))))))))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Dark Knight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2026-09-25T12:13:34Z</dcterms:created>
  <dcterms:modified xsi:type="dcterms:W3CDTF">2026-09-25T12:13:34Z</dcterms:modified>
</cp:coreProperties>
</file>