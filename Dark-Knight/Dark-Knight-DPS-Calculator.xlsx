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5" customWidth="1" min="1" max="1"/>
    <col width="16" customWidth="1" min="2" max="2"/>
  </cols>
  <sheetData>
    <row r="1">
      <c r="A1" s="4" t="inlineStr">
        <is>
          <t>Dark Knight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(flat) — your own DEF stat; Iron Wall converts a level-scaling % (10% at Lv.1, growing with level) of it into STR, and PvP assumes the opponent has the same total Defense as you</t>
        </is>
      </c>
      <c r="B8" s="6" t="n">
        <v>0</v>
      </c>
    </row>
    <row r="9">
      <c r="A9" s="5" t="inlineStr">
        <is>
          <t>Defense % (Iron Wall converts total Defense, incl. this %, into STR, at a level-scaling rate)</t>
        </is>
      </c>
      <c r="B9" s="6" t="n">
        <v>0</v>
      </c>
    </row>
    <row r="10">
      <c r="A10" s="5" t="inlineStr">
        <is>
          <t>CRIT_RATE %</t>
        </is>
      </c>
      <c r="B10" s="6" t="n">
        <v>0</v>
      </c>
    </row>
    <row r="11">
      <c r="A11" s="5" t="inlineStr">
        <is>
          <t>CRIT_DAMAGE %</t>
        </is>
      </c>
      <c r="B11" s="6" t="n">
        <v>0</v>
      </c>
    </row>
    <row r="12">
      <c r="A12" s="5" t="inlineStr">
        <is>
          <t>ATTACK_SPEED % (base, excludes Weapon Acceleration)</t>
        </is>
      </c>
      <c r="B12" s="6" t="n">
        <v>0</v>
      </c>
    </row>
    <row r="13">
      <c r="A13" s="5" t="inlineStr">
        <is>
          <t>Flat STR</t>
        </is>
      </c>
      <c r="B13" s="6" t="n">
        <v>0</v>
      </c>
    </row>
    <row r="14">
      <c r="A14" s="5" t="inlineStr">
        <is>
          <t>STR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Emphasis (used when Content Type is Breakthrough or Hero Dungeon)</t>
        </is>
      </c>
      <c r="B37" s="6" t="inlineStr">
        <is>
          <t>A Little More Normal</t>
        </is>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IF(Inputs!$B$37="More Normal",70,IF(Inputs!$B$37="A Little More Normal",60,IF(Inputs!$B$37="Equal",50,IF(Inputs!$B$37="A Little More Boss",40,IF(Inputs!$B$37="More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7"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J2*(1+Summary!$B$51/100)*(1+Inputs!$B$16/100)*(1+Inputs!$B$17/100)*(5000/(6000+Inputs!$B$43*(1-Inputs!$B$20/100)))*(1+(Inputs!$B$25+Summary!$B$65)/100)*(1+(IF(Skills!A2="DARK_IMPALE",Inputs!$B$18,Inputs!$B$19))/100)*(Summary!$B$57*I2)</f>
        <v/>
      </c>
      <c r="L2">
        <f>K2*(MIN(Inputs!$B$23,Inputs!$B$24)/100+Inputs!$B$24/100)/2</f>
        <v/>
      </c>
      <c r="M2">
        <f>L2*(1+(Inputs!$B$11+Summary!$B$64)/100)</f>
        <v/>
      </c>
      <c r="N2">
        <f>L2*(1-MIN((Inputs!$B$10+Summary!$B$58),100)/100)+M2*(MIN((Inputs!$B$10+Summary!$B$58),100)/100)</f>
        <v/>
      </c>
      <c r="O2">
        <f>(1-Summary!$B$55)*T2+Summary!$B$55*V2</f>
        <v/>
      </c>
      <c r="P2">
        <f>IF(Summary!$B$3=0,0,O2/Summary!$B$3)</f>
        <v/>
      </c>
      <c r="Q2" t="n">
        <v>0</v>
      </c>
      <c r="R2" t="n">
        <v>0</v>
      </c>
      <c r="S2">
        <f>IFERROR(O2/N2,0)</f>
        <v/>
      </c>
      <c r="T2">
        <f>IF(C2,(Skills!G2*N2*Summary!$B$63)*IF(Inputs!$B$39="pvp",1,1+(Inputs!$B$21+Skills!P2+Summary!$B$59)/100),0)</f>
        <v/>
      </c>
      <c r="V2">
        <f>IF(C2,(Skills!G2*N2*Summary!$B$63)*IF(Inputs!$B$39="pvp",1,(1+(Inputs!$B$22+Skills!Q2+Summary!$B$59)/100)*(MIN(Skills!R2,Inputs!$B$38))),0)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J5*(1+Summary!$B$51/100)*(1+Inputs!$B$16/100)*(1+Inputs!$B$17/100)*(5000/(6000+Inputs!$B$43*(1-Inputs!$B$20/100)))*(1+(Inputs!$B$25+Summary!$B$65)/100)*(1+(IF(Skills!A5="DARK_IMPALE",Inputs!$B$18,Inputs!$B$19))/100)*(Summary!$B$57*I5)</f>
        <v/>
      </c>
      <c r="L5">
        <f>K5*(MIN(Inputs!$B$23,Inputs!$B$24)/100+Inputs!$B$24/100)/2</f>
        <v/>
      </c>
      <c r="M5">
        <f>L5*(1+(Inputs!$B$11+Summary!$B$64)/100)</f>
        <v/>
      </c>
      <c r="N5">
        <f>L5*(1-MIN((Inputs!$B$10+Summary!$B$58),100)/100)+M5*(MIN((Inputs!$B$10+Summary!$B$58),100)/100)</f>
        <v/>
      </c>
      <c r="O5">
        <f>(1-Summary!$B$55)*T5+Summary!$B$55*V5</f>
        <v/>
      </c>
      <c r="P5">
        <f>IF(Summary!$B$3=0,0,O5/Summary!$B$3)</f>
        <v/>
      </c>
      <c r="Q5">
        <f>IFERROR(1/IF(Inputs!$B$39="pvp",15,MAX(0.1,Skills!D5-IF(Skills!E5=TRUE,Inputs!$B$33,0))),0)</f>
        <v/>
      </c>
      <c r="R5">
        <f>IF(AND(Inputs!$B$39&lt;&gt;"pvp",Inputs!$B$44&gt;0),IF(MAX(0,Inputs!$B$44-Summary!$B$67)&lt;=0,0,(INT(MAX(0,Inputs!$B$44-Summary!$B$67)/IF(Inputs!$B$39="pvp",15,MAX(0.1,Skills!D5-IF(Skills!E5=TRUE,Inputs!$B$33,0))))+1)),0)</f>
        <v/>
      </c>
      <c r="S5">
        <f>IFERROR(O5/N5,0)</f>
        <v/>
      </c>
      <c r="T5">
        <f>IF(C5,(H5*N5*IF(AND(Inputs!$B$39&lt;&gt;"pvp",Inputs!$B$44&gt;0),((Skills!G5*((R5-1)*IF(Skills!H5&gt;0,Skills!I5/Skills!H5,1)+IF(Skills!H5&gt;0,MIN(Skills!I5,MAX(0,MAX(0,Inputs!$B$44-Summary!$B$67)-((R5-1)*IF(Inputs!$B$39="pvp",15,MAX(0.1,Skills!D5-IF(Skills!E5=TRUE,Inputs!$B$33,0))))))/Skills!H5,1)))/Inputs!$B$44),G5*Q5))*IF(Inputs!$B$39="pvp",1,1+(Inputs!$B$21+Skills!P5+Summary!$B$59)/100),0)</f>
        <v/>
      </c>
      <c r="V5">
        <f>IF(C5,(H5*N5*IF(AND(Inputs!$B$39&lt;&gt;"pvp",Inputs!$B$44&gt;0),((Skills!G5*((R5-1)*IF(Skills!H5&gt;0,Skills!I5/Skills!H5,1)+IF(Skills!H5&gt;0,MIN(Skills!I5,MAX(0,MAX(0,Inputs!$B$44-Summary!$B$67)-((R5-1)*IF(Inputs!$B$39="pvp",15,MAX(0.1,Skills!D5-IF(Skills!E5=TRUE,Inputs!$B$33,0))))))/Skills!H5,1)))/Inputs!$B$44),G5*Q5))*IF(Inputs!$B$39="pvp",1,(1+(Inputs!$B$22+Skills!Q5+Summary!$B$59)/100)*(MIN(Skills!R5,Inputs!$B$38))),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J6*(1+Summary!$B$51/100)*(1+Inputs!$B$16/100)*(1+Inputs!$B$17/100)*(5000/(6000+Inputs!$B$43*(1-Inputs!$B$20/100)))*(1+(Inputs!$B$25+Summary!$B$65)/100)*(1+(IF(Skills!A6="DARK_IMPALE",Inputs!$B$18,Inputs!$B$19))/100)*(Summary!$B$57*I6)</f>
        <v/>
      </c>
      <c r="L6">
        <f>K6*(MIN(Inputs!$B$23,Inputs!$B$24)/100+Inputs!$B$24/100)/2</f>
        <v/>
      </c>
      <c r="M6">
        <f>L6*(1+(Inputs!$B$11+Summary!$B$64)/100)</f>
        <v/>
      </c>
      <c r="N6">
        <f>L6*(1-MIN((Inputs!$B$10+Summary!$B$58),100)/100)+M6*(MIN((Inputs!$B$10+Summary!$B$58),100)/100)</f>
        <v/>
      </c>
      <c r="O6">
        <f>(1-Summary!$B$55)*T6+Summary!$B$55*V6</f>
        <v/>
      </c>
      <c r="P6">
        <f>IF(Summary!$B$3=0,0,O6/Summary!$B$3)</f>
        <v/>
      </c>
      <c r="Q6">
        <f>IFERROR(1/IF(Inputs!$B$39="pvp",15,MAX(0.1,Skills!D6-IF(Skills!E6=TRUE,Inputs!$B$33,0))),0)</f>
        <v/>
      </c>
      <c r="R6">
        <f>IF(AND(Inputs!$B$39&lt;&gt;"pvp",Inputs!$B$44&gt;0),IF(MAX(0,Inputs!$B$44-Summary!$B$67)&lt;=0,0,(INT(MAX(0,Inputs!$B$44-Summary!$B$67)/IF(Inputs!$B$39="pvp",15,MAX(0.1,Skills!D6-IF(Skills!E6=TRUE,Inputs!$B$33,0))))+1)),0)</f>
        <v/>
      </c>
      <c r="S6">
        <f>IFERROR(O6/N6,0)</f>
        <v/>
      </c>
      <c r="T6">
        <f>IF(C6,(H6*N6*IF(AND(Inputs!$B$39&lt;&gt;"pvp",Inputs!$B$44&gt;0),((Skills!G6*((R6-1)*IF(Skills!H6&gt;0,Skills!I6/Skills!H6,1)+IF(Skills!H6&gt;0,MIN(Skills!I6,MAX(0,MAX(0,Inputs!$B$44-Summary!$B$67)-((R6-1)*IF(Inputs!$B$39="pvp",15,MAX(0.1,Skills!D6-IF(Skills!E6=TRUE,Inputs!$B$33,0))))))/Skills!H6,1)))/Inputs!$B$44),G6*Q6))*IF(Inputs!$B$39="pvp",1,1+(Inputs!$B$21+Skills!P6+Summary!$B$59)/100),0)</f>
        <v/>
      </c>
      <c r="V6">
        <f>IF(C6,(H6*N6*IF(AND(Inputs!$B$39&lt;&gt;"pvp",Inputs!$B$44&gt;0),((Skills!G6*((R6-1)*IF(Skills!H6&gt;0,Skills!I6/Skills!H6,1)+IF(Skills!H6&gt;0,MIN(Skills!I6,MAX(0,MAX(0,Inputs!$B$44-Summary!$B$67)-((R6-1)*IF(Inputs!$B$39="pvp",15,MAX(0.1,Skills!D6-IF(Skills!E6=TRUE,Inputs!$B$33,0))))))/Skills!H6,1)))/Inputs!$B$44),G6*Q6))*IF(Inputs!$B$39="pvp",1,(1+(Inputs!$B$22+Skills!Q6+Summary!$B$59)/100)*(MIN(Skills!R6,Inputs!$B$38))),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J7*(1+Summary!$B$51/100)*(1+Inputs!$B$16/100)*(1+Inputs!$B$17/100)*(5000/(6000+Inputs!$B$43*(1-Inputs!$B$20/100)))*(1+(Inputs!$B$25+Summary!$B$65)/100)*(1+0.75*IF(C11=TRUE,F11,0)/100)*(1+(IF(Skills!A7="DARK_IMPALE",Inputs!$B$18,Inputs!$B$19))/100)*(Summary!$B$57*I7)</f>
        <v/>
      </c>
      <c r="L7">
        <f>K7*(MIN(Inputs!$B$23,Inputs!$B$24)/100+Inputs!$B$24/100)/2</f>
        <v/>
      </c>
      <c r="M7">
        <f>L7*(1+(Inputs!$B$11+Summary!$B$64)/100)</f>
        <v/>
      </c>
      <c r="N7">
        <f>L7*(1-MIN((Inputs!$B$10+Summary!$B$58),100)/100)+M7*(MIN((Inputs!$B$10+Summary!$B$58),100)/100)</f>
        <v/>
      </c>
      <c r="O7">
        <f>(1-Summary!$B$55)*T7+Summary!$B$55*V7</f>
        <v/>
      </c>
      <c r="P7">
        <f>IF(Summary!$B$3=0,0,O7/Summary!$B$3)</f>
        <v/>
      </c>
      <c r="Q7">
        <f>IFERROR(1/IF(Inputs!$B$39="pvp",15,MAX(0.1,Skills!D7-IF(Skills!E7=TRUE,Inputs!$B$33,0))),0)</f>
        <v/>
      </c>
      <c r="R7">
        <f>IF(AND(Inputs!$B$39&lt;&gt;"pvp",Inputs!$B$44&gt;0),IF(MAX(0,Inputs!$B$44-Summary!$B$67)&lt;=0,0,(INT(MAX(0,Inputs!$B$44-Summary!$B$67)/IF(Inputs!$B$39="pvp",15,MAX(0.1,Skills!D7-IF(Skills!E7=TRUE,Inputs!$B$33,0))))+1)),0)</f>
        <v/>
      </c>
      <c r="S7">
        <f>IFERROR(O7/N7,0)</f>
        <v/>
      </c>
      <c r="T7">
        <f>IF(C7,(H7*N7*IF(AND(Inputs!$B$39&lt;&gt;"pvp",Inputs!$B$44&gt;0),((Skills!G7*((R7-1)*IF(Skills!H7&gt;0,Skills!I7/Skills!H7,1)+IF(Skills!H7&gt;0,MIN(Skills!I7,MAX(0,MAX(0,Inputs!$B$44-Summary!$B$67)-((R7-1)*IF(Inputs!$B$39="pvp",15,MAX(0.1,Skills!D7-IF(Skills!E7=TRUE,Inputs!$B$33,0))))))/Skills!H7,1)))/Inputs!$B$44),G7*Q7))*IF(Inputs!$B$39="pvp",1,1+(Inputs!$B$21+Skills!P7+Summary!$B$59)/100),0)</f>
        <v/>
      </c>
      <c r="V7">
        <f>IF(C7,(H7*N7*IF(AND(Inputs!$B$39&lt;&gt;"pvp",Inputs!$B$44&gt;0),((Skills!G7*((R7-1)*IF(Skills!H7&gt;0,Skills!I7/Skills!H7,1)+IF(Skills!H7&gt;0,MIN(Skills!I7,MAX(0,MAX(0,Inputs!$B$44-Summary!$B$67)-((R7-1)*IF(Inputs!$B$39="pvp",15,MAX(0.1,Skills!D7-IF(Skills!E7=TRUE,Inputs!$B$33,0))))))/Skills!H7,1)))/Inputs!$B$44),G7*Q7))*IF(Inputs!$B$39="pvp",1,(1+(Inputs!$B$22+Skills!Q7+Summary!$B$59)/100)*(MIN(Skills!R7,Inputs!$B$38))),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J9*(1+Summary!$B$51/100)*(1+Inputs!$B$16/100)*(1+Inputs!$B$17/100)*(5000/(6000+Inputs!$B$43*(1-Inputs!$B$20/100)))*(1+(Inputs!$B$25+Summary!$B$65)/100)*(1+1.0*IF(C11=TRUE,F11,0)/100)*(1+(IF(Skills!A9="DARK_IMPALE",Inputs!$B$18,Inputs!$B$19))/100)*(Summary!$B$57*I9)</f>
        <v/>
      </c>
      <c r="L9">
        <f>K9*(MIN(Inputs!$B$23,Inputs!$B$24)/100+Inputs!$B$24/100)/2</f>
        <v/>
      </c>
      <c r="M9">
        <f>L9*(1+(Inputs!$B$11+Summary!$B$64)/100)</f>
        <v/>
      </c>
      <c r="N9">
        <f>L9*(1-MIN((Inputs!$B$10+Summary!$B$58),100)/100)+M9*(MIN((Inputs!$B$10+Summary!$B$58),100)/100)</f>
        <v/>
      </c>
      <c r="O9">
        <f>(1-Summary!$B$55)*T9+Summary!$B$55*V9</f>
        <v/>
      </c>
      <c r="P9">
        <f>IF(Summary!$B$3=0,0,O9/Summary!$B$3)</f>
        <v/>
      </c>
      <c r="Q9">
        <f>IFERROR(1/IF(Inputs!$B$39="pvp",15,MAX(0.1,Skills!D9-IF(Skills!E9=TRUE,Inputs!$B$33,0))),0)</f>
        <v/>
      </c>
      <c r="R9">
        <f>IF(AND(Inputs!$B$39&lt;&gt;"pvp",Inputs!$B$44&gt;0),IF(MAX(0,Inputs!$B$44-Summary!$B$67)&lt;=0,0,(INT(MAX(0,Inputs!$B$44-Summary!$B$67)/IF(Inputs!$B$39="pvp",15,MAX(0.1,Skills!D9-IF(Skills!E9=TRUE,Inputs!$B$33,0))))+1)),0)</f>
        <v/>
      </c>
      <c r="S9">
        <f>IFERROR(O9/N9,0)</f>
        <v/>
      </c>
      <c r="T9">
        <f>IF(C9,(H9*N9*IF(AND(Inputs!$B$39&lt;&gt;"pvp",Inputs!$B$44&gt;0),((Skills!G9*((R9-1)*IF(Skills!H9&gt;0,Skills!I9/Skills!H9,1)+IF(Skills!H9&gt;0,MIN(Skills!I9,MAX(0,MAX(0,Inputs!$B$44-Summary!$B$67)-((R9-1)*IF(Inputs!$B$39="pvp",15,MAX(0.1,Skills!D9-IF(Skills!E9=TRUE,Inputs!$B$33,0))))))/Skills!H9,1)))/Inputs!$B$44),G9*Q9))*IF(Inputs!$B$39="pvp",1,1+(Inputs!$B$21+Skills!P9+Summary!$B$59)/100),0)</f>
        <v/>
      </c>
      <c r="V9">
        <f>IF(C9,(H9*N9*IF(AND(Inputs!$B$39&lt;&gt;"pvp",Inputs!$B$44&gt;0),((Skills!G9*((R9-1)*IF(Skills!H9&gt;0,Skills!I9/Skills!H9,1)+IF(Skills!H9&gt;0,MIN(Skills!I9,MAX(0,MAX(0,Inputs!$B$44-Summary!$B$67)-((R9-1)*IF(Inputs!$B$39="pvp",15,MAX(0.1,Skills!D9-IF(Skills!E9=TRUE,Inputs!$B$33,0))))))/Skills!H9,1)))/Inputs!$B$44),G9*Q9))*IF(Inputs!$B$39="pvp",1,(1+(Inputs!$B$22+Skills!Q9+Summary!$B$59)/100)*(MIN(Skills!R9,Inputs!$B$38))),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J10*(1+Summary!$B$51/100)*(1+Inputs!$B$16/100)*(1+Inputs!$B$17/100)*(5000/(6000+Inputs!$B$43*(1-Inputs!$B$20/100)))*(1+(Inputs!$B$25+Summary!$B$65)/100)*(1+(IF(Skills!A10="DARK_IMPALE",Inputs!$B$18,Inputs!$B$19))/100)*(Summary!$B$57*I10)</f>
        <v/>
      </c>
      <c r="L10">
        <f>K10*(MIN(Inputs!$B$23,Inputs!$B$24)/100+Inputs!$B$24/100)/2</f>
        <v/>
      </c>
      <c r="M10">
        <f>L10*(1+(Inputs!$B$11+Summary!$B$64)/100)</f>
        <v/>
      </c>
      <c r="N10">
        <f>L10*(1-MIN((Inputs!$B$10+Summary!$B$58),100)/100)+M10*(MIN((Inputs!$B$10+Summary!$B$58),100)/100)</f>
        <v/>
      </c>
      <c r="O10">
        <f>(1-Summary!$B$55)*T10+Summary!$B$55*V10</f>
        <v/>
      </c>
      <c r="P10">
        <f>IF(Summary!$B$3=0,0,O10/Summary!$B$3)</f>
        <v/>
      </c>
      <c r="Q10">
        <f>IFERROR(1/IF(Inputs!$B$39="pvp",15,MAX(0.1,Skills!D10-IF(Skills!E10=TRUE,Inputs!$B$33,0))),0)</f>
        <v/>
      </c>
      <c r="R10">
        <f>IF(AND(Inputs!$B$39&lt;&gt;"pvp",Inputs!$B$44&gt;0),IF(MAX(0,Inputs!$B$44-Summary!$B$67)&lt;=0,0,(INT(MAX(0,Inputs!$B$44-Summary!$B$67)/IF(Inputs!$B$39="pvp",15,MAX(0.1,Skills!D10-IF(Skills!E10=TRUE,Inputs!$B$33,0))))+1)),0)</f>
        <v/>
      </c>
      <c r="S10">
        <f>IFERROR(O10/N10,0)</f>
        <v/>
      </c>
      <c r="T10">
        <f>IF(C10,(H10*N10*IF(AND(Inputs!$B$39&lt;&gt;"pvp",Inputs!$B$44&gt;0),((Skills!G10*((R10-1)*IF(Skills!H10&gt;0,Skills!I10/Skills!H10,1)+IF(Skills!H10&gt;0,MIN(Skills!I10,MAX(0,MAX(0,Inputs!$B$44-Summary!$B$67)-((R10-1)*IF(Inputs!$B$39="pvp",15,MAX(0.1,Skills!D10-IF(Skills!E10=TRUE,Inputs!$B$33,0))))))/Skills!H10,1)))/Inputs!$B$44),G10*Q10))*IF(Inputs!$B$39="pvp",1,1+(Inputs!$B$21+Skills!P10+Summary!$B$59)/100),0)</f>
        <v/>
      </c>
      <c r="V10">
        <f>IF(C10,(H10*N10*IF(AND(Inputs!$B$39&lt;&gt;"pvp",Inputs!$B$44&gt;0),((Skills!G10*((R10-1)*IF(Skills!H10&gt;0,Skills!I10/Skills!H10,1)+IF(Skills!H10&gt;0,MIN(Skills!I10,MAX(0,MAX(0,Inputs!$B$44-Summary!$B$67)-((R10-1)*IF(Inputs!$B$39="pvp",15,MAX(0.1,Skills!D10-IF(Skills!E10=TRUE,Inputs!$B$33,0))))))/Skills!H10,1)))/Inputs!$B$44),G10*Q10))*IF(Inputs!$B$39="pvp",1,(1+(Inputs!$B$22+Skills!Q10+Summary!$B$59)/100)*(MIN(Skills!R10,Inputs!$B$38))),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J12*(1+Summary!$B$51/100)*(1+Inputs!$B$16/100)*(1+Inputs!$B$17/100)*(5000/(6000+Inputs!$B$43*(1-Inputs!$B$20/100)))*(1+(Inputs!$B$25+Summary!$B$65)/100)*(1+0.75*IF(C11=TRUE,F11,0)/100)*(1+(IF(Skills!A12="DARK_IMPALE",Inputs!$B$18,Inputs!$B$19))/100)*(Summary!$B$57*I12)</f>
        <v/>
      </c>
      <c r="L12">
        <f>K12*(MIN(Inputs!$B$23,Inputs!$B$24)/100+Inputs!$B$24/100)/2</f>
        <v/>
      </c>
      <c r="M12">
        <f>L12*(1+(Inputs!$B$11+Summary!$B$64)/100)</f>
        <v/>
      </c>
      <c r="N12">
        <f>L12*(1-MIN((Inputs!$B$10+Summary!$B$58),100)/100)+M12*(MIN((Inputs!$B$10+Summary!$B$58),100)/100)</f>
        <v/>
      </c>
      <c r="O12">
        <f>(1-Summary!$B$55)*T12+Summary!$B$55*V12</f>
        <v/>
      </c>
      <c r="P12">
        <f>IF(Summary!$B$3=0,0,O12/Summary!$B$3)</f>
        <v/>
      </c>
      <c r="Q12">
        <f>IFERROR(1/IF(Inputs!$B$39="pvp",15,MAX(0.1,Skills!D12-IF(Skills!E12=TRUE,Inputs!$B$33,0))),0)</f>
        <v/>
      </c>
      <c r="R12">
        <f>IF(AND(Inputs!$B$39&lt;&gt;"pvp",Inputs!$B$44&gt;0),IF(MAX(0,Inputs!$B$44-Summary!$B$67)&lt;=0,0,(INT(MAX(0,Inputs!$B$44-Summary!$B$67)/IF(Inputs!$B$39="pvp",15,MAX(0.1,Skills!D12-IF(Skills!E12=TRUE,Inputs!$B$33,0))))+1)),0)</f>
        <v/>
      </c>
      <c r="S12">
        <f>IFERROR(O12/N12,0)</f>
        <v/>
      </c>
      <c r="T12">
        <f>IF(C12,(H12*N12*IF(AND(Inputs!$B$39&lt;&gt;"pvp",Inputs!$B$44&gt;0),((Skills!G12*((R12-1)*IF(Skills!H12&gt;0,Skills!I12/Skills!H12,1)+IF(Skills!H12&gt;0,MIN(Skills!I12,MAX(0,MAX(0,Inputs!$B$44-Summary!$B$67)-((R12-1)*IF(Inputs!$B$39="pvp",15,MAX(0.1,Skills!D12-IF(Skills!E12=TRUE,Inputs!$B$33,0))))))/Skills!H12,1)))/Inputs!$B$44),G12*Q12))*IF(Inputs!$B$39="pvp",1,1+(Inputs!$B$21+Skills!P12+Summary!$B$59)/100),0)</f>
        <v/>
      </c>
      <c r="V12">
        <f>IF(C12,(H12*N12*IF(AND(Inputs!$B$39&lt;&gt;"pvp",Inputs!$B$44&gt;0),((Skills!G12*((R12-1)*IF(Skills!H12&gt;0,Skills!I12/Skills!H12,1)+IF(Skills!H12&gt;0,MIN(Skills!I12,MAX(0,MAX(0,Inputs!$B$44-Summary!$B$67)-((R12-1)*IF(Inputs!$B$39="pvp",15,MAX(0.1,Skills!D12-IF(Skills!E12=TRUE,Inputs!$B$33,0))))))/Skills!H12,1)))/Inputs!$B$44),G12*Q12))*IF(Inputs!$B$39="pvp",1,(1+(Inputs!$B$22+Skills!Q12+Summary!$B$59)/100)*(MIN(Skills!R12,Inputs!$B$38))),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(1-Summary!$B$55)*T13+Summary!$B$55*V13</f>
        <v/>
      </c>
      <c r="P13">
        <f>IF(Summary!$B$3=0,0,O13/Summary!$B$3)</f>
        <v/>
      </c>
      <c r="Q13">
        <f>IFERROR(1/IF(Inputs!$B$39="pvp",15,MAX(0.1,Skills!D13-IF(Skills!E13=TRUE,Inputs!$B$33,0))),0)</f>
        <v/>
      </c>
      <c r="R13">
        <f>IF(AND(Inputs!$B$39&lt;&gt;"pvp",Inputs!$B$44&gt;0),IF(Inputs!$B$44&lt;=0,0,(INT(Inputs!$B$44/IF(Inputs!$B$39="pvp",15,MAX(0.1,Skills!D13-IF(Skills!E13=TRUE,Inputs!$B$33,0))))+1)),0)</f>
        <v/>
      </c>
      <c r="S13">
        <f>IFERROR(O13/N13,0)</f>
        <v/>
      </c>
      <c r="T13" t="n">
        <v>0</v>
      </c>
      <c r="V13" t="n">
        <v>0</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(1-Summary!$B$55)*T14+Summary!$B$55*V14</f>
        <v/>
      </c>
      <c r="P14">
        <f>IF(Summary!$B$3=0,0,O14/Summary!$B$3)</f>
        <v/>
      </c>
      <c r="Q14">
        <f>IFERROR(1/IF(Inputs!$B$39="pvp",15,MAX(0.1,Skills!D14-IF(Skills!E14=TRUE,Inputs!$B$33,0))),0)</f>
        <v/>
      </c>
      <c r="R14">
        <f>IF(AND(Inputs!$B$39&lt;&gt;"pvp",Inputs!$B$44&gt;0),IF(Inputs!$B$44&lt;=0,0,(INT(Inputs!$B$44/IF(Inputs!$B$39="pvp",15,MAX(0.1,Skills!D14-IF(Skills!E14=TRUE,Inputs!$B$33,0))))+1)),0)</f>
        <v/>
      </c>
      <c r="S14">
        <f>IFERROR(O14/N14,0)</f>
        <v/>
      </c>
      <c r="T14" t="n">
        <v>0</v>
      </c>
      <c r="V14" t="n">
        <v>0</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(1-Summary!$B$55)*T15+Summary!$B$55*V15</f>
        <v/>
      </c>
      <c r="P15">
        <f>IF(Summary!$B$3=0,0,O15/Summary!$B$3)</f>
        <v/>
      </c>
      <c r="Q15">
        <f>IFERROR(1/IF(Inputs!$B$39="pvp",15,MAX(0.1,Skills!D15-IF(Skills!E15=TRUE,Inputs!$B$33,0))),0)</f>
        <v/>
      </c>
      <c r="R15">
        <f>IF(AND(Inputs!$B$39&lt;&gt;"pvp",Inputs!$B$44&gt;0),IF(Inputs!$B$44&lt;=0,0,(INT(Inputs!$B$44/IF(Inputs!$B$39="pvp",15,MAX(0.1,Skills!D15-IF(Skills!E15=TRUE,Inputs!$B$33,0))))+1)),0)</f>
        <v/>
      </c>
      <c r="S15">
        <f>IFERROR(O15/N15,0)</f>
        <v/>
      </c>
      <c r="T15" t="n">
        <v>0</v>
      </c>
      <c r="V15" t="n">
        <v>0</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(1-Summary!$B$55)*T16+Summary!$B$55*V16</f>
        <v/>
      </c>
      <c r="P16">
        <f>IF(Summary!$B$3=0,0,O16/Summary!$B$3)</f>
        <v/>
      </c>
      <c r="Q16">
        <f>IFERROR(1/IF(Inputs!$B$39="pvp",15,MAX(0.1,Skills!D16-IF(Skills!E16=TRUE,Inputs!$B$33,0))),0)</f>
        <v/>
      </c>
      <c r="R16">
        <f>IF(AND(Inputs!$B$39&lt;&gt;"pvp",Inputs!$B$44&gt;0),IF(Inputs!$B$44&lt;=0,0,(INT(Inputs!$B$44/IF(Inputs!$B$39="pvp",15,MAX(0.1,Skills!D16-IF(Skills!E16=TRUE,Inputs!$B$33,0))))+1)),0)</f>
        <v/>
      </c>
      <c r="S16">
        <f>IFERROR(O16/N16,0)</f>
        <v/>
      </c>
      <c r="T16" t="n">
        <v>0</v>
      </c>
      <c r="V16" t="n">
        <v>0</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(1-Summary!$B$55)*T17+Summary!$B$55*V17</f>
        <v/>
      </c>
      <c r="P17">
        <f>IF(Summary!$B$3=0,0,O17/Summary!$B$3)</f>
        <v/>
      </c>
      <c r="Q17">
        <f>IFERROR(1/IF(Inputs!$B$39="pvp",15,MAX(0.1,Skills!D17-IF(Skills!E17=TRUE,Inputs!$B$33,0))),0)</f>
        <v/>
      </c>
      <c r="R17">
        <f>IF(AND(Inputs!$B$39&lt;&gt;"pvp",Inputs!$B$44&gt;0),IF(Inputs!$B$44&lt;=0,0,(INT(Inputs!$B$44/IF(Inputs!$B$39="pvp",15,MAX(0.1,Skills!D17-IF(Skills!E17=TRUE,Inputs!$B$33,0))))+1)),0)</f>
        <v/>
      </c>
      <c r="S17">
        <f>IFERROR(O17/N17,0)</f>
        <v/>
      </c>
      <c r="T17" t="n">
        <v>0</v>
      </c>
      <c r="V17" t="n">
        <v>0</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(1-Summary!$B$55)*T18+Summary!$B$55*V18</f>
        <v/>
      </c>
      <c r="P18">
        <f>IF(Summary!$B$3=0,0,O18/Summary!$B$3)</f>
        <v/>
      </c>
      <c r="Q18">
        <f>IFERROR(1/IF(Inputs!$B$39="pvp",15,MAX(0.1,Skills!D18-IF(Skills!E18=TRUE,Inputs!$B$33,0))),0)</f>
        <v/>
      </c>
      <c r="R18">
        <f>IF(AND(Inputs!$B$39&lt;&gt;"pvp",Inputs!$B$44&gt;0),IF(Inputs!$B$44&lt;=0,0,(INT(Inputs!$B$44/IF(Inputs!$B$39="pvp",15,MAX(0.1,Skills!D18-IF(Skills!E18=TRUE,Inputs!$B$33,0))))+1)),0)</f>
        <v/>
      </c>
      <c r="S18">
        <f>IFERROR(O18/N18,0)</f>
        <v/>
      </c>
      <c r="T18" t="n">
        <v>0</v>
      </c>
      <c r="V18" t="n">
        <v>0</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(1-Summary!$B$55)*T19+Summary!$B$55*V19</f>
        <v/>
      </c>
      <c r="P19">
        <f>IF(Summary!$B$3=0,0,O19/Summary!$B$3)</f>
        <v/>
      </c>
      <c r="Q19">
        <f>IFERROR(1/IF(Inputs!$B$39="pvp",15,MAX(0.1,Skills!D19-IF(Skills!E19=TRUE,Inputs!$B$33,0))),0)</f>
        <v/>
      </c>
      <c r="R19">
        <f>IF(AND(Inputs!$B$39&lt;&gt;"pvp",Inputs!$B$44&gt;0),IF(Inputs!$B$44&lt;=0,0,(INT(Inputs!$B$44/IF(Inputs!$B$39="pvp",15,MAX(0.1,Skills!D19-IF(Skills!E19=TRUE,Inputs!$B$33,0))))+1)),0)</f>
        <v/>
      </c>
      <c r="S19">
        <f>IFERROR(O19/N19,0)</f>
        <v/>
      </c>
      <c r="T19" t="n">
        <v>0</v>
      </c>
      <c r="V19" t="n">
        <v>0</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(1-Summary!$B$55)*T20+Summary!$B$55*V20</f>
        <v/>
      </c>
      <c r="P20">
        <f>IF(Summary!$B$3=0,0,O20/Summary!$B$3)</f>
        <v/>
      </c>
      <c r="Q20">
        <f>IFERROR(1/IF(Inputs!$B$39="pvp",15,MAX(0.1,Skills!D20-IF(Skills!E20=TRUE,Inputs!$B$33,0))),0)</f>
        <v/>
      </c>
      <c r="R20">
        <f>IF(AND(Inputs!$B$39&lt;&gt;"pvp",Inputs!$B$44&gt;0),IF(Inputs!$B$44&lt;=0,0,(INT(Inputs!$B$44/IF(Inputs!$B$39="pvp",15,MAX(0.1,Skills!D20-IF(Skills!E20=TRUE,Inputs!$B$33,0))))+1)),0)</f>
        <v/>
      </c>
      <c r="S20">
        <f>IFERROR(O20/N20,0)</f>
        <v/>
      </c>
      <c r="T20" t="n">
        <v>0</v>
      </c>
      <c r="V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(1-Summary!$B$55)*T21+Summary!$B$55*V21</f>
        <v/>
      </c>
      <c r="P21">
        <f>IF(Summary!$B$3=0,0,O21/Summary!$B$3)</f>
        <v/>
      </c>
      <c r="Q21" t="n">
        <v>0</v>
      </c>
      <c r="R21" t="n">
        <v>0</v>
      </c>
      <c r="S21">
        <f>IFERROR(O21/N21,0)</f>
        <v/>
      </c>
      <c r="T21" t="n">
        <v>0</v>
      </c>
      <c r="V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(1-Summary!$B$55)*T22+Summary!$B$55*V22</f>
        <v/>
      </c>
      <c r="P22">
        <f>IF(Summary!$B$3=0,0,O22/Summary!$B$3)</f>
        <v/>
      </c>
      <c r="Q22" t="n">
        <v>0</v>
      </c>
      <c r="R22" t="n">
        <v>0</v>
      </c>
      <c r="S22">
        <f>IFERROR(O22/N22,0)</f>
        <v/>
      </c>
      <c r="T22" t="n">
        <v>0</v>
      </c>
      <c r="V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(1-Summary!$B$55)*T23+Summary!$B$55*V23</f>
        <v/>
      </c>
      <c r="P23">
        <f>IF(Summary!$B$3=0,0,O23/Summary!$B$3)</f>
        <v/>
      </c>
      <c r="Q23" t="n">
        <v>0</v>
      </c>
      <c r="R23" t="n">
        <v>0</v>
      </c>
      <c r="S23">
        <f>IFERROR(O23/N23,0)</f>
        <v/>
      </c>
      <c r="T23" t="n">
        <v>0</v>
      </c>
      <c r="V23" t="n">
        <v>0</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(1-Summary!$B$55)*T24+Summary!$B$55*V24</f>
        <v/>
      </c>
      <c r="P24">
        <f>IF(Summary!$B$3=0,0,O24/Summary!$B$3)</f>
        <v/>
      </c>
      <c r="Q24" t="n">
        <v>0</v>
      </c>
      <c r="R24" t="n">
        <v>0</v>
      </c>
      <c r="S24">
        <f>IFERROR(O24/N24,0)</f>
        <v/>
      </c>
      <c r="T24" t="n">
        <v>0</v>
      </c>
      <c r="V24" t="n">
        <v>0</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(1-Summary!$B$55)*T25+Summary!$B$55*V25</f>
        <v/>
      </c>
      <c r="P25">
        <f>IF(Summary!$B$3=0,0,O25/Summary!$B$3)</f>
        <v/>
      </c>
      <c r="Q25" t="n">
        <v>0</v>
      </c>
      <c r="R25" t="n">
        <v>0</v>
      </c>
      <c r="S25">
        <f>IFERROR(O25/N25,0)</f>
        <v/>
      </c>
      <c r="T25" t="n">
        <v>0</v>
      </c>
      <c r="V25" t="n">
        <v>0</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(1-Summary!$B$55)*T26+Summary!$B$55*V26</f>
        <v/>
      </c>
      <c r="P26">
        <f>IF(Summary!$B$3=0,0,O26/Summary!$B$3)</f>
        <v/>
      </c>
      <c r="Q26" t="n">
        <v>0</v>
      </c>
      <c r="R26" t="n">
        <v>0</v>
      </c>
      <c r="S26">
        <f>IFERROR(O26/N26,0)</f>
        <v/>
      </c>
      <c r="T26" t="n">
        <v>0</v>
      </c>
      <c r="V26"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Calc!B12</f>
        <v/>
      </c>
      <c r="B13">
        <f>Calc!O12</f>
        <v/>
      </c>
      <c r="C13">
        <f>Calc!P12*100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3">
      <c r="A43">
        <f>Sensitivity!A31</f>
        <v/>
      </c>
      <c r="B43">
        <f>Sensitivity!H31</f>
        <v/>
      </c>
      <c r="C43">
        <f>Sensitivity!B31</f>
        <v/>
      </c>
    </row>
    <row r="44">
      <c r="A44">
        <f>Sensitivity!A32</f>
        <v/>
      </c>
      <c r="B44">
        <f>Sensitivity!H32</f>
        <v/>
      </c>
      <c r="C44">
        <f>Sensitivity!B32</f>
        <v/>
      </c>
    </row>
    <row r="49">
      <c r="A49" s="7" t="inlineStr">
        <is>
          <t>Derived Values (read-only, computed from Inputs)</t>
        </is>
      </c>
    </row>
    <row r="50">
      <c r="A50" t="inlineStr">
        <is>
          <t>ATTACK (= Flat ATTACK x (1+ATTACK%/100))</t>
        </is>
      </c>
      <c r="B50">
        <f>Inputs!$B$6*(1+Inputs!$B$7/100)</f>
        <v/>
      </c>
    </row>
    <row r="51">
      <c r="A51" t="inlineStr">
        <is>
          <t>STAT_DAMAGE % (= 1% of total STR [incl. Iron Wall's Defense-&gt; STR] + 0.25% of DEX)</t>
        </is>
      </c>
      <c r="B51">
        <f>((Inputs!$B$13+IF(Inputs!$B$3&gt;=38,(10*INDEX(FactorTable!$B$2:$Y$301, MATCH(ROUND(MIN(300,MAX(1,Inputs!$B$3)),0), FactorTable!$A$2:$A$301,0), 23)/1000)/100*(Inputs!$B$8*(1+Inputs!$B$9/100)),0))*(1+Inputs!$B$14/100))*0.01+Inputs!$B$15*0.0025</f>
        <v/>
      </c>
    </row>
    <row r="52">
      <c r="A52" t="inlineStr">
        <is>
          <t>Basic Attack (Dark Impale)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Dark Impale base coefficient % (before bonuses)</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Attack%% Bucket Multiplier (Hex of the Evil Eye + Dark Resonance + Cross Over Chains + Hyper Body, summed additively)</t>
        </is>
      </c>
      <c r="B57">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100</f>
        <v/>
      </c>
    </row>
    <row r="58">
      <c r="A58" t="inlineStr">
        <is>
          <t>Global Crit Rate Bonus % (Lord of Darkness, proc-chance x duty-cycle)</t>
        </is>
      </c>
      <c r="B58">
        <f>((Calc!C18=TRUE)*Calc!F18*(Skills!J18/100)*IF(AND(Inputs!$B$39&lt;&gt;"pvp",Inputs!$B$44&gt;0),(((Calc!R18-1)*(Skills!T18*(1+Inputs!$B$35/100))+MIN((Skills!T18*(1+Inputs!$B$35/100)),MAX(0,Inputs!$B$44-((Calc!R18-1)*Skills!D18))))/Inputs!$B$44),IF(Inputs!$B$39="pvp",MIN((Skills!T18*(1+Inputs!$B$35/100)),15)/15,(Skills!T18*(1+Inputs!$B$35/100))/Skills!D18)))</f>
        <v/>
      </c>
    </row>
    <row r="59">
      <c r="A59" t="inlineStr">
        <is>
          <t>Global Monster Damage-Taken Bonus % (Evil Eye, all types + Dark Resonance, boss-only)</t>
        </is>
      </c>
      <c r="B59">
        <f>((Calc!C17=TRUE)*Calc!F17*IF(AND(Inputs!$B$39&lt;&gt;"pvp",Inputs!$B$44&gt;0),(((Calc!R17-1)*(Skills!T17*(1+Inputs!$B$35/100))+MIN((Skills!T17*(1+Inputs!$B$35/100)),MAX(0,Inputs!$B$44-((Calc!R17-1)*Skills!D17))))/Inputs!$B$44),IF(Inputs!$B$39="pvp",MIN((Skills!T17*(1+Inputs!$B$35/100)),15)/15,(Skills!T17*(1+Inputs!$B$35/100))/Skills!D17)))+((Calc!C14=TRUE)*IF(Inputs!$B$39="pvp",20,(1-Summary!$B$55)*(20)+Summary!$B$55*(0))*IF(AND(Inputs!$B$39&lt;&gt;"pvp",Inputs!$B$44&gt;0),(((Calc!R14-1)*(Skills!T14*(1+Inputs!$B$35/100))+MIN((Skills!T14*(1+Inputs!$B$35/100)),MAX(0,Inputs!$B$44-((Calc!R14-1)*Skills!D14))))/Inputs!$B$44),IF(Inputs!$B$39="pvp",MIN((Skills!T14*(1+Inputs!$B$35/100)),15)/15,(Skills!T14*(1+Inputs!$B$35/100))/Skills!D14)))</f>
        <v/>
      </c>
    </row>
    <row r="60">
      <c r="A60" t="inlineStr">
        <is>
          <t>Attack Speed Buff Bonus % (Nimble Feet, duty-cycle averaged)</t>
        </is>
      </c>
      <c r="B60">
        <f>((Calc!C20=TRUE)*Calc!F20*IF(AND(Inputs!$B$39&lt;&gt;"pvp",Inputs!$B$44&gt;0),(((Calc!R20-1)*(Skills!T20*(1+Inputs!$B$35/100))+MIN((Skills!T20*(1+Inputs!$B$35/100)),MAX(0,Inputs!$B$44-((Calc!R20-1)*Skills!D20))))/Inputs!$B$44),IF(Inputs!$B$39="pvp",MIN((Skills!T20*(1+Inputs!$B$35/100)),15)/15,(Skills!T20*(1+Inputs!$B$35/100))/Skills!D20)))</f>
        <v/>
      </c>
    </row>
    <row r="61">
      <c r="A61" t="inlineStr">
        <is>
          <t>Actions Per Second</t>
        </is>
      </c>
      <c r="B61">
        <f>1+MIN(150,150*(1-(1-Inputs!$B$12/150)*(1-B60/150)))/100</f>
        <v/>
      </c>
    </row>
    <row r="62">
      <c r="A62" t="inlineStr">
        <is>
          <t>Skill + Buff Cast Rate (subtracted from Dark Impale, 1/s)</t>
        </is>
      </c>
      <c r="B62">
        <f>IF(AND(Inputs!$B$39&lt;&gt;"pvp",Inputs!$B$44&gt;0),SUMPRODUCT((Skills!E2:E26=TRUE)*(Calc!C2:C26=TRUE)*Calc!R2:R26*Skills!F2:F26)/Inputs!$B$44,SUMPRODUCT((Skills!E2:E26=TRUE)*(Calc!C2:C26=TRUE)*Calc!Q2:Q26*Skills!F2:F26))</f>
        <v/>
      </c>
    </row>
    <row r="63">
      <c r="A63" t="inlineStr">
        <is>
          <t>Dark Impale (Basic Attack) Casts Per Second</t>
        </is>
      </c>
      <c r="B63">
        <f>MAX(0,B61-B62)</f>
        <v/>
      </c>
    </row>
    <row r="64">
      <c r="A64" t="inlineStr">
        <is>
          <t>Global Critical Damage Bonus % (Lord of Darkness, proc-chance x duty-cycle)</t>
        </is>
      </c>
      <c r="B64">
        <f>((Calc!C19=TRUE)*Calc!F19*(Skills!J19/100)*IF(AND(Inputs!$B$39&lt;&gt;"pvp",Inputs!$B$44&gt;0),(((Calc!R19-1)*(Skills!T19*(1+Inputs!$B$35/100))+MIN((Skills!T19*(1+Inputs!$B$35/100)),MAX(0,Inputs!$B$44-((Calc!R19-1)*Skills!D19))))/Inputs!$B$44),IF(Inputs!$B$39="pvp",MIN((Skills!T19*(1+Inputs!$B$35/100)),15)/15,(Skills!T19*(1+Inputs!$B$35/100))/Skills!D19)))</f>
        <v/>
      </c>
    </row>
    <row r="65">
      <c r="A65" t="inlineStr">
        <is>
          <t>Global Final Damage Bonus % (unused — no live Final-Damage-buff source exists in this kit)</t>
        </is>
      </c>
      <c r="B65" t="n">
        <v>0</v>
      </c>
    </row>
    <row r="66">
      <c r="A66" t="inlineStr">
        <is>
          <t>Dark Impale (Basic Attack) DPS</t>
        </is>
      </c>
      <c r="B66">
        <f>Calc!O2</f>
        <v/>
      </c>
    </row>
    <row r="67">
      <c r="A67" t="inlineStr">
        <is>
          <t>Buff-Casting Startup Delay (s, before first damage-skill cast; fixed-duration only)</t>
        </is>
      </c>
      <c r="B67">
        <f>IF(AND(Inputs!$B$39&lt;&gt;"pvp",Inputs!$B$44&gt;0),SUMPRODUCT((Skills!T2:T26&gt;0)*(Skills!E2:E26=TRUE)*(Calc!C2:C26=TRUE))/B61,0)</f>
        <v/>
      </c>
    </row>
    <row r="68">
      <c r="A68" t="inlineStr">
        <is>
          <t>Boss-Only Total DPS (Sensitivity baseline)</t>
        </is>
      </c>
      <c r="B68">
        <f>SUM(Calc!T2:T26)</f>
        <v/>
      </c>
    </row>
    <row r="69">
      <c r="A69" t="inlineStr">
        <is>
          <t>Normal-Only Total DPS (Sensitivity baseline)</t>
        </is>
      </c>
      <c r="B69">
        <f>SUM(Calc!V2:V26)</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64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Inputs!$B$13</f>
        <v/>
      </c>
      <c r="E5">
        <f>(Inputs!$B$13+1)</f>
        <v/>
      </c>
      <c r="F5">
        <f>Summary!$B$3</f>
        <v/>
      </c>
      <c r="G5">
        <f>B74</f>
        <v/>
      </c>
      <c r="H5">
        <f>Summary!$B$3*(((1-Summary!$B$55)*IFERROR(B72/Summary!$B$68,1)+Summary!$B$55*IFERROR(B73/Summary!$B$69,1))-1)</f>
        <v/>
      </c>
      <c r="I5">
        <f>((1-Summary!$B$55)*IFERROR(B72/Summary!$B$68,1)+Summary!$B$55*IFERROR(B73/Summary!$B$69,1))*100</f>
        <v/>
      </c>
    </row>
    <row r="6">
      <c r="A6" t="inlineStr">
        <is>
          <t>STR %</t>
        </is>
      </c>
      <c r="B6">
        <f>IFERROR(1/(I6-100),"n/a")</f>
        <v/>
      </c>
      <c r="C6" t="inlineStr">
        <is>
          <t>pct</t>
        </is>
      </c>
      <c r="D6">
        <f>Inputs!$B$14</f>
        <v/>
      </c>
      <c r="E6">
        <f>(Inputs!$B$14+1)</f>
        <v/>
      </c>
      <c r="F6">
        <f>Summary!$B$3</f>
        <v/>
      </c>
      <c r="G6">
        <f>B116</f>
        <v/>
      </c>
      <c r="H6">
        <f>Summary!$B$3*(((1-Summary!$B$55)*IFERROR(B114/Summary!$B$68,1)+Summary!$B$55*IFERROR(B115/Summary!$B$69,1))-1)</f>
        <v/>
      </c>
      <c r="I6">
        <f>((1-Summary!$B$55)*IFERROR(B114/Summary!$B$68,1)+Summary!$B$55*IFERROR(B115/Summary!$B$69,1))*100</f>
        <v/>
      </c>
    </row>
    <row r="7">
      <c r="A7" t="inlineStr">
        <is>
          <t>DEX</t>
        </is>
      </c>
      <c r="B7">
        <f>IFERROR(1/(I7-100),"n/a")</f>
        <v/>
      </c>
      <c r="C7" t="inlineStr">
        <is>
          <t>flat</t>
        </is>
      </c>
      <c r="D7">
        <f>Inputs!$B$15</f>
        <v/>
      </c>
      <c r="E7">
        <f>(Inputs!$B$15+1)</f>
        <v/>
      </c>
      <c r="F7">
        <f>Summary!$B$3</f>
        <v/>
      </c>
      <c r="G7">
        <f>B158</f>
        <v/>
      </c>
      <c r="H7">
        <f>Summary!$B$3*(((1-Summary!$B$55)*IFERROR(B156/Summary!$B$68,1)+Summary!$B$55*IFERROR(B157/Summary!$B$69,1))-1)</f>
        <v/>
      </c>
      <c r="I7">
        <f>((1-Summary!$B$55)*IFERROR(B156/Summary!$B$68,1)+Summary!$B$55*IFERROR(B157/Summary!$B$69,1))*100</f>
        <v/>
      </c>
    </row>
    <row r="8">
      <c r="A8" t="inlineStr">
        <is>
          <t>Defense (flat) — Iron Wall converts a level-scaling % (10%+) into STR</t>
        </is>
      </c>
      <c r="B8">
        <f>IFERROR(1/(I8-100),"n/a")</f>
        <v/>
      </c>
      <c r="C8" t="inlineStr">
        <is>
          <t>flat</t>
        </is>
      </c>
      <c r="D8">
        <f>Inputs!$B$8</f>
        <v/>
      </c>
      <c r="E8">
        <f>(Inputs!$B$8+1)</f>
        <v/>
      </c>
      <c r="F8">
        <f>Summary!$B$3</f>
        <v/>
      </c>
      <c r="G8">
        <f>B200</f>
        <v/>
      </c>
      <c r="H8">
        <f>Summary!$B$3*(((1-Summary!$B$55)*IFERROR(B198/Summary!$B$68,1)+Summary!$B$55*IFERROR(B199/Summary!$B$69,1))-1)</f>
        <v/>
      </c>
      <c r="I8">
        <f>((1-Summary!$B$55)*IFERROR(B198/Summary!$B$68,1)+Summary!$B$55*IFERROR(B199/Summary!$B$69,1))*100</f>
        <v/>
      </c>
    </row>
    <row r="9">
      <c r="A9" t="inlineStr">
        <is>
          <t>Defense %</t>
        </is>
      </c>
      <c r="B9">
        <f>IFERROR(1/(I9-100),"n/a")</f>
        <v/>
      </c>
      <c r="C9" t="inlineStr">
        <is>
          <t>pct</t>
        </is>
      </c>
      <c r="D9">
        <f>Inputs!$B$9</f>
        <v/>
      </c>
      <c r="E9">
        <f>(Inputs!$B$9+1)</f>
        <v/>
      </c>
      <c r="F9">
        <f>Summary!$B$3</f>
        <v/>
      </c>
      <c r="G9">
        <f>B242</f>
        <v/>
      </c>
      <c r="H9">
        <f>Summary!$B$3*(((1-Summary!$B$55)*IFERROR(B240/Summary!$B$68,1)+Summary!$B$55*IFERROR(B241/Summary!$B$69,1))-1)</f>
        <v/>
      </c>
      <c r="I9">
        <f>((1-Summary!$B$55)*IFERROR(B240/Summary!$B$68,1)+Summary!$B$55*IFERROR(B241/Summary!$B$69,1))*100</f>
        <v/>
      </c>
    </row>
    <row r="10">
      <c r="A10" t="inlineStr">
        <is>
          <t>DAMAGE %</t>
        </is>
      </c>
      <c r="B10">
        <f>IFERROR(1/(I10-100),"n/a")</f>
        <v/>
      </c>
      <c r="C10" t="inlineStr">
        <is>
          <t>pct</t>
        </is>
      </c>
      <c r="D10">
        <f>Inputs!$B$16</f>
        <v/>
      </c>
      <c r="E10">
        <f>(Inputs!$B$16+1)</f>
        <v/>
      </c>
      <c r="F10">
        <f>Summary!$B$3</f>
        <v/>
      </c>
      <c r="G10">
        <f>B284</f>
        <v/>
      </c>
      <c r="H10">
        <f>Summary!$B$3*(((1-Summary!$B$55)*IFERROR(B282/Summary!$B$68,1)+Summary!$B$55*IFERROR(B283/Summary!$B$69,1))-1)</f>
        <v/>
      </c>
      <c r="I10">
        <f>((1-Summary!$B$55)*IFERROR(B282/Summary!$B$68,1)+Summary!$B$55*IFERROR(B283/Summary!$B$69,1))*100</f>
        <v/>
      </c>
    </row>
    <row r="11">
      <c r="A11" t="inlineStr">
        <is>
          <t>DAMAGE_AMP %</t>
        </is>
      </c>
      <c r="B11">
        <f>IFERROR(1/(I11-100),"n/a")</f>
        <v/>
      </c>
      <c r="C11" t="inlineStr">
        <is>
          <t>pct</t>
        </is>
      </c>
      <c r="D11">
        <f>Inputs!$B$17</f>
        <v/>
      </c>
      <c r="E11">
        <f>(Inputs!$B$17+1)</f>
        <v/>
      </c>
      <c r="F11">
        <f>Summary!$B$3</f>
        <v/>
      </c>
      <c r="G11">
        <f>B326</f>
        <v/>
      </c>
      <c r="H11">
        <f>Summary!$B$3*(((1-Summary!$B$55)*IFERROR(B324/Summary!$B$68,1)+Summary!$B$55*IFERROR(B325/Summary!$B$69,1))-1)</f>
        <v/>
      </c>
      <c r="I11">
        <f>((1-Summary!$B$55)*IFERROR(B324/Summary!$B$68,1)+Summary!$B$55*IFERROR(B325/Summary!$B$69,1))*100</f>
        <v/>
      </c>
    </row>
    <row r="12">
      <c r="A12" t="inlineStr">
        <is>
          <t>BOSS_DAMAGE %</t>
        </is>
      </c>
      <c r="B12">
        <f>IFERROR(1/(I12-100),"n/a")</f>
        <v/>
      </c>
      <c r="C12" t="inlineStr">
        <is>
          <t>pct</t>
        </is>
      </c>
      <c r="D12">
        <f>Inputs!$B$21</f>
        <v/>
      </c>
      <c r="E12">
        <f>(Inputs!$B$21+1)</f>
        <v/>
      </c>
      <c r="F12">
        <f>Summary!$B$3</f>
        <v/>
      </c>
      <c r="G12">
        <f>B368</f>
        <v/>
      </c>
      <c r="H12">
        <f>Summary!$B$3*(((1-Summary!$B$55)*IFERROR(B366/Summary!$B$68,1)+Summary!$B$55*IFERROR(B367/Summary!$B$69,1))-1)</f>
        <v/>
      </c>
      <c r="I12">
        <f>((1-Summary!$B$55)*IFERROR(B366/Summary!$B$68,1)+Summary!$B$55*IFERROR(B367/Summary!$B$69,1))*100</f>
        <v/>
      </c>
    </row>
    <row r="13">
      <c r="A13" t="inlineStr">
        <is>
          <t>NORMAL_DAMAGE %</t>
        </is>
      </c>
      <c r="B13">
        <f>IFERROR(1/(I13-100),"n/a")</f>
        <v/>
      </c>
      <c r="C13" t="inlineStr">
        <is>
          <t>pct</t>
        </is>
      </c>
      <c r="D13">
        <f>Inputs!$B$22</f>
        <v/>
      </c>
      <c r="E13">
        <f>(Inputs!$B$22+1)</f>
        <v/>
      </c>
      <c r="F13">
        <f>Summary!$B$3</f>
        <v/>
      </c>
      <c r="G13">
        <f>B410</f>
        <v/>
      </c>
      <c r="H13">
        <f>Summary!$B$3*(((1-Summary!$B$55)*IFERROR(B408/Summary!$B$68,1)+Summary!$B$55*IFERROR(B409/Summary!$B$69,1))-1)</f>
        <v/>
      </c>
      <c r="I13">
        <f>((1-Summary!$B$55)*IFERROR(B408/Summary!$B$68,1)+Summary!$B$55*IFERROR(B409/Summary!$B$69,1))*100</f>
        <v/>
      </c>
    </row>
    <row r="14">
      <c r="A14" t="inlineStr">
        <is>
          <t>FINAL_DAMAGE % (multiplicative source)</t>
        </is>
      </c>
      <c r="B14">
        <f>IFERROR(1/(I14-100),"n/a")</f>
        <v/>
      </c>
      <c r="C14" t="inlineStr">
        <is>
          <t>mult</t>
        </is>
      </c>
      <c r="D14">
        <f>Inputs!$B$25</f>
        <v/>
      </c>
      <c r="E14">
        <f>((((1+Inputs!$B$25/100)*(1.01))-1)*100)</f>
        <v/>
      </c>
      <c r="F14">
        <f>Summary!$B$3</f>
        <v/>
      </c>
      <c r="G14">
        <f>B452</f>
        <v/>
      </c>
      <c r="H14">
        <f>Summary!$B$3*(((1-Summary!$B$55)*IFERROR(B450/Summary!$B$68,1)+Summary!$B$55*IFERROR(B451/Summary!$B$69,1))-1)</f>
        <v/>
      </c>
      <c r="I14">
        <f>((1-Summary!$B$55)*IFERROR(B450/Summary!$B$68,1)+Summary!$B$55*IFERROR(B451/Summary!$B$69,1))*100</f>
        <v/>
      </c>
    </row>
    <row r="15">
      <c r="A15" t="inlineStr">
        <is>
          <t>MIN_DAMAGE %</t>
        </is>
      </c>
      <c r="B15">
        <f>IFERROR(1/(I15-100),"n/a")</f>
        <v/>
      </c>
      <c r="C15" t="inlineStr">
        <is>
          <t>pct</t>
        </is>
      </c>
      <c r="D15">
        <f>Inputs!$B$23</f>
        <v/>
      </c>
      <c r="E15">
        <f>(Inputs!$B$23+1)</f>
        <v/>
      </c>
      <c r="F15">
        <f>Summary!$B$3</f>
        <v/>
      </c>
      <c r="G15">
        <f>B494</f>
        <v/>
      </c>
      <c r="H15">
        <f>Summary!$B$3*(((1-Summary!$B$55)*IFERROR(B492/Summary!$B$68,1)+Summary!$B$55*IFERROR(B493/Summary!$B$69,1))-1)</f>
        <v/>
      </c>
      <c r="I15">
        <f>((1-Summary!$B$55)*IFERROR(B492/Summary!$B$68,1)+Summary!$B$55*IFERROR(B493/Summary!$B$69,1))*100</f>
        <v/>
      </c>
    </row>
    <row r="16">
      <c r="A16" t="inlineStr">
        <is>
          <t>MAX_DAMAGE %</t>
        </is>
      </c>
      <c r="B16">
        <f>IFERROR(1/(I16-100),"n/a")</f>
        <v/>
      </c>
      <c r="C16" t="inlineStr">
        <is>
          <t>pct</t>
        </is>
      </c>
      <c r="D16">
        <f>Inputs!$B$24</f>
        <v/>
      </c>
      <c r="E16">
        <f>(Inputs!$B$24+1)</f>
        <v/>
      </c>
      <c r="F16">
        <f>Summary!$B$3</f>
        <v/>
      </c>
      <c r="G16">
        <f>B536</f>
        <v/>
      </c>
      <c r="H16">
        <f>Summary!$B$3*(((1-Summary!$B$55)*IFERROR(B534/Summary!$B$68,1)+Summary!$B$55*IFERROR(B535/Summary!$B$69,1))-1)</f>
        <v/>
      </c>
      <c r="I16">
        <f>((1-Summary!$B$55)*IFERROR(B534/Summary!$B$68,1)+Summary!$B$55*IFERROR(B535/Summary!$B$69,1))*100</f>
        <v/>
      </c>
    </row>
    <row r="17">
      <c r="A17" t="inlineStr">
        <is>
          <t>CRIT_RATE %</t>
        </is>
      </c>
      <c r="B17">
        <f>IFERROR(1/(I17-100),"n/a")</f>
        <v/>
      </c>
      <c r="C17" t="inlineStr">
        <is>
          <t>pct</t>
        </is>
      </c>
      <c r="D17">
        <f>Inputs!$B$10</f>
        <v/>
      </c>
      <c r="E17">
        <f>(Inputs!$B$10+1)</f>
        <v/>
      </c>
      <c r="F17">
        <f>Summary!$B$3</f>
        <v/>
      </c>
      <c r="G17">
        <f>B578</f>
        <v/>
      </c>
      <c r="H17">
        <f>Summary!$B$3*(((1-Summary!$B$55)*IFERROR(B576/Summary!$B$68,1)+Summary!$B$55*IFERROR(B577/Summary!$B$69,1))-1)</f>
        <v/>
      </c>
      <c r="I17">
        <f>((1-Summary!$B$55)*IFERROR(B576/Summary!$B$68,1)+Summary!$B$55*IFERROR(B577/Summary!$B$69,1))*100</f>
        <v/>
      </c>
    </row>
    <row r="18">
      <c r="A18" t="inlineStr">
        <is>
          <t>CRIT_DAMAGE %</t>
        </is>
      </c>
      <c r="B18">
        <f>IFERROR(1/(I18-100),"n/a")</f>
        <v/>
      </c>
      <c r="C18" t="inlineStr">
        <is>
          <t>pct</t>
        </is>
      </c>
      <c r="D18">
        <f>Inputs!$B$11</f>
        <v/>
      </c>
      <c r="E18">
        <f>(Inputs!$B$11+1)</f>
        <v/>
      </c>
      <c r="F18">
        <f>Summary!$B$3</f>
        <v/>
      </c>
      <c r="G18">
        <f>B620</f>
        <v/>
      </c>
      <c r="H18">
        <f>Summary!$B$3*(((1-Summary!$B$55)*IFERROR(B618/Summary!$B$68,1)+Summary!$B$55*IFERROR(B619/Summary!$B$69,1))-1)</f>
        <v/>
      </c>
      <c r="I18">
        <f>((1-Summary!$B$55)*IFERROR(B618/Summary!$B$68,1)+Summary!$B$55*IFERROR(B619/Summary!$B$69,1))*100</f>
        <v/>
      </c>
    </row>
    <row r="19">
      <c r="A19" t="inlineStr">
        <is>
          <t>ATTACK_SPEED % (diminishing returns, factor 150)</t>
        </is>
      </c>
      <c r="B19">
        <f>IFERROR(1/(I19-100),"n/a")</f>
        <v/>
      </c>
      <c r="C19" t="inlineStr">
        <is>
          <t>dr150</t>
        </is>
      </c>
      <c r="D19">
        <f>Inputs!$B$12</f>
        <v/>
      </c>
      <c r="E19">
        <f>((1-(1-Inputs!$B$12/150)*(1-1/150))*150)</f>
        <v/>
      </c>
      <c r="F19">
        <f>Summary!$B$3</f>
        <v/>
      </c>
      <c r="G19">
        <f>B662</f>
        <v/>
      </c>
      <c r="H19">
        <f>Summary!$B$3*(((1-Summary!$B$55)*IFERROR(B660/Summary!$B$68,1)+Summary!$B$55*IFERROR(B661/Summary!$B$69,1))-1)</f>
        <v/>
      </c>
      <c r="I19">
        <f>((1-Summary!$B$55)*IFERROR(B660/Summary!$B$68,1)+Summary!$B$55*IFERROR(B661/Summary!$B$69,1))*100</f>
        <v/>
      </c>
    </row>
    <row r="20">
      <c r="A20" t="inlineStr">
        <is>
          <t>DEF_PEN % (diminishing returns, factor 100)</t>
        </is>
      </c>
      <c r="B20">
        <f>IFERROR(1/(I20-100),"n/a")</f>
        <v/>
      </c>
      <c r="C20" t="inlineStr">
        <is>
          <t>dr100</t>
        </is>
      </c>
      <c r="D20">
        <f>Inputs!$B$20</f>
        <v/>
      </c>
      <c r="E20">
        <f>((1-(1-Inputs!$B$20/100)*(1-1/100))*100)</f>
        <v/>
      </c>
      <c r="F20">
        <f>Summary!$B$3</f>
        <v/>
      </c>
      <c r="G20">
        <f>B704</f>
        <v/>
      </c>
      <c r="H20">
        <f>Summary!$B$3*(((1-Summary!$B$55)*IFERROR(B702/Summary!$B$68,1)+Summary!$B$55*IFERROR(B703/Summary!$B$69,1))-1)</f>
        <v/>
      </c>
      <c r="I20">
        <f>((1-Summary!$B$55)*IFERROR(B702/Summary!$B$68,1)+Summary!$B$55*IFERROR(B703/Summary!$B$69,1))*100</f>
        <v/>
      </c>
    </row>
    <row r="21">
      <c r="A21" t="inlineStr">
        <is>
          <t>BASIC_ATTACK_DAMAGE %</t>
        </is>
      </c>
      <c r="B21">
        <f>IFERROR(1/(I21-100),"n/a")</f>
        <v/>
      </c>
      <c r="C21" t="inlineStr">
        <is>
          <t>pct</t>
        </is>
      </c>
      <c r="D21">
        <f>Inputs!$B$18</f>
        <v/>
      </c>
      <c r="E21">
        <f>(Inputs!$B$18+1)</f>
        <v/>
      </c>
      <c r="F21">
        <f>Summary!$B$3</f>
        <v/>
      </c>
      <c r="G21">
        <f>B746</f>
        <v/>
      </c>
      <c r="H21">
        <f>Summary!$B$3*(((1-Summary!$B$55)*IFERROR(B744/Summary!$B$68,1)+Summary!$B$55*IFERROR(B745/Summary!$B$69,1))-1)</f>
        <v/>
      </c>
      <c r="I21">
        <f>((1-Summary!$B$55)*IFERROR(B744/Summary!$B$68,1)+Summary!$B$55*IFERROR(B745/Summary!$B$69,1))*100</f>
        <v/>
      </c>
    </row>
    <row r="22">
      <c r="A22" t="inlineStr">
        <is>
          <t>SKILL_DAMAGE %</t>
        </is>
      </c>
      <c r="B22">
        <f>IFERROR(1/(I22-100),"n/a")</f>
        <v/>
      </c>
      <c r="C22" t="inlineStr">
        <is>
          <t>pct</t>
        </is>
      </c>
      <c r="D22">
        <f>Inputs!$B$19</f>
        <v/>
      </c>
      <c r="E22">
        <f>(Inputs!$B$19+1)</f>
        <v/>
      </c>
      <c r="F22">
        <f>Summary!$B$3</f>
        <v/>
      </c>
      <c r="G22">
        <f>B788</f>
        <v/>
      </c>
      <c r="H22">
        <f>Summary!$B$3*(((1-Summary!$B$55)*IFERROR(B786/Summary!$B$68,1)+Summary!$B$55*IFERROR(B787/Summary!$B$69,1))-1)</f>
        <v/>
      </c>
      <c r="I22">
        <f>((1-Summary!$B$55)*IFERROR(B786/Summary!$B$68,1)+Summary!$B$55*IFERROR(B787/Summary!$B$69,1))*100</f>
        <v/>
      </c>
    </row>
    <row r="23">
      <c r="A23" t="inlineStr">
        <is>
          <t>Skill Level Bonus — 1st Job</t>
        </is>
      </c>
      <c r="B23">
        <f>IFERROR(1/(I23-100),"n/a")</f>
        <v/>
      </c>
      <c r="C23" t="inlineStr">
        <is>
          <t>level</t>
        </is>
      </c>
      <c r="D23">
        <f>Inputs!$B$26</f>
        <v/>
      </c>
      <c r="E23">
        <f>(Inputs!$B$26+1)</f>
        <v/>
      </c>
      <c r="F23">
        <f>Summary!$B$3</f>
        <v/>
      </c>
      <c r="G23">
        <f>B830</f>
        <v/>
      </c>
      <c r="H23">
        <f>Summary!$B$3*(((1-Summary!$B$55)*IFERROR(B828/Summary!$B$68,1)+Summary!$B$55*IFERROR(B829/Summary!$B$69,1))-1)</f>
        <v/>
      </c>
      <c r="I23">
        <f>((1-Summary!$B$55)*IFERROR(B828/Summary!$B$68,1)+Summary!$B$55*IFERROR(B829/Summary!$B$69,1))*100</f>
        <v/>
      </c>
    </row>
    <row r="24">
      <c r="A24" t="inlineStr">
        <is>
          <t>Skill Level Bonus — 2nd Job</t>
        </is>
      </c>
      <c r="B24">
        <f>IFERROR(1/(I24-100),"n/a")</f>
        <v/>
      </c>
      <c r="C24" t="inlineStr">
        <is>
          <t>level</t>
        </is>
      </c>
      <c r="D24">
        <f>Inputs!$B$27</f>
        <v/>
      </c>
      <c r="E24">
        <f>(Inputs!$B$27+1)</f>
        <v/>
      </c>
      <c r="F24">
        <f>Summary!$B$3</f>
        <v/>
      </c>
      <c r="G24">
        <f>B872</f>
        <v/>
      </c>
      <c r="H24">
        <f>Summary!$B$3*(((1-Summary!$B$55)*IFERROR(B870/Summary!$B$68,1)+Summary!$B$55*IFERROR(B871/Summary!$B$69,1))-1)</f>
        <v/>
      </c>
      <c r="I24">
        <f>((1-Summary!$B$55)*IFERROR(B870/Summary!$B$68,1)+Summary!$B$55*IFERROR(B871/Summary!$B$69,1))*100</f>
        <v/>
      </c>
    </row>
    <row r="25">
      <c r="A25" t="inlineStr">
        <is>
          <t>Skill Level Bonus — 3rd Job</t>
        </is>
      </c>
      <c r="B25">
        <f>IFERROR(1/(I25-100),"n/a")</f>
        <v/>
      </c>
      <c r="C25" t="inlineStr">
        <is>
          <t>level</t>
        </is>
      </c>
      <c r="D25">
        <f>Inputs!$B$28</f>
        <v/>
      </c>
      <c r="E25">
        <f>(Inputs!$B$28+1)</f>
        <v/>
      </c>
      <c r="F25">
        <f>Summary!$B$3</f>
        <v/>
      </c>
      <c r="G25">
        <f>B914</f>
        <v/>
      </c>
      <c r="H25">
        <f>Summary!$B$3*(((1-Summary!$B$55)*IFERROR(B912/Summary!$B$68,1)+Summary!$B$55*IFERROR(B913/Summary!$B$69,1))-1)</f>
        <v/>
      </c>
      <c r="I25">
        <f>((1-Summary!$B$55)*IFERROR(B912/Summary!$B$68,1)+Summary!$B$55*IFERROR(B913/Summary!$B$69,1))*100</f>
        <v/>
      </c>
    </row>
    <row r="26">
      <c r="A26" t="inlineStr">
        <is>
          <t>Skill Level Bonus — 4th Job</t>
        </is>
      </c>
      <c r="B26">
        <f>IFERROR(1/(I26-100),"n/a")</f>
        <v/>
      </c>
      <c r="C26" t="inlineStr">
        <is>
          <t>level</t>
        </is>
      </c>
      <c r="D26">
        <f>Inputs!$B$29</f>
        <v/>
      </c>
      <c r="E26">
        <f>(Inputs!$B$29+1)</f>
        <v/>
      </c>
      <c r="F26">
        <f>Summary!$B$3</f>
        <v/>
      </c>
      <c r="G26">
        <f>B956</f>
        <v/>
      </c>
      <c r="H26">
        <f>Summary!$B$3*(((1-Summary!$B$55)*IFERROR(B954/Summary!$B$68,1)+Summary!$B$55*IFERROR(B955/Summary!$B$69,1))-1)</f>
        <v/>
      </c>
      <c r="I26">
        <f>((1-Summary!$B$55)*IFERROR(B954/Summary!$B$68,1)+Summary!$B$55*IFERROR(B955/Summary!$B$69,1))*100</f>
        <v/>
      </c>
    </row>
    <row r="27">
      <c r="A27" t="inlineStr">
        <is>
          <t>Skill Level Bonus — All Skills</t>
        </is>
      </c>
      <c r="B27">
        <f>IFERROR(1/(I27-100),"n/a")</f>
        <v/>
      </c>
      <c r="C27" t="inlineStr">
        <is>
          <t>level</t>
        </is>
      </c>
      <c r="D27">
        <f>Inputs!$B$30</f>
        <v/>
      </c>
      <c r="E27">
        <f>(Inputs!$B$30+1)</f>
        <v/>
      </c>
      <c r="F27">
        <f>Summary!$B$3</f>
        <v/>
      </c>
      <c r="G27">
        <f>B998</f>
        <v/>
      </c>
      <c r="H27">
        <f>Summary!$B$3*(((1-Summary!$B$55)*IFERROR(B996/Summary!$B$68,1)+Summary!$B$55*IFERROR(B997/Summary!$B$69,1))-1)</f>
        <v/>
      </c>
      <c r="I27">
        <f>((1-Summary!$B$55)*IFERROR(B996/Summary!$B$68,1)+Summary!$B$55*IFERROR(B997/Summary!$B$69,1))*100</f>
        <v/>
      </c>
    </row>
    <row r="28">
      <c r="A28" t="inlineStr">
        <is>
          <t>Flat ATTACK</t>
        </is>
      </c>
      <c r="B28">
        <f>IFERROR(1/(I28-100),"n/a")</f>
        <v/>
      </c>
      <c r="C28" t="inlineStr">
        <is>
          <t>flat</t>
        </is>
      </c>
      <c r="D28">
        <f>Inputs!$B$6</f>
        <v/>
      </c>
      <c r="E28">
        <f>(Inputs!$B$6+1)</f>
        <v/>
      </c>
      <c r="F28">
        <f>Summary!$B$3</f>
        <v/>
      </c>
      <c r="G28">
        <f>B1040</f>
        <v/>
      </c>
      <c r="H28">
        <f>Summary!$B$3*(((1-Summary!$B$55)*IFERROR(B1038/Summary!$B$68,1)+Summary!$B$55*IFERROR(B1039/Summary!$B$69,1))-1)</f>
        <v/>
      </c>
      <c r="I28">
        <f>((1-Summary!$B$55)*IFERROR(B1038/Summary!$B$68,1)+Summary!$B$55*IFERROR(B1039/Summary!$B$69,1))*100</f>
        <v/>
      </c>
    </row>
    <row r="29">
      <c r="A29" t="inlineStr">
        <is>
          <t>ATTACK %</t>
        </is>
      </c>
      <c r="B29">
        <f>IFERROR(1/(I29-100),"n/a")</f>
        <v/>
      </c>
      <c r="C29" t="inlineStr">
        <is>
          <t>pct</t>
        </is>
      </c>
      <c r="D29">
        <f>Inputs!$B$7</f>
        <v/>
      </c>
      <c r="E29">
        <f>(Inputs!$B$7+1)</f>
        <v/>
      </c>
      <c r="F29">
        <f>Summary!$B$3</f>
        <v/>
      </c>
      <c r="G29">
        <f>B1082</f>
        <v/>
      </c>
      <c r="H29">
        <f>Summary!$B$3*(((1-Summary!$B$55)*IFERROR(B1080/Summary!$B$68,1)+Summary!$B$55*IFERROR(B1081/Summary!$B$69,1))-1)</f>
        <v/>
      </c>
      <c r="I29">
        <f>((1-Summary!$B$55)*IFERROR(B1080/Summary!$B$68,1)+Summary!$B$55*IFERROR(B1081/Summary!$B$69,1))*100</f>
        <v/>
      </c>
    </row>
    <row r="30">
      <c r="A30" t="inlineStr">
        <is>
          <t>Skill Cooldown Decrease (seconds)</t>
        </is>
      </c>
      <c r="B30">
        <f>IFERROR(1/(I30-100),"n/a")</f>
        <v/>
      </c>
      <c r="C30" t="inlineStr">
        <is>
          <t>flat</t>
        </is>
      </c>
      <c r="D30">
        <f>Inputs!$B$33</f>
        <v/>
      </c>
      <c r="E30">
        <f>(Inputs!$B$33+1)</f>
        <v/>
      </c>
      <c r="F30">
        <f>Summary!$B$3</f>
        <v/>
      </c>
      <c r="G30">
        <f>B1124</f>
        <v/>
      </c>
      <c r="H30">
        <f>Summary!$B$3*(((1-Summary!$B$55)*IFERROR(B1122/Summary!$B$68,1)+Summary!$B$55*IFERROR(B1123/Summary!$B$69,1))-1)</f>
        <v/>
      </c>
      <c r="I30">
        <f>((1-Summary!$B$55)*IFERROR(B1122/Summary!$B$68,1)+Summary!$B$55*IFERROR(B1123/Summary!$B$69,1))*100</f>
        <v/>
      </c>
    </row>
    <row r="31">
      <c r="A31" t="inlineStr">
        <is>
          <t>Basic Attack Target Increase (flat)</t>
        </is>
      </c>
      <c r="B31">
        <f>IFERROR(1/(I31-100),"n/a")</f>
        <v/>
      </c>
      <c r="C31" t="inlineStr">
        <is>
          <t>flat</t>
        </is>
      </c>
      <c r="D31">
        <f>Inputs!$B$34</f>
        <v/>
      </c>
      <c r="E31">
        <f>(Inputs!$B$34+1)</f>
        <v/>
      </c>
      <c r="F31">
        <f>Summary!$B$3</f>
        <v/>
      </c>
      <c r="G31">
        <f>B1166</f>
        <v/>
      </c>
      <c r="H31">
        <f>Summary!$B$3*(((1-Summary!$B$55)*IFERROR(B1164/Summary!$B$68,1)+Summary!$B$55*IFERROR(B1165/Summary!$B$69,1))-1)</f>
        <v/>
      </c>
      <c r="I31">
        <f>((1-Summary!$B$55)*IFERROR(B1164/Summary!$B$68,1)+Summary!$B$55*IFERROR(B1165/Summary!$B$69,1))*100</f>
        <v/>
      </c>
    </row>
    <row r="32">
      <c r="A32" t="inlineStr">
        <is>
          <t>Buff Duration Increase %</t>
        </is>
      </c>
      <c r="B32">
        <f>IFERROR(1/(I32-100),"n/a")</f>
        <v/>
      </c>
      <c r="C32" t="inlineStr">
        <is>
          <t>pct</t>
        </is>
      </c>
      <c r="D32">
        <f>Inputs!$B$35</f>
        <v/>
      </c>
      <c r="E32">
        <f>(Inputs!$B$35+1)</f>
        <v/>
      </c>
      <c r="F32">
        <f>Summary!$B$3</f>
        <v/>
      </c>
      <c r="G32">
        <f>B1208</f>
        <v/>
      </c>
      <c r="H32">
        <f>Summary!$B$3*(((1-Summary!$B$55)*IFERROR(B1206/Summary!$B$68,1)+Summary!$B$55*IFERROR(B1207/Summary!$B$69,1))-1)</f>
        <v/>
      </c>
      <c r="I32">
        <f>((1-Summary!$B$55)*IFERROR(B1206/Summary!$B$68,1)+Summary!$B$55*IFERROR(B1207/Summary!$B$69,1))*100</f>
        <v/>
      </c>
    </row>
    <row r="35">
      <c r="A35" s="5" t="inlineStr">
        <is>
          <t>Stat: Flat STR</t>
        </is>
      </c>
    </row>
    <row r="36">
      <c r="A36" s="9" t="inlineStr">
        <is>
          <t>Key</t>
        </is>
      </c>
      <c r="B36" s="9" t="inlineStr">
        <is>
          <t>Name</t>
        </is>
      </c>
      <c r="C36" s="9" t="inlineStr">
        <is>
          <t>Unlocked</t>
        </is>
      </c>
      <c r="D36" s="9" t="inlineStr">
        <is>
          <t>InputLevel</t>
        </is>
      </c>
      <c r="E36" s="9" t="inlineStr">
        <is>
          <t>Factor</t>
        </is>
      </c>
      <c r="F36" s="9" t="inlineStr">
        <is>
          <t>CoefficientPercent</t>
        </is>
      </c>
      <c r="G36" s="9" t="inlineStr">
        <is>
          <t>EffectiveHits</t>
        </is>
      </c>
      <c r="H36" s="9" t="inlineStr">
        <is>
          <t>ProcProbability</t>
        </is>
      </c>
      <c r="I36" s="9" t="inlineStr">
        <is>
          <t>MapleHeroMultiplier</t>
        </is>
      </c>
      <c r="J36" s="9" t="inlineStr">
        <is>
          <t>BaseDamage</t>
        </is>
      </c>
      <c r="K36" s="9" t="inlineStr">
        <is>
          <t>BaseHitDamage</t>
        </is>
      </c>
      <c r="L36" s="9" t="inlineStr">
        <is>
          <t>NonCritAvg</t>
        </is>
      </c>
      <c r="M36" s="9" t="inlineStr">
        <is>
          <t>CritAvg</t>
        </is>
      </c>
      <c r="N36" s="9" t="inlineStr">
        <is>
          <t>ExpectedDamage(perHit)</t>
        </is>
      </c>
      <c r="O36" s="9" t="inlineStr">
        <is>
          <t>DPS</t>
        </is>
      </c>
      <c r="P36" s="9" t="inlineStr">
        <is>
          <t>% of Total</t>
        </is>
      </c>
      <c r="Q36" s="9" t="inlineStr">
        <is>
          <t>InvCooldown</t>
        </is>
      </c>
      <c r="R36" s="9" t="inlineStr">
        <is>
          <t>CastsInFight</t>
        </is>
      </c>
      <c r="S36" s="9" t="inlineStr">
        <is>
          <t>HitRate(perSec)</t>
        </is>
      </c>
      <c r="U36" t="inlineStr">
        <is>
          <t>helpers</t>
        </is>
      </c>
    </row>
    <row r="37">
      <c r="A37">
        <f>Skills!A2</f>
        <v/>
      </c>
      <c r="B37">
        <f>Skills!B2</f>
        <v/>
      </c>
      <c r="C37">
        <f>Inputs!$B$3&gt;=100</f>
        <v/>
      </c>
      <c r="D37" t="inlineStr"/>
      <c r="E37" t="inlineStr"/>
      <c r="F37">
        <f>U39+Skills!O2</f>
        <v/>
      </c>
      <c r="G37">
        <f>Skills!G2*IF(Skills!H2&gt;0,Skills!I2/Skills!H2,1)</f>
        <v/>
      </c>
      <c r="H37">
        <f>1-(1-Skills!J2/100)^Skills!K2</f>
        <v/>
      </c>
      <c r="I37" t="inlineStr">
        <is>
          <t>1</t>
        </is>
      </c>
      <c r="J37">
        <f>((Inputs!$B$6*(1+Inputs!$B$7/100))+((((Inputs!$B$13+1)*(1+Inputs!$B$14/100))-(Inputs!$B$13*(1+Inputs!$B$14/100)))+0.25*(Inputs!$B$15-Inputs!$B$15))*(1+Inputs!$B$7/100))*(F37/100)</f>
        <v/>
      </c>
      <c r="K37">
        <f>J37*(1+((((Inputs!$B$13+1)+IF(Inputs!$B$3&gt;=38,(10*INDEX(FactorTable!$B$2:$Y$301, MATCH(ROUND(MIN(300,MAX(1,Inputs!$B$3)),0), FactorTable!$A$2:$A$301,0), 23)/1000)/100*(Inputs!$B$8*(1+Inputs!$B$9/100)),0))*(1+Inputs!$B$14/100))*0.01+Inputs!$B$15*0.0025)/100)*(1+Inputs!$B$16/100)*(1+Inputs!$B$17/100)*(5000/(6000+Inputs!$B$43*(1-(Inputs!$B$20+0)/100)))*(1+(Inputs!$B$25+((C60=TRUE)*(F60-Calc!F25))+((C61=TRUE)*(F61-Calc!F26))+B70)/100)*(1+(IF(Skills!A2="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37)</f>
        <v/>
      </c>
      <c r="L37">
        <f>K37*(MIN(Inputs!$B$23+((C57=TRUE)*(F57-Calc!F22)),Inputs!$B$24+((C59=TRUE)*(F59-Calc!F24)))/100+(Inputs!$B$24+((C59=TRUE)*(F59-Calc!F24)))/100)/2</f>
        <v/>
      </c>
      <c r="M37">
        <f>L37*(1+(Inputs!$B$11+0+B69)/100)</f>
        <v/>
      </c>
      <c r="N37">
        <f>L37*(1-MIN((Inputs!$B$10+0+B64),100)/100)+M37*(MIN((Inputs!$B$10+0+B64),100)/100)</f>
        <v/>
      </c>
      <c r="O37">
        <f>(1-Summary!$B$55)*T37+Summary!$B$55*V37</f>
        <v/>
      </c>
      <c r="P37">
        <f>IF(B74=0,0,O37/B74)</f>
        <v/>
      </c>
      <c r="Q37" t="n">
        <v>0</v>
      </c>
      <c r="R37" t="n">
        <v>0</v>
      </c>
      <c r="S37">
        <f>IFERROR(O37/N37,0)</f>
        <v/>
      </c>
      <c r="T37">
        <f>IF(C37,(Skills!G2*N37*B68)*IF(Inputs!$B$39="pvp",1,1+(Inputs!$B$21+0+Skills!P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0)</f>
        <v/>
      </c>
      <c r="U37">
        <f>MAX(0,(Inputs!$B$3-100)*3)+Inputs!$B$29+Inputs!$B$30</f>
        <v/>
      </c>
      <c r="V37">
        <f>IF(C37,(Skills!G2*N37*B68)*IF(Inputs!$B$39="pvp",1,(1+(Inputs!$B$22+Skills!Q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MIN((6+Inputs!$B$34),Inputs!$B$38))),0)</f>
        <v/>
      </c>
    </row>
    <row r="38">
      <c r="A38">
        <f>Skills!A3</f>
        <v/>
      </c>
      <c r="B38">
        <f>Skills!B3</f>
        <v/>
      </c>
      <c r="C38">
        <f>Inputs!$B$3&gt;=50</f>
        <v/>
      </c>
      <c r="D38">
        <f>IF(Skills!C3=1,60+Inputs!$B$26+Inputs!$B$30,IF(Skills!C3=2,90+Inputs!$B$27+Inputs!$B$30,IF(Skills!C3=3,120+Inputs!$B$28+Inputs!$B$30,MAX(0,(Inputs!$B$3-100)*3)+Inputs!$B$29+Inputs!$B$30)))</f>
        <v/>
      </c>
      <c r="E38">
        <f>INDEX(FactorTable!$B$2:$Y$301, MATCH(ROUND(MIN(300,MAX(1,D38)),0), FactorTable!$A$2:$A$301,0), Skills!M3+1)</f>
        <v/>
      </c>
      <c r="F38">
        <f>IF(Skills!N3=TRUE,(Skills!L3/10)*(E38/1000),Skills!L3/10)+Skills!O3</f>
        <v/>
      </c>
      <c r="G38" t="inlineStr"/>
      <c r="H38" t="inlineStr"/>
      <c r="I38" t="inlineStr">
        <is>
          <t>1</t>
        </is>
      </c>
      <c r="J38" t="inlineStr"/>
      <c r="K38" t="inlineStr"/>
      <c r="L38" t="inlineStr"/>
      <c r="M38" t="inlineStr"/>
      <c r="N38" t="inlineStr"/>
      <c r="O38" t="inlineStr"/>
      <c r="P38" t="inlineStr"/>
      <c r="Q38" t="inlineStr"/>
      <c r="R38" t="inlineStr"/>
      <c r="S38" t="inlineStr"/>
      <c r="U38">
        <f>INDEX(FactorTable!$B$2:$Y$301, MATCH(ROUND(MIN(300,MAX(1,U37)),0), FactorTable!$A$2:$A$301,0), 22)</f>
        <v/>
      </c>
    </row>
    <row r="39">
      <c r="A39">
        <f>Skills!A4</f>
        <v/>
      </c>
      <c r="B39">
        <f>Skills!B4</f>
        <v/>
      </c>
      <c r="C39">
        <f>Inputs!$B$3&gt;=105</f>
        <v/>
      </c>
      <c r="D39">
        <f>IF(Skills!C4=1,60+Inputs!$B$26+Inputs!$B$30,IF(Skills!C4=2,90+Inputs!$B$27+Inputs!$B$30,IF(Skills!C4=3,120+Inputs!$B$28+Inputs!$B$30,MAX(0,(Inputs!$B$3-100)*3)+Inputs!$B$29+Inputs!$B$30)))</f>
        <v/>
      </c>
      <c r="E39">
        <f>INDEX(FactorTable!$B$2:$Y$301, MATCH(ROUND(MIN(300,MAX(1,D39)),0), FactorTable!$A$2:$A$301,0), Skills!M4+1)</f>
        <v/>
      </c>
      <c r="F39">
        <f>IF(Skills!N4=TRUE,(Skills!L4/10)*(E39/1000),Skills!L4/10)+Skills!O4</f>
        <v/>
      </c>
      <c r="G39" t="inlineStr"/>
      <c r="H39" t="inlineStr"/>
      <c r="I39" t="inlineStr">
        <is>
          <t>1</t>
        </is>
      </c>
      <c r="J39" t="inlineStr"/>
      <c r="K39" t="inlineStr"/>
      <c r="L39" t="inlineStr"/>
      <c r="M39" t="inlineStr"/>
      <c r="N39" t="inlineStr"/>
      <c r="O39" t="inlineStr"/>
      <c r="P39" t="inlineStr"/>
      <c r="Q39" t="inlineStr"/>
      <c r="R39" t="inlineStr"/>
      <c r="S39" t="inlineStr"/>
      <c r="U39">
        <f>290*U38/1000</f>
        <v/>
      </c>
    </row>
    <row r="40">
      <c r="A40">
        <f>Skills!A5</f>
        <v/>
      </c>
      <c r="B40">
        <f>Skills!B5</f>
        <v/>
      </c>
      <c r="C40">
        <f>Inputs!$B$3&gt;=117</f>
        <v/>
      </c>
      <c r="D40">
        <f>IF(Skills!C5=1,60+Inputs!$B$26+Inputs!$B$30,IF(Skills!C5=2,90+Inputs!$B$27+Inputs!$B$30,IF(Skills!C5=3,120+Inputs!$B$28+Inputs!$B$30,MAX(0,(Inputs!$B$3-100)*3)+Inputs!$B$29+Inputs!$B$30)))</f>
        <v/>
      </c>
      <c r="E40">
        <f>INDEX(FactorTable!$B$2:$Y$301, MATCH(ROUND(MIN(300,MAX(1,D40)),0), FactorTable!$A$2:$A$301,0), Skills!M5+1)</f>
        <v/>
      </c>
      <c r="F40">
        <f>IF(Skills!N5=TRUE,(Skills!L5/10)*(E40/1000),Skills!L5/10)+Skills!O5</f>
        <v/>
      </c>
      <c r="G40">
        <f>Skills!G5*IF(Skills!H5&gt;0,Skills!I5/Skills!H5,1)</f>
        <v/>
      </c>
      <c r="H40">
        <f>1-(1-Skills!J5/100)^Skills!K5</f>
        <v/>
      </c>
      <c r="I40" t="inlineStr">
        <is>
          <t>1</t>
        </is>
      </c>
      <c r="J40">
        <f>((Inputs!$B$6*(1+Inputs!$B$7/100))+((((Inputs!$B$13+1)*(1+Inputs!$B$14/100))-(Inputs!$B$13*(1+Inputs!$B$14/100)))+0.25*(Inputs!$B$15-Inputs!$B$15))*(1+Inputs!$B$7/100))*(F40/100)</f>
        <v/>
      </c>
      <c r="K40">
        <f>J40*(1+((((Inputs!$B$13+1)+IF(Inputs!$B$3&gt;=38,(10*INDEX(FactorTable!$B$2:$Y$301, MATCH(ROUND(MIN(300,MAX(1,Inputs!$B$3)),0), FactorTable!$A$2:$A$301,0), 23)/1000)/100*(Inputs!$B$8*(1+Inputs!$B$9/100)),0))*(1+Inputs!$B$14/100))*0.01+Inputs!$B$15*0.0025)/100)*(1+Inputs!$B$16/100)*(1+Inputs!$B$17/100)*(5000/(6000+Inputs!$B$43*(1-(Inputs!$B$20+0)/100)))*(1+(Inputs!$B$25+((C60=TRUE)*(F60-Calc!F25))+((C61=TRUE)*(F61-Calc!F26))+B70)/100)*(1+(IF(Skills!A5="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40)</f>
        <v/>
      </c>
      <c r="L40">
        <f>K40*(MIN(Inputs!$B$23+((C57=TRUE)*(F57-Calc!F22)),Inputs!$B$24+((C59=TRUE)*(F59-Calc!F24)))/100+(Inputs!$B$24+((C59=TRUE)*(F59-Calc!F24)))/100)/2</f>
        <v/>
      </c>
      <c r="M40">
        <f>L40*(1+(Inputs!$B$11+0+B69)/100)</f>
        <v/>
      </c>
      <c r="N40">
        <f>L40*(1-MIN((Inputs!$B$10+0+B64),100)/100)+M40*(MIN((Inputs!$B$10+0+B64),100)/100)</f>
        <v/>
      </c>
      <c r="O40">
        <f>(1-Summary!$B$55)*T40+Summary!$B$55*V40</f>
        <v/>
      </c>
      <c r="P40">
        <f>IF(B74=0,0,O40/B74)</f>
        <v/>
      </c>
      <c r="Q40">
        <f>IFERROR(1/IF(Inputs!$B$39="pvp",15,MAX(0.1,Skills!D5-IF(Skills!E5=TRUE,Inputs!$B$33,0))),0)</f>
        <v/>
      </c>
      <c r="R40">
        <f>IF(AND(Inputs!$B$39&lt;&gt;"pvp",Inputs!$B$44&gt;0),IF(MAX(0,Inputs!$B$44-B71)&lt;=0,0,(INT(MAX(0,Inputs!$B$44-B71)/IF(Inputs!$B$39="pvp",15,MAX(0.1,Skills!D5-IF(Skills!E5=TRUE,Inputs!$B$33,0))))+1)),0)</f>
        <v/>
      </c>
      <c r="S40">
        <f>IFERROR(O40/N40,0)</f>
        <v/>
      </c>
      <c r="T40">
        <f>IF(C40,(H40*N40*IF(AND(Inputs!$B$39&lt;&gt;"pvp",Inputs!$B$44&gt;0),((Skills!G5*((R40-1)*IF(Skills!H5&gt;0,Skills!I5/Skills!H5,1)+IF(Skills!H5&gt;0,MIN(Skills!I5,MAX(0,MAX(0,Inputs!$B$44-B71)-((R40-1)*IF(Inputs!$B$39="pvp",15,MAX(0.1,Skills!D5-IF(Skills!E5=TRUE,Inputs!$B$33,0))))))/Skills!H5,1)))/Inputs!$B$44),G40*Q40))*IF(Inputs!$B$39="pvp",1,1+(Inputs!$B$21+0+Skills!P5+((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0)</f>
        <v/>
      </c>
      <c r="V40">
        <f>IF(C40,(H40*N40*IF(AND(Inputs!$B$39&lt;&gt;"pvp",Inputs!$B$44&gt;0),((Skills!G5*((R40-1)*IF(Skills!H5&gt;0,Skills!I5/Skills!H5,1)+IF(Skills!H5&gt;0,MIN(Skills!I5,MAX(0,MAX(0,Inputs!$B$44-B71)-((R40-1)*IF(Inputs!$B$39="pvp",15,MAX(0.1,Skills!D5-IF(Skills!E5=TRUE,Inputs!$B$33,0))))))/Skills!H5,1)))/Inputs!$B$44),G40*Q40))*IF(Inputs!$B$39="pvp",1,(1+(Inputs!$B$22+Skills!Q5+((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MIN(Skills!R5,Inputs!$B$38))),0)</f>
        <v/>
      </c>
    </row>
    <row r="41">
      <c r="A41">
        <f>Skills!A6</f>
        <v/>
      </c>
      <c r="B41">
        <f>Skills!B6</f>
        <v/>
      </c>
      <c r="C41">
        <f>Inputs!$B$3&gt;=103</f>
        <v/>
      </c>
      <c r="D41">
        <f>IF(Skills!C6=1,60+Inputs!$B$26+Inputs!$B$30,IF(Skills!C6=2,90+Inputs!$B$27+Inputs!$B$30,IF(Skills!C6=3,120+Inputs!$B$28+Inputs!$B$30,MAX(0,(Inputs!$B$3-100)*3)+Inputs!$B$29+Inputs!$B$30)))</f>
        <v/>
      </c>
      <c r="E41">
        <f>INDEX(FactorTable!$B$2:$Y$301, MATCH(ROUND(MIN(300,MAX(1,D41)),0), FactorTable!$A$2:$A$301,0), Skills!M6+1)</f>
        <v/>
      </c>
      <c r="F41">
        <f>IF(Skills!N6=TRUE,(Skills!L6/10)*(E41/1000),Skills!L6/10)+Skills!O6</f>
        <v/>
      </c>
      <c r="G41">
        <f>Skills!G6*IF(Skills!H6&gt;0,Skills!I6/Skills!H6,1)</f>
        <v/>
      </c>
      <c r="H41">
        <f>1-(1-Skills!J6/100)^Skills!K6</f>
        <v/>
      </c>
      <c r="I41" t="inlineStr">
        <is>
          <t>1</t>
        </is>
      </c>
      <c r="J41">
        <f>((Inputs!$B$6*(1+Inputs!$B$7/100))+((((Inputs!$B$13+1)*(1+Inputs!$B$14/100))-(Inputs!$B$13*(1+Inputs!$B$14/100)))+0.25*(Inputs!$B$15-Inputs!$B$15))*(1+Inputs!$B$7/100))*(F41/100)</f>
        <v/>
      </c>
      <c r="K41">
        <f>J41*(1+((((Inputs!$B$13+1)+IF(Inputs!$B$3&gt;=38,(10*INDEX(FactorTable!$B$2:$Y$301, MATCH(ROUND(MIN(300,MAX(1,Inputs!$B$3)),0), FactorTable!$A$2:$A$301,0), 23)/1000)/100*(Inputs!$B$8*(1+Inputs!$B$9/100)),0))*(1+Inputs!$B$14/100))*0.01+Inputs!$B$15*0.0025)/100)*(1+Inputs!$B$16/100)*(1+Inputs!$B$17/100)*(5000/(6000+Inputs!$B$43*(1-(Inputs!$B$20+0)/100)))*(1+(Inputs!$B$25+((C60=TRUE)*(F60-Calc!F25))+((C61=TRUE)*(F61-Calc!F26))+B70)/100)*(1+(IF(Skills!A6="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41)</f>
        <v/>
      </c>
      <c r="L41">
        <f>K41*(MIN(Inputs!$B$23+((C57=TRUE)*(F57-Calc!F22)),Inputs!$B$24+((C59=TRUE)*(F59-Calc!F24)))/100+(Inputs!$B$24+((C59=TRUE)*(F59-Calc!F24)))/100)/2</f>
        <v/>
      </c>
      <c r="M41">
        <f>L41*(1+(Inputs!$B$11+0+B69)/100)</f>
        <v/>
      </c>
      <c r="N41">
        <f>L41*(1-MIN((Inputs!$B$10+0+B64),100)/100)+M41*(MIN((Inputs!$B$10+0+B64),100)/100)</f>
        <v/>
      </c>
      <c r="O41">
        <f>(1-Summary!$B$55)*T41+Summary!$B$55*V41</f>
        <v/>
      </c>
      <c r="P41">
        <f>IF(B74=0,0,O41/B74)</f>
        <v/>
      </c>
      <c r="Q41">
        <f>IFERROR(1/IF(Inputs!$B$39="pvp",15,MAX(0.1,Skills!D6-IF(Skills!E6=TRUE,Inputs!$B$33,0))),0)</f>
        <v/>
      </c>
      <c r="R41">
        <f>IF(AND(Inputs!$B$39&lt;&gt;"pvp",Inputs!$B$44&gt;0),IF(MAX(0,Inputs!$B$44-B71)&lt;=0,0,(INT(MAX(0,Inputs!$B$44-B71)/IF(Inputs!$B$39="pvp",15,MAX(0.1,Skills!D6-IF(Skills!E6=TRUE,Inputs!$B$33,0))))+1)),0)</f>
        <v/>
      </c>
      <c r="S41">
        <f>IFERROR(O41/N41,0)</f>
        <v/>
      </c>
      <c r="T41">
        <f>IF(C41,(H41*N41*IF(AND(Inputs!$B$39&lt;&gt;"pvp",Inputs!$B$44&gt;0),((Skills!G6*((R41-1)*IF(Skills!H6&gt;0,Skills!I6/Skills!H6,1)+IF(Skills!H6&gt;0,MIN(Skills!I6,MAX(0,MAX(0,Inputs!$B$44-B71)-((R41-1)*IF(Inputs!$B$39="pvp",15,MAX(0.1,Skills!D6-IF(Skills!E6=TRUE,Inputs!$B$33,0))))))/Skills!H6,1)))/Inputs!$B$44),G41*Q41))*IF(Inputs!$B$39="pvp",1,1+(Inputs!$B$21+0+Skills!P6+((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0)</f>
        <v/>
      </c>
      <c r="V41">
        <f>IF(C41,(H41*N41*IF(AND(Inputs!$B$39&lt;&gt;"pvp",Inputs!$B$44&gt;0),((Skills!G6*((R41-1)*IF(Skills!H6&gt;0,Skills!I6/Skills!H6,1)+IF(Skills!H6&gt;0,MIN(Skills!I6,MAX(0,MAX(0,Inputs!$B$44-B71)-((R41-1)*IF(Inputs!$B$39="pvp",15,MAX(0.1,Skills!D6-IF(Skills!E6=TRUE,Inputs!$B$33,0))))))/Skills!H6,1)))/Inputs!$B$44),G41*Q41))*IF(Inputs!$B$39="pvp",1,(1+(Inputs!$B$22+Skills!Q6+((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MIN(Skills!R6,Inputs!$B$38))),0)</f>
        <v/>
      </c>
    </row>
    <row r="42">
      <c r="A42">
        <f>Skills!A7</f>
        <v/>
      </c>
      <c r="B42">
        <f>Skills!B7</f>
        <v/>
      </c>
      <c r="C42">
        <f>Inputs!$B$3&gt;=40</f>
        <v/>
      </c>
      <c r="D42">
        <f>IF(Skills!C7=1,60+Inputs!$B$26+Inputs!$B$30,IF(Skills!C7=2,90+Inputs!$B$27+Inputs!$B$30,IF(Skills!C7=3,120+Inputs!$B$28+Inputs!$B$30,MAX(0,(Inputs!$B$3-100)*3)+Inputs!$B$29+Inputs!$B$30)))</f>
        <v/>
      </c>
      <c r="E42">
        <f>INDEX(FactorTable!$B$2:$Y$301, MATCH(ROUND(MIN(300,MAX(1,D42)),0), FactorTable!$A$2:$A$301,0), Skills!M7+1)</f>
        <v/>
      </c>
      <c r="F42">
        <f>IF(Skills!N7=TRUE,(Skills!L7/10)*(E42/1000),Skills!L7/10)+Skills!O7</f>
        <v/>
      </c>
      <c r="G42">
        <f>Skills!G7*IF(Skills!H7&gt;0,Skills!I7/Skills!H7,1)</f>
        <v/>
      </c>
      <c r="H42">
        <f>1-(1-Skills!J7/100)^Skills!K7</f>
        <v/>
      </c>
      <c r="I42" t="inlineStr">
        <is>
          <t>1</t>
        </is>
      </c>
      <c r="J42">
        <f>((Inputs!$B$6*(1+Inputs!$B$7/100))+((((Inputs!$B$13+1)*(1+Inputs!$B$14/100))-(Inputs!$B$13*(1+Inputs!$B$14/100)))+0.25*(Inputs!$B$15-Inputs!$B$15))*(1+Inputs!$B$7/100))*(F42/100)</f>
        <v/>
      </c>
      <c r="K42">
        <f>J42*(1+((((Inputs!$B$13+1)+IF(Inputs!$B$3&gt;=38,(10*INDEX(FactorTable!$B$2:$Y$301, MATCH(ROUND(MIN(300,MAX(1,Inputs!$B$3)),0), FactorTable!$A$2:$A$301,0), 23)/1000)/100*(Inputs!$B$8*(1+Inputs!$B$9/100)),0))*(1+Inputs!$B$14/100))*0.01+Inputs!$B$15*0.0025)/100)*(1+Inputs!$B$16/100)*(1+Inputs!$B$17/100)*(5000/(6000+Inputs!$B$43*(1-(Inputs!$B$20+0)/100)))*(1+(Inputs!$B$25+((C60=TRUE)*(F60-Calc!F25))+((C61=TRUE)*(F61-Calc!F26))+B70)/100)*(1+0.75*IF(C46=TRUE,F46,0)/100)*(1+(IF(Skills!A7="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42)</f>
        <v/>
      </c>
      <c r="L42">
        <f>K42*(MIN(Inputs!$B$23+((C57=TRUE)*(F57-Calc!F22)),Inputs!$B$24+((C59=TRUE)*(F59-Calc!F24)))/100+(Inputs!$B$24+((C59=TRUE)*(F59-Calc!F24)))/100)/2</f>
        <v/>
      </c>
      <c r="M42">
        <f>L42*(1+(Inputs!$B$11+0+B69)/100)</f>
        <v/>
      </c>
      <c r="N42">
        <f>L42*(1-MIN((Inputs!$B$10+0+B64),100)/100)+M42*(MIN((Inputs!$B$10+0+B64),100)/100)</f>
        <v/>
      </c>
      <c r="O42">
        <f>(1-Summary!$B$55)*T42+Summary!$B$55*V42</f>
        <v/>
      </c>
      <c r="P42">
        <f>IF(B74=0,0,O42/B74)</f>
        <v/>
      </c>
      <c r="Q42">
        <f>IFERROR(1/IF(Inputs!$B$39="pvp",15,MAX(0.1,Skills!D7-IF(Skills!E7=TRUE,Inputs!$B$33,0))),0)</f>
        <v/>
      </c>
      <c r="R42">
        <f>IF(AND(Inputs!$B$39&lt;&gt;"pvp",Inputs!$B$44&gt;0),IF(MAX(0,Inputs!$B$44-B71)&lt;=0,0,(INT(MAX(0,Inputs!$B$44-B71)/IF(Inputs!$B$39="pvp",15,MAX(0.1,Skills!D7-IF(Skills!E7=TRUE,Inputs!$B$33,0))))+1)),0)</f>
        <v/>
      </c>
      <c r="S42">
        <f>IFERROR(O42/N42,0)</f>
        <v/>
      </c>
      <c r="T42">
        <f>IF(C42,(H42*N42*IF(AND(Inputs!$B$39&lt;&gt;"pvp",Inputs!$B$44&gt;0),((Skills!G7*((R42-1)*IF(Skills!H7&gt;0,Skills!I7/Skills!H7,1)+IF(Skills!H7&gt;0,MIN(Skills!I7,MAX(0,MAX(0,Inputs!$B$44-B71)-((R42-1)*IF(Inputs!$B$39="pvp",15,MAX(0.1,Skills!D7-IF(Skills!E7=TRUE,Inputs!$B$33,0))))))/Skills!H7,1)))/Inputs!$B$44),G42*Q42))*IF(Inputs!$B$39="pvp",1,1+(Inputs!$B$21+0+Skills!P7+((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0)</f>
        <v/>
      </c>
      <c r="V42">
        <f>IF(C42,(H42*N42*IF(AND(Inputs!$B$39&lt;&gt;"pvp",Inputs!$B$44&gt;0),((Skills!G7*((R42-1)*IF(Skills!H7&gt;0,Skills!I7/Skills!H7,1)+IF(Skills!H7&gt;0,MIN(Skills!I7,MAX(0,MAX(0,Inputs!$B$44-B71)-((R42-1)*IF(Inputs!$B$39="pvp",15,MAX(0.1,Skills!D7-IF(Skills!E7=TRUE,Inputs!$B$33,0))))))/Skills!H7,1)))/Inputs!$B$44),G42*Q42))*IF(Inputs!$B$39="pvp",1,(1+(Inputs!$B$22+Skills!Q7+((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MIN(Skills!R7,Inputs!$B$38))),0)</f>
        <v/>
      </c>
    </row>
    <row r="43">
      <c r="A43">
        <f>Skills!A8</f>
        <v/>
      </c>
      <c r="B43">
        <f>Skills!B8</f>
        <v/>
      </c>
      <c r="C43">
        <f>Inputs!$B$3&gt;=75</f>
        <v/>
      </c>
      <c r="D43">
        <f>IF(Skills!C8=1,60+Inputs!$B$26+Inputs!$B$30,IF(Skills!C8=2,90+Inputs!$B$27+Inputs!$B$30,IF(Skills!C8=3,120+Inputs!$B$28+Inputs!$B$30,MAX(0,(Inputs!$B$3-100)*3)+Inputs!$B$29+Inputs!$B$30)))</f>
        <v/>
      </c>
      <c r="E43">
        <f>INDEX(FactorTable!$B$2:$Y$301, MATCH(ROUND(MIN(300,MAX(1,D43)),0), FactorTable!$A$2:$A$301,0), Skills!M8+1)</f>
        <v/>
      </c>
      <c r="F43">
        <f>IF(Skills!N8=TRUE,(Skills!L8/10)*(E43/1000),Skills!L8/10)+Skills!O8</f>
        <v/>
      </c>
      <c r="G43" t="inlineStr"/>
      <c r="H43" t="inlineStr"/>
      <c r="I43" t="inlineStr">
        <is>
          <t>1</t>
        </is>
      </c>
      <c r="J43" t="inlineStr"/>
      <c r="K43" t="inlineStr"/>
      <c r="L43" t="inlineStr"/>
      <c r="M43" t="inlineStr"/>
      <c r="N43" t="inlineStr"/>
      <c r="O43" t="inlineStr"/>
      <c r="P43" t="inlineStr"/>
      <c r="Q43" t="inlineStr"/>
      <c r="R43" t="inlineStr"/>
      <c r="S43" t="inlineStr"/>
    </row>
    <row r="44">
      <c r="A44">
        <f>Skills!A9</f>
        <v/>
      </c>
      <c r="B44">
        <f>Skills!B9</f>
        <v/>
      </c>
      <c r="C44">
        <f>Inputs!$B$3&gt;=60</f>
        <v/>
      </c>
      <c r="D44">
        <f>IF(Skills!C9=1,60+Inputs!$B$26+Inputs!$B$30,IF(Skills!C9=2,90+Inputs!$B$27+Inputs!$B$30,IF(Skills!C9=3,120+Inputs!$B$28+Inputs!$B$30,MAX(0,(Inputs!$B$3-100)*3)+Inputs!$B$29+Inputs!$B$30)))</f>
        <v/>
      </c>
      <c r="E44">
        <f>INDEX(FactorTable!$B$2:$Y$301, MATCH(ROUND(MIN(300,MAX(1,D44)),0), FactorTable!$A$2:$A$301,0), Skills!M9+1)</f>
        <v/>
      </c>
      <c r="F44">
        <f>IF(Skills!N9=TRUE,(Skills!L9/10)*(E44/1000),Skills!L9/10)+Skills!O9</f>
        <v/>
      </c>
      <c r="G44">
        <f>Skills!G9*IF(Skills!H9&gt;0,Skills!I9/Skills!H9,1)</f>
        <v/>
      </c>
      <c r="H44">
        <f>1-(1-Skills!J9/100)^Skills!K9</f>
        <v/>
      </c>
      <c r="I44" t="inlineStr">
        <is>
          <t>1</t>
        </is>
      </c>
      <c r="J44">
        <f>((Inputs!$B$6*(1+Inputs!$B$7/100))+((((Inputs!$B$13+1)*(1+Inputs!$B$14/100))-(Inputs!$B$13*(1+Inputs!$B$14/100)))+0.25*(Inputs!$B$15-Inputs!$B$15))*(1+Inputs!$B$7/100))*(F44/100)</f>
        <v/>
      </c>
      <c r="K44">
        <f>J44*(1+((((Inputs!$B$13+1)+IF(Inputs!$B$3&gt;=38,(10*INDEX(FactorTable!$B$2:$Y$301, MATCH(ROUND(MIN(300,MAX(1,Inputs!$B$3)),0), FactorTable!$A$2:$A$301,0), 23)/1000)/100*(Inputs!$B$8*(1+Inputs!$B$9/100)),0))*(1+Inputs!$B$14/100))*0.01+Inputs!$B$15*0.0025)/100)*(1+Inputs!$B$16/100)*(1+Inputs!$B$17/100)*(5000/(6000+Inputs!$B$43*(1-(Inputs!$B$20+0)/100)))*(1+(Inputs!$B$25+((C60=TRUE)*(F60-Calc!F25))+((C61=TRUE)*(F61-Calc!F26))+B70)/100)*(1+1.0*IF(C46=TRUE,F46,0)/100)*(1+(IF(Skills!A9="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44)</f>
        <v/>
      </c>
      <c r="L44">
        <f>K44*(MIN(Inputs!$B$23+((C57=TRUE)*(F57-Calc!F22)),Inputs!$B$24+((C59=TRUE)*(F59-Calc!F24)))/100+(Inputs!$B$24+((C59=TRUE)*(F59-Calc!F24)))/100)/2</f>
        <v/>
      </c>
      <c r="M44">
        <f>L44*(1+(Inputs!$B$11+0+B69)/100)</f>
        <v/>
      </c>
      <c r="N44">
        <f>L44*(1-MIN((Inputs!$B$10+0+B64),100)/100)+M44*(MIN((Inputs!$B$10+0+B64),100)/100)</f>
        <v/>
      </c>
      <c r="O44">
        <f>(1-Summary!$B$55)*T44+Summary!$B$55*V44</f>
        <v/>
      </c>
      <c r="P44">
        <f>IF(B74=0,0,O44/B74)</f>
        <v/>
      </c>
      <c r="Q44">
        <f>IFERROR(1/IF(Inputs!$B$39="pvp",15,MAX(0.1,Skills!D9-IF(Skills!E9=TRUE,Inputs!$B$33,0))),0)</f>
        <v/>
      </c>
      <c r="R44">
        <f>IF(AND(Inputs!$B$39&lt;&gt;"pvp",Inputs!$B$44&gt;0),IF(MAX(0,Inputs!$B$44-B71)&lt;=0,0,(INT(MAX(0,Inputs!$B$44-B71)/IF(Inputs!$B$39="pvp",15,MAX(0.1,Skills!D9-IF(Skills!E9=TRUE,Inputs!$B$33,0))))+1)),0)</f>
        <v/>
      </c>
      <c r="S44">
        <f>IFERROR(O44/N44,0)</f>
        <v/>
      </c>
      <c r="T44">
        <f>IF(C44,(H44*N44*IF(AND(Inputs!$B$39&lt;&gt;"pvp",Inputs!$B$44&gt;0),((Skills!G9*((R44-1)*IF(Skills!H9&gt;0,Skills!I9/Skills!H9,1)+IF(Skills!H9&gt;0,MIN(Skills!I9,MAX(0,MAX(0,Inputs!$B$44-B71)-((R44-1)*IF(Inputs!$B$39="pvp",15,MAX(0.1,Skills!D9-IF(Skills!E9=TRUE,Inputs!$B$33,0))))))/Skills!H9,1)))/Inputs!$B$44),G44*Q44))*IF(Inputs!$B$39="pvp",1,1+(Inputs!$B$21+0+Skills!P9+((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0)</f>
        <v/>
      </c>
      <c r="V44">
        <f>IF(C44,(H44*N44*IF(AND(Inputs!$B$39&lt;&gt;"pvp",Inputs!$B$44&gt;0),((Skills!G9*((R44-1)*IF(Skills!H9&gt;0,Skills!I9/Skills!H9,1)+IF(Skills!H9&gt;0,MIN(Skills!I9,MAX(0,MAX(0,Inputs!$B$44-B71)-((R44-1)*IF(Inputs!$B$39="pvp",15,MAX(0.1,Skills!D9-IF(Skills!E9=TRUE,Inputs!$B$33,0))))))/Skills!H9,1)))/Inputs!$B$44),G44*Q44))*IF(Inputs!$B$39="pvp",1,(1+(Inputs!$B$22+Skills!Q9+((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MIN(Skills!R9,Inputs!$B$38))),0)</f>
        <v/>
      </c>
    </row>
    <row r="45">
      <c r="A45">
        <f>Skills!A10</f>
        <v/>
      </c>
      <c r="B45">
        <f>Skills!B10</f>
        <v/>
      </c>
      <c r="C45">
        <f>Inputs!$B$3&gt;=110</f>
        <v/>
      </c>
      <c r="D45">
        <f>IF(Skills!C10=1,60+Inputs!$B$26+Inputs!$B$30,IF(Skills!C10=2,90+Inputs!$B$27+Inputs!$B$30,IF(Skills!C10=3,120+Inputs!$B$28+Inputs!$B$30,MAX(0,(Inputs!$B$3-100)*3)+Inputs!$B$29+Inputs!$B$30)))</f>
        <v/>
      </c>
      <c r="E45">
        <f>INDEX(FactorTable!$B$2:$Y$301, MATCH(ROUND(MIN(300,MAX(1,D45)),0), FactorTable!$A$2:$A$301,0), Skills!M10+1)</f>
        <v/>
      </c>
      <c r="F45">
        <f>IF(Skills!N10=TRUE,(Skills!L10/10)*(E45/1000),Skills!L10/10)+Skills!O10</f>
        <v/>
      </c>
      <c r="G45">
        <f>Skills!G10*IF(Skills!H10&gt;0,Skills!I10/Skills!H10,1)</f>
        <v/>
      </c>
      <c r="H45">
        <f>1-(1-Skills!J10/100)^Skills!K10</f>
        <v/>
      </c>
      <c r="I45" t="inlineStr">
        <is>
          <t>1</t>
        </is>
      </c>
      <c r="J45">
        <f>((Inputs!$B$6*(1+Inputs!$B$7/100))+((((Inputs!$B$13+1)*(1+Inputs!$B$14/100))-(Inputs!$B$13*(1+Inputs!$B$14/100)))+0.25*(Inputs!$B$15-Inputs!$B$15))*(1+Inputs!$B$7/100))*(F45/100)</f>
        <v/>
      </c>
      <c r="K45">
        <f>J45*(1+((((Inputs!$B$13+1)+IF(Inputs!$B$3&gt;=38,(10*INDEX(FactorTable!$B$2:$Y$301, MATCH(ROUND(MIN(300,MAX(1,Inputs!$B$3)),0), FactorTable!$A$2:$A$301,0), 23)/1000)/100*(Inputs!$B$8*(1+Inputs!$B$9/100)),0))*(1+Inputs!$B$14/100))*0.01+Inputs!$B$15*0.0025)/100)*(1+Inputs!$B$16/100)*(1+Inputs!$B$17/100)*(5000/(6000+Inputs!$B$43*(1-(Inputs!$B$20+0)/100)))*(1+(Inputs!$B$25+((C60=TRUE)*(F60-Calc!F25))+((C61=TRUE)*(F61-Calc!F26))+B70)/100)*(1+(IF(Skills!A10="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45)</f>
        <v/>
      </c>
      <c r="L45">
        <f>K45*(MIN(Inputs!$B$23+((C57=TRUE)*(F57-Calc!F22)),Inputs!$B$24+((C59=TRUE)*(F59-Calc!F24)))/100+(Inputs!$B$24+((C59=TRUE)*(F59-Calc!F24)))/100)/2</f>
        <v/>
      </c>
      <c r="M45">
        <f>L45*(1+(Inputs!$B$11+0+B69)/100)</f>
        <v/>
      </c>
      <c r="N45">
        <f>L45*(1-MIN((Inputs!$B$10+0+B64),100)/100)+M45*(MIN((Inputs!$B$10+0+B64),100)/100)</f>
        <v/>
      </c>
      <c r="O45">
        <f>(1-Summary!$B$55)*T45+Summary!$B$55*V45</f>
        <v/>
      </c>
      <c r="P45">
        <f>IF(B74=0,0,O45/B74)</f>
        <v/>
      </c>
      <c r="Q45">
        <f>IFERROR(1/IF(Inputs!$B$39="pvp",15,MAX(0.1,Skills!D10-IF(Skills!E10=TRUE,Inputs!$B$33,0))),0)</f>
        <v/>
      </c>
      <c r="R45">
        <f>IF(AND(Inputs!$B$39&lt;&gt;"pvp",Inputs!$B$44&gt;0),IF(MAX(0,Inputs!$B$44-B71)&lt;=0,0,(INT(MAX(0,Inputs!$B$44-B71)/IF(Inputs!$B$39="pvp",15,MAX(0.1,Skills!D10-IF(Skills!E10=TRUE,Inputs!$B$33,0))))+1)),0)</f>
        <v/>
      </c>
      <c r="S45">
        <f>IFERROR(O45/N45,0)</f>
        <v/>
      </c>
      <c r="T45">
        <f>IF(C45,(H45*N45*IF(AND(Inputs!$B$39&lt;&gt;"pvp",Inputs!$B$44&gt;0),((Skills!G10*((R45-1)*IF(Skills!H10&gt;0,Skills!I10/Skills!H10,1)+IF(Skills!H10&gt;0,MIN(Skills!I10,MAX(0,MAX(0,Inputs!$B$44-B71)-((R45-1)*IF(Inputs!$B$39="pvp",15,MAX(0.1,Skills!D10-IF(Skills!E10=TRUE,Inputs!$B$33,0))))))/Skills!H10,1)))/Inputs!$B$44),G45*Q45))*IF(Inputs!$B$39="pvp",1,1+(Inputs!$B$21+0+Skills!P10+((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0)</f>
        <v/>
      </c>
      <c r="V45">
        <f>IF(C45,(H45*N45*IF(AND(Inputs!$B$39&lt;&gt;"pvp",Inputs!$B$44&gt;0),((Skills!G10*((R45-1)*IF(Skills!H10&gt;0,Skills!I10/Skills!H10,1)+IF(Skills!H10&gt;0,MIN(Skills!I10,MAX(0,MAX(0,Inputs!$B$44-B71)-((R45-1)*IF(Inputs!$B$39="pvp",15,MAX(0.1,Skills!D10-IF(Skills!E10=TRUE,Inputs!$B$33,0))))))/Skills!H10,1)))/Inputs!$B$44),G45*Q45))*IF(Inputs!$B$39="pvp",1,(1+(Inputs!$B$22+Skills!Q10+((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MIN(Skills!R10,Inputs!$B$38))),0)</f>
        <v/>
      </c>
    </row>
    <row r="46">
      <c r="A46">
        <f>Skills!A11</f>
        <v/>
      </c>
      <c r="B46">
        <f>Skills!B11</f>
        <v/>
      </c>
      <c r="C46">
        <f>Inputs!$B$3&gt;=100</f>
        <v/>
      </c>
      <c r="D46">
        <f>IF(Skills!C11=1,60+Inputs!$B$26+Inputs!$B$30,IF(Skills!C11=2,90+Inputs!$B$27+Inputs!$B$30,IF(Skills!C11=3,120+Inputs!$B$28+Inputs!$B$30,MAX(0,(Inputs!$B$3-100)*3)+Inputs!$B$29+Inputs!$B$30)))</f>
        <v/>
      </c>
      <c r="E46">
        <f>INDEX(FactorTable!$B$2:$Y$301, MATCH(ROUND(MIN(300,MAX(1,D46)),0), FactorTable!$A$2:$A$301,0), Skills!M11+1)</f>
        <v/>
      </c>
      <c r="F46">
        <f>IF(Skills!N11=TRUE,(Skills!L11/10)*(E46/1000),Skills!L11/10)+Skills!O11</f>
        <v/>
      </c>
      <c r="G46" t="inlineStr"/>
      <c r="H46" t="inlineStr"/>
      <c r="I46" t="inlineStr">
        <is>
          <t>1</t>
        </is>
      </c>
      <c r="J46" t="inlineStr"/>
      <c r="K46" t="inlineStr"/>
      <c r="L46" t="inlineStr"/>
      <c r="M46" t="inlineStr"/>
      <c r="N46" t="inlineStr"/>
      <c r="O46" t="inlineStr"/>
      <c r="P46" t="inlineStr"/>
      <c r="Q46" t="inlineStr"/>
      <c r="R46" t="inlineStr"/>
      <c r="S46" t="inlineStr"/>
    </row>
    <row r="47">
      <c r="A47">
        <f>Skills!A12</f>
        <v/>
      </c>
      <c r="B47">
        <f>Skills!B12</f>
        <v/>
      </c>
      <c r="C47">
        <f>Inputs!$B$3&gt;=63</f>
        <v/>
      </c>
      <c r="D47">
        <f>IF(Skills!C12=1,60+Inputs!$B$26+Inputs!$B$30,IF(Skills!C12=2,90+Inputs!$B$27+Inputs!$B$30,IF(Skills!C12=3,120+Inputs!$B$28+Inputs!$B$30,MAX(0,(Inputs!$B$3-100)*3)+Inputs!$B$29+Inputs!$B$30)))</f>
        <v/>
      </c>
      <c r="E47">
        <f>INDEX(FactorTable!$B$2:$Y$301, MATCH(ROUND(MIN(300,MAX(1,D47)),0), FactorTable!$A$2:$A$301,0), Skills!M12+1)</f>
        <v/>
      </c>
      <c r="F47">
        <f>IF(Skills!N12=TRUE,(Skills!L12/10)*(E47/1000),Skills!L12/10)+Skills!O12</f>
        <v/>
      </c>
      <c r="G47">
        <f>Skills!G12*IF(Skills!H12&gt;0,Skills!I12/Skills!H12,1)</f>
        <v/>
      </c>
      <c r="H47">
        <f>1-(1-Skills!J12/100)^Skills!K12</f>
        <v/>
      </c>
      <c r="I47" t="inlineStr">
        <is>
          <t>1</t>
        </is>
      </c>
      <c r="J47">
        <f>((Inputs!$B$6*(1+Inputs!$B$7/100))+((((Inputs!$B$13+1)*(1+Inputs!$B$14/100))-(Inputs!$B$13*(1+Inputs!$B$14/100)))+0.25*(Inputs!$B$15-Inputs!$B$15))*(1+Inputs!$B$7/100))*(F47/100)</f>
        <v/>
      </c>
      <c r="K47">
        <f>J47*(1+((((Inputs!$B$13+1)+IF(Inputs!$B$3&gt;=38,(10*INDEX(FactorTable!$B$2:$Y$301, MATCH(ROUND(MIN(300,MAX(1,Inputs!$B$3)),0), FactorTable!$A$2:$A$301,0), 23)/1000)/100*(Inputs!$B$8*(1+Inputs!$B$9/100)),0))*(1+Inputs!$B$14/100))*0.01+Inputs!$B$15*0.0025)/100)*(1+Inputs!$B$16/100)*(1+Inputs!$B$17/100)*(5000/(6000+Inputs!$B$43*(1-(Inputs!$B$20+0)/100)))*(1+(Inputs!$B$25+((C60=TRUE)*(F60-Calc!F25))+((C61=TRUE)*(F61-Calc!F26))+B70)/100)*(1+0.75*IF(C46=TRUE,F46,0)/100)*(1+(IF(Skills!A12="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47)</f>
        <v/>
      </c>
      <c r="L47">
        <f>K47*(MIN(Inputs!$B$23+((C57=TRUE)*(F57-Calc!F22)),Inputs!$B$24+((C59=TRUE)*(F59-Calc!F24)))/100+(Inputs!$B$24+((C59=TRUE)*(F59-Calc!F24)))/100)/2</f>
        <v/>
      </c>
      <c r="M47">
        <f>L47*(1+(Inputs!$B$11+0+B69)/100)</f>
        <v/>
      </c>
      <c r="N47">
        <f>L47*(1-MIN((Inputs!$B$10+0+B64),100)/100)+M47*(MIN((Inputs!$B$10+0+B64),100)/100)</f>
        <v/>
      </c>
      <c r="O47">
        <f>(1-Summary!$B$55)*T47+Summary!$B$55*V47</f>
        <v/>
      </c>
      <c r="P47">
        <f>IF(B74=0,0,O47/B74)</f>
        <v/>
      </c>
      <c r="Q47">
        <f>IFERROR(1/IF(Inputs!$B$39="pvp",15,MAX(0.1,Skills!D12-IF(Skills!E12=TRUE,Inputs!$B$33,0))),0)</f>
        <v/>
      </c>
      <c r="R47">
        <f>IF(AND(Inputs!$B$39&lt;&gt;"pvp",Inputs!$B$44&gt;0),IF(MAX(0,Inputs!$B$44-B71)&lt;=0,0,(INT(MAX(0,Inputs!$B$44-B71)/IF(Inputs!$B$39="pvp",15,MAX(0.1,Skills!D12-IF(Skills!E12=TRUE,Inputs!$B$33,0))))+1)),0)</f>
        <v/>
      </c>
      <c r="S47">
        <f>IFERROR(O47/N47,0)</f>
        <v/>
      </c>
      <c r="T47">
        <f>IF(C47,(H47*N47*IF(AND(Inputs!$B$39&lt;&gt;"pvp",Inputs!$B$44&gt;0),((Skills!G12*((R47-1)*IF(Skills!H12&gt;0,Skills!I12/Skills!H12,1)+IF(Skills!H12&gt;0,MIN(Skills!I12,MAX(0,MAX(0,Inputs!$B$44-B71)-((R47-1)*IF(Inputs!$B$39="pvp",15,MAX(0.1,Skills!D12-IF(Skills!E12=TRUE,Inputs!$B$33,0))))))/Skills!H12,1)))/Inputs!$B$44),G47*Q47))*IF(Inputs!$B$39="pvp",1,1+(Inputs!$B$21+0+Skills!P12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0)</f>
        <v/>
      </c>
      <c r="V47">
        <f>IF(C47,(H47*N47*IF(AND(Inputs!$B$39&lt;&gt;"pvp",Inputs!$B$44&gt;0),((Skills!G12*((R47-1)*IF(Skills!H12&gt;0,Skills!I12/Skills!H12,1)+IF(Skills!H12&gt;0,MIN(Skills!I12,MAX(0,MAX(0,Inputs!$B$44-B71)-((R47-1)*IF(Inputs!$B$39="pvp",15,MAX(0.1,Skills!D12-IF(Skills!E12=TRUE,Inputs!$B$33,0))))))/Skills!H12,1)))/Inputs!$B$44),G47*Q47))*IF(Inputs!$B$39="pvp",1,(1+(Inputs!$B$22+Skills!Q12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100)*(MIN(Skills!R12,Inputs!$B$38))),0)</f>
        <v/>
      </c>
    </row>
    <row r="48">
      <c r="A48">
        <f>Skills!A13</f>
        <v/>
      </c>
      <c r="B48">
        <f>Skills!B13</f>
        <v/>
      </c>
      <c r="C48">
        <f>Inputs!$B$3&gt;=69</f>
        <v/>
      </c>
      <c r="D48">
        <f>IF(Skills!C13=1,60+Inputs!$B$26+Inputs!$B$30,IF(Skills!C13=2,90+Inputs!$B$27+Inputs!$B$30,IF(Skills!C13=3,120+Inputs!$B$28+Inputs!$B$30,MAX(0,(Inputs!$B$3-100)*3)+Inputs!$B$29+Inputs!$B$30)))</f>
        <v/>
      </c>
      <c r="E48">
        <f>INDEX(FactorTable!$B$2:$Y$301, MATCH(ROUND(MIN(300,MAX(1,D48)),0), FactorTable!$A$2:$A$301,0), Skills!M13+1)</f>
        <v/>
      </c>
      <c r="F48">
        <f>IF(Skills!N13=TRUE,(Skills!L13/10)*(E48/1000),Skills!L13/10)+Skills!O13</f>
        <v/>
      </c>
      <c r="G48">
        <f>Skills!G13*IF(Skills!H13&gt;0,Skills!I13/Skills!H13,1)</f>
        <v/>
      </c>
      <c r="H48">
        <f>1-(1-Skills!J13/100)^Skills!K13</f>
        <v/>
      </c>
      <c r="I48" t="inlineStr">
        <is>
          <t>1</t>
        </is>
      </c>
      <c r="J48" t="inlineStr"/>
      <c r="K48" t="inlineStr"/>
      <c r="L48" t="inlineStr"/>
      <c r="M48" t="inlineStr"/>
      <c r="N48" t="inlineStr"/>
      <c r="O48">
        <f>(1-Summary!$B$55)*T48+Summary!$B$55*V48</f>
        <v/>
      </c>
      <c r="P48">
        <f>IF(B74=0,0,O48/B74)</f>
        <v/>
      </c>
      <c r="Q48">
        <f>IFERROR(1/IF(Inputs!$B$39="pvp",15,MAX(0.1,Skills!D13-IF(Skills!E13=TRUE,Inputs!$B$33,0))),0)</f>
        <v/>
      </c>
      <c r="R48">
        <f>IF(AND(Inputs!$B$39&lt;&gt;"pvp",Inputs!$B$44&gt;0),IF(Inputs!$B$44&lt;=0,0,(INT(Inputs!$B$44/IF(Inputs!$B$39="pvp",15,MAX(0.1,Skills!D13-IF(Skills!E13=TRUE,Inputs!$B$33,0))))+1)),0)</f>
        <v/>
      </c>
      <c r="S48">
        <f>IFERROR(O48/N48,0)</f>
        <v/>
      </c>
      <c r="T48" t="n">
        <v>0</v>
      </c>
      <c r="V48" t="n">
        <v>0</v>
      </c>
    </row>
    <row r="49">
      <c r="A49">
        <f>Skills!A14</f>
        <v/>
      </c>
      <c r="B49">
        <f>Skills!B14</f>
        <v/>
      </c>
      <c r="C49">
        <f>Inputs!$B$3&gt;=115</f>
        <v/>
      </c>
      <c r="D49">
        <f>IF(Skills!C14=1,60+Inputs!$B$26+Inputs!$B$30,IF(Skills!C14=2,90+Inputs!$B$27+Inputs!$B$30,IF(Skills!C14=3,120+Inputs!$B$28+Inputs!$B$30,MAX(0,(Inputs!$B$3-100)*3)+Inputs!$B$29+Inputs!$B$30)))</f>
        <v/>
      </c>
      <c r="E49">
        <f>INDEX(FactorTable!$B$2:$Y$301, MATCH(ROUND(MIN(300,MAX(1,D49)),0), FactorTable!$A$2:$A$301,0), Skills!M14+1)</f>
        <v/>
      </c>
      <c r="F49">
        <f>IF(Skills!N14=TRUE,(Skills!L14/10)*(E49/1000),Skills!L14/10)+Skills!O14</f>
        <v/>
      </c>
      <c r="G49">
        <f>Skills!G14*IF(Skills!H14&gt;0,Skills!I14/Skills!H14,1)</f>
        <v/>
      </c>
      <c r="H49">
        <f>1-(1-Skills!J14/100)^Skills!K14</f>
        <v/>
      </c>
      <c r="I49" t="inlineStr">
        <is>
          <t>1</t>
        </is>
      </c>
      <c r="J49" t="inlineStr"/>
      <c r="K49" t="inlineStr"/>
      <c r="L49" t="inlineStr"/>
      <c r="M49" t="inlineStr"/>
      <c r="N49" t="inlineStr"/>
      <c r="O49">
        <f>(1-Summary!$B$55)*T49+Summary!$B$55*V49</f>
        <v/>
      </c>
      <c r="P49">
        <f>IF(B74=0,0,O49/B74)</f>
        <v/>
      </c>
      <c r="Q49">
        <f>IFERROR(1/IF(Inputs!$B$39="pvp",15,MAX(0.1,Skills!D14-IF(Skills!E14=TRUE,Inputs!$B$33,0))),0)</f>
        <v/>
      </c>
      <c r="R49">
        <f>IF(AND(Inputs!$B$39&lt;&gt;"pvp",Inputs!$B$44&gt;0),IF(Inputs!$B$44&lt;=0,0,(INT(Inputs!$B$44/IF(Inputs!$B$39="pvp",15,MAX(0.1,Skills!D14-IF(Skills!E14=TRUE,Inputs!$B$33,0))))+1)),0)</f>
        <v/>
      </c>
      <c r="S49">
        <f>IFERROR(O49/N49,0)</f>
        <v/>
      </c>
      <c r="T49" t="n">
        <v>0</v>
      </c>
      <c r="V49" t="n">
        <v>0</v>
      </c>
    </row>
    <row r="50">
      <c r="A50">
        <f>Skills!A15</f>
        <v/>
      </c>
      <c r="B50">
        <f>Skills!B15</f>
        <v/>
      </c>
      <c r="C50">
        <f>Inputs!$B$3&gt;=66</f>
        <v/>
      </c>
      <c r="D50">
        <f>IF(Skills!C15=1,60+Inputs!$B$26+Inputs!$B$30,IF(Skills!C15=2,90+Inputs!$B$27+Inputs!$B$30,IF(Skills!C15=3,120+Inputs!$B$28+Inputs!$B$30,MAX(0,(Inputs!$B$3-100)*3)+Inputs!$B$29+Inputs!$B$30)))</f>
        <v/>
      </c>
      <c r="E50">
        <f>INDEX(FactorTable!$B$2:$Y$301, MATCH(ROUND(MIN(300,MAX(1,D50)),0), FactorTable!$A$2:$A$301,0), Skills!M15+1)</f>
        <v/>
      </c>
      <c r="F50">
        <f>IF(Skills!N15=TRUE,(Skills!L15/10)*(E50/1000),Skills!L15/10)+Skills!O15</f>
        <v/>
      </c>
      <c r="G50">
        <f>Skills!G15*IF(Skills!H15&gt;0,Skills!I15/Skills!H15,1)</f>
        <v/>
      </c>
      <c r="H50">
        <f>1-(1-Skills!J15/100)^Skills!K15</f>
        <v/>
      </c>
      <c r="I50" t="inlineStr">
        <is>
          <t>1</t>
        </is>
      </c>
      <c r="J50" t="inlineStr"/>
      <c r="K50" t="inlineStr"/>
      <c r="L50" t="inlineStr"/>
      <c r="M50" t="inlineStr"/>
      <c r="N50" t="inlineStr"/>
      <c r="O50">
        <f>(1-Summary!$B$55)*T50+Summary!$B$55*V50</f>
        <v/>
      </c>
      <c r="P50">
        <f>IF(B74=0,0,O50/B74)</f>
        <v/>
      </c>
      <c r="Q50">
        <f>IFERROR(1/IF(Inputs!$B$39="pvp",15,MAX(0.1,Skills!D15-IF(Skills!E15=TRUE,Inputs!$B$33,0))),0)</f>
        <v/>
      </c>
      <c r="R50">
        <f>IF(AND(Inputs!$B$39&lt;&gt;"pvp",Inputs!$B$44&gt;0),IF(Inputs!$B$44&lt;=0,0,(INT(Inputs!$B$44/IF(Inputs!$B$39="pvp",15,MAX(0.1,Skills!D15-IF(Skills!E15=TRUE,Inputs!$B$33,0))))+1)),0)</f>
        <v/>
      </c>
      <c r="S50">
        <f>IFERROR(O50/N50,0)</f>
        <v/>
      </c>
      <c r="T50" t="n">
        <v>0</v>
      </c>
      <c r="V50" t="n">
        <v>0</v>
      </c>
    </row>
    <row r="51">
      <c r="A51">
        <f>Skills!A16</f>
        <v/>
      </c>
      <c r="B51">
        <f>Skills!B16</f>
        <v/>
      </c>
      <c r="C51">
        <f>Inputs!$B$3&gt;=45</f>
        <v/>
      </c>
      <c r="D51">
        <f>IF(Skills!C16=1,60+Inputs!$B$26+Inputs!$B$30,IF(Skills!C16=2,90+Inputs!$B$27+Inputs!$B$30,IF(Skills!C16=3,120+Inputs!$B$28+Inputs!$B$30,MAX(0,(Inputs!$B$3-100)*3)+Inputs!$B$29+Inputs!$B$30)))</f>
        <v/>
      </c>
      <c r="E51">
        <f>INDEX(FactorTable!$B$2:$Y$301, MATCH(ROUND(MIN(300,MAX(1,D51)),0), FactorTable!$A$2:$A$301,0), Skills!M16+1)</f>
        <v/>
      </c>
      <c r="F51">
        <f>IF(Skills!N16=TRUE,(Skills!L16/10)*(E51/1000),Skills!L16/10)+Skills!O16</f>
        <v/>
      </c>
      <c r="G51">
        <f>Skills!G16*IF(Skills!H16&gt;0,Skills!I16/Skills!H16,1)</f>
        <v/>
      </c>
      <c r="H51">
        <f>1-(1-Skills!J16/100)^Skills!K16</f>
        <v/>
      </c>
      <c r="I51" t="inlineStr">
        <is>
          <t>1</t>
        </is>
      </c>
      <c r="J51" t="inlineStr"/>
      <c r="K51" t="inlineStr"/>
      <c r="L51" t="inlineStr"/>
      <c r="M51" t="inlineStr"/>
      <c r="N51" t="inlineStr"/>
      <c r="O51">
        <f>(1-Summary!$B$55)*T51+Summary!$B$55*V51</f>
        <v/>
      </c>
      <c r="P51">
        <f>IF(B74=0,0,O51/B74)</f>
        <v/>
      </c>
      <c r="Q51">
        <f>IFERROR(1/IF(Inputs!$B$39="pvp",15,MAX(0.1,Skills!D16-IF(Skills!E16=TRUE,Inputs!$B$33,0))),0)</f>
        <v/>
      </c>
      <c r="R51">
        <f>IF(AND(Inputs!$B$39&lt;&gt;"pvp",Inputs!$B$44&gt;0),IF(Inputs!$B$44&lt;=0,0,(INT(Inputs!$B$44/IF(Inputs!$B$39="pvp",15,MAX(0.1,Skills!D16-IF(Skills!E16=TRUE,Inputs!$B$33,0))))+1)),0)</f>
        <v/>
      </c>
      <c r="S51">
        <f>IFERROR(O51/N51,0)</f>
        <v/>
      </c>
      <c r="T51" t="n">
        <v>0</v>
      </c>
      <c r="V51" t="n">
        <v>0</v>
      </c>
    </row>
    <row r="52">
      <c r="A52">
        <f>Skills!A17</f>
        <v/>
      </c>
      <c r="B52">
        <f>Skills!B17</f>
        <v/>
      </c>
      <c r="C52">
        <f>Inputs!$B$3&gt;=35</f>
        <v/>
      </c>
      <c r="D52">
        <f>IF(Skills!C17=1,60+Inputs!$B$26+Inputs!$B$30,IF(Skills!C17=2,90+Inputs!$B$27+Inputs!$B$30,IF(Skills!C17=3,120+Inputs!$B$28+Inputs!$B$30,MAX(0,(Inputs!$B$3-100)*3)+Inputs!$B$29+Inputs!$B$30)))</f>
        <v/>
      </c>
      <c r="E52">
        <f>INDEX(FactorTable!$B$2:$Y$301, MATCH(ROUND(MIN(300,MAX(1,D52)),0), FactorTable!$A$2:$A$301,0), Skills!M17+1)</f>
        <v/>
      </c>
      <c r="F52">
        <f>IF(Skills!N17=TRUE,(Skills!L17/10)*(E52/1000),Skills!L17/10)+Skills!O17</f>
        <v/>
      </c>
      <c r="G52">
        <f>Skills!G17*IF(Skills!H17&gt;0,Skills!I17/Skills!H17,1)</f>
        <v/>
      </c>
      <c r="H52">
        <f>1-(1-Skills!J17/100)^Skills!K17</f>
        <v/>
      </c>
      <c r="I52" t="inlineStr">
        <is>
          <t>1</t>
        </is>
      </c>
      <c r="J52" t="inlineStr"/>
      <c r="K52" t="inlineStr"/>
      <c r="L52" t="inlineStr"/>
      <c r="M52" t="inlineStr"/>
      <c r="N52" t="inlineStr"/>
      <c r="O52">
        <f>(1-Summary!$B$55)*T52+Summary!$B$55*V52</f>
        <v/>
      </c>
      <c r="P52">
        <f>IF(B74=0,0,O52/B74)</f>
        <v/>
      </c>
      <c r="Q52">
        <f>IFERROR(1/IF(Inputs!$B$39="pvp",15,MAX(0.1,Skills!D17-IF(Skills!E17=TRUE,Inputs!$B$33,0))),0)</f>
        <v/>
      </c>
      <c r="R52">
        <f>IF(AND(Inputs!$B$39&lt;&gt;"pvp",Inputs!$B$44&gt;0),IF(Inputs!$B$44&lt;=0,0,(INT(Inputs!$B$44/IF(Inputs!$B$39="pvp",15,MAX(0.1,Skills!D17-IF(Skills!E17=TRUE,Inputs!$B$33,0))))+1)),0)</f>
        <v/>
      </c>
      <c r="S52">
        <f>IFERROR(O52/N52,0)</f>
        <v/>
      </c>
      <c r="T52" t="n">
        <v>0</v>
      </c>
      <c r="V52" t="n">
        <v>0</v>
      </c>
    </row>
    <row r="53">
      <c r="A53">
        <f>Skills!A18</f>
        <v/>
      </c>
      <c r="B53">
        <f>Skills!B18</f>
        <v/>
      </c>
      <c r="C53">
        <f>Inputs!$B$3&gt;=72</f>
        <v/>
      </c>
      <c r="D53">
        <f>IF(Skills!C18=1,60+Inputs!$B$26+Inputs!$B$30,IF(Skills!C18=2,90+Inputs!$B$27+Inputs!$B$30,IF(Skills!C18=3,120+Inputs!$B$28+Inputs!$B$30,MAX(0,(Inputs!$B$3-100)*3)+Inputs!$B$29+Inputs!$B$30)))</f>
        <v/>
      </c>
      <c r="E53">
        <f>INDEX(FactorTable!$B$2:$Y$301, MATCH(ROUND(MIN(300,MAX(1,D53)),0), FactorTable!$A$2:$A$301,0), Skills!M18+1)</f>
        <v/>
      </c>
      <c r="F53">
        <f>IF(Skills!N18=TRUE,(Skills!L18/10)*(E53/1000),Skills!L18/10)+Skills!O18</f>
        <v/>
      </c>
      <c r="G53">
        <f>Skills!G18*IF(Skills!H18&gt;0,Skills!I18/Skills!H18,1)</f>
        <v/>
      </c>
      <c r="H53">
        <f>1-(1-Skills!J18/100)^Skills!K18</f>
        <v/>
      </c>
      <c r="I53" t="inlineStr">
        <is>
          <t>1</t>
        </is>
      </c>
      <c r="J53" t="inlineStr"/>
      <c r="K53" t="inlineStr"/>
      <c r="L53" t="inlineStr"/>
      <c r="M53" t="inlineStr"/>
      <c r="N53" t="inlineStr"/>
      <c r="O53">
        <f>(1-Summary!$B$55)*T53+Summary!$B$55*V53</f>
        <v/>
      </c>
      <c r="P53">
        <f>IF(B74=0,0,O53/B74)</f>
        <v/>
      </c>
      <c r="Q53">
        <f>IFERROR(1/IF(Inputs!$B$39="pvp",15,MAX(0.1,Skills!D18-IF(Skills!E18=TRUE,Inputs!$B$33,0))),0)</f>
        <v/>
      </c>
      <c r="R53">
        <f>IF(AND(Inputs!$B$39&lt;&gt;"pvp",Inputs!$B$44&gt;0),IF(Inputs!$B$44&lt;=0,0,(INT(Inputs!$B$44/IF(Inputs!$B$39="pvp",15,MAX(0.1,Skills!D18-IF(Skills!E18=TRUE,Inputs!$B$33,0))))+1)),0)</f>
        <v/>
      </c>
      <c r="S53">
        <f>IFERROR(O53/N53,0)</f>
        <v/>
      </c>
      <c r="T53" t="n">
        <v>0</v>
      </c>
      <c r="V53" t="n">
        <v>0</v>
      </c>
    </row>
    <row r="54">
      <c r="A54">
        <f>Skills!A19</f>
        <v/>
      </c>
      <c r="B54">
        <f>Skills!B19</f>
        <v/>
      </c>
      <c r="C54">
        <f>Inputs!$B$3&gt;=72</f>
        <v/>
      </c>
      <c r="D54">
        <f>IF(Skills!C19=1,60+Inputs!$B$26+Inputs!$B$30,IF(Skills!C19=2,90+Inputs!$B$27+Inputs!$B$30,IF(Skills!C19=3,120+Inputs!$B$28+Inputs!$B$30,MAX(0,(Inputs!$B$3-100)*3)+Inputs!$B$29+Inputs!$B$30)))</f>
        <v/>
      </c>
      <c r="E54">
        <f>INDEX(FactorTable!$B$2:$Y$301, MATCH(ROUND(MIN(300,MAX(1,D54)),0), FactorTable!$A$2:$A$301,0), Skills!M19+1)</f>
        <v/>
      </c>
      <c r="F54">
        <f>IF(Skills!N19=TRUE,(Skills!L19/10)*(E54/1000),Skills!L19/10)+Skills!O19</f>
        <v/>
      </c>
      <c r="G54">
        <f>Skills!G19*IF(Skills!H19&gt;0,Skills!I19/Skills!H19,1)</f>
        <v/>
      </c>
      <c r="H54">
        <f>1-(1-Skills!J19/100)^Skills!K19</f>
        <v/>
      </c>
      <c r="I54" t="inlineStr">
        <is>
          <t>1</t>
        </is>
      </c>
      <c r="J54" t="inlineStr"/>
      <c r="K54" t="inlineStr"/>
      <c r="L54" t="inlineStr"/>
      <c r="M54" t="inlineStr"/>
      <c r="N54" t="inlineStr"/>
      <c r="O54">
        <f>(1-Summary!$B$55)*T54+Summary!$B$55*V54</f>
        <v/>
      </c>
      <c r="P54">
        <f>IF(B74=0,0,O54/B74)</f>
        <v/>
      </c>
      <c r="Q54">
        <f>IFERROR(1/IF(Inputs!$B$39="pvp",15,MAX(0.1,Skills!D19-IF(Skills!E19=TRUE,Inputs!$B$33,0))),0)</f>
        <v/>
      </c>
      <c r="R54">
        <f>IF(AND(Inputs!$B$39&lt;&gt;"pvp",Inputs!$B$44&gt;0),IF(Inputs!$B$44&lt;=0,0,(INT(Inputs!$B$44/IF(Inputs!$B$39="pvp",15,MAX(0.1,Skills!D19-IF(Skills!E19=TRUE,Inputs!$B$33,0))))+1)),0)</f>
        <v/>
      </c>
      <c r="S54">
        <f>IFERROR(O54/N54,0)</f>
        <v/>
      </c>
      <c r="T54" t="n">
        <v>0</v>
      </c>
      <c r="V54" t="n">
        <v>0</v>
      </c>
    </row>
    <row r="55">
      <c r="A55">
        <f>Skills!A20</f>
        <v/>
      </c>
      <c r="B55">
        <f>Skills!B20</f>
        <v/>
      </c>
      <c r="C55">
        <f>TRUE</f>
        <v/>
      </c>
      <c r="D55">
        <f>IF(Skills!C20=1,60+Inputs!$B$26+Inputs!$B$30,IF(Skills!C20=2,90+Inputs!$B$27+Inputs!$B$30,IF(Skills!C20=3,120+Inputs!$B$28+Inputs!$B$30,MAX(0,(Inputs!$B$3-100)*3)+Inputs!$B$29+Inputs!$B$30)))</f>
        <v/>
      </c>
      <c r="E55">
        <f>INDEX(FactorTable!$B$2:$Y$301, MATCH(ROUND(MIN(300,MAX(1,D55)),0), FactorTable!$A$2:$A$301,0), Skills!M20+1)</f>
        <v/>
      </c>
      <c r="F55">
        <f>IF(Skills!N20=TRUE,(Skills!L20/10)*(E55/1000),Skills!L20/10)+Skills!O20</f>
        <v/>
      </c>
      <c r="G55">
        <f>Skills!G20*IF(Skills!H20&gt;0,Skills!I20/Skills!H20,1)</f>
        <v/>
      </c>
      <c r="H55">
        <f>1-(1-Skills!J20/100)^Skills!K20</f>
        <v/>
      </c>
      <c r="I55" t="inlineStr">
        <is>
          <t>1</t>
        </is>
      </c>
      <c r="J55" t="inlineStr"/>
      <c r="K55" t="inlineStr"/>
      <c r="L55" t="inlineStr"/>
      <c r="M55" t="inlineStr"/>
      <c r="N55" t="inlineStr"/>
      <c r="O55">
        <f>(1-Summary!$B$55)*T55+Summary!$B$55*V55</f>
        <v/>
      </c>
      <c r="P55">
        <f>IF(B74=0,0,O55/B74)</f>
        <v/>
      </c>
      <c r="Q55">
        <f>IFERROR(1/IF(Inputs!$B$39="pvp",15,MAX(0.1,Skills!D20-IF(Skills!E20=TRUE,Inputs!$B$33,0))),0)</f>
        <v/>
      </c>
      <c r="R55">
        <f>IF(AND(Inputs!$B$39&lt;&gt;"pvp",Inputs!$B$44&gt;0),IF(Inputs!$B$44&lt;=0,0,(INT(Inputs!$B$44/IF(Inputs!$B$39="pvp",15,MAX(0.1,Skills!D20-IF(Skills!E20=TRUE,Inputs!$B$33,0))))+1)),0)</f>
        <v/>
      </c>
      <c r="S55">
        <f>IFERROR(O55/N55,0)</f>
        <v/>
      </c>
      <c r="T55" t="n">
        <v>0</v>
      </c>
      <c r="V55" t="n">
        <v>0</v>
      </c>
    </row>
    <row r="56">
      <c r="A56">
        <f>Skills!A21</f>
        <v/>
      </c>
      <c r="B56">
        <f>Skills!B21</f>
        <v/>
      </c>
      <c r="C56">
        <f>Inputs!$B$3&gt;=33</f>
        <v/>
      </c>
      <c r="D56">
        <f>IF(Skills!C21=1,60+Inputs!$B$26+Inputs!$B$30,IF(Skills!C21=2,90+Inputs!$B$27+Inputs!$B$30,IF(Skills!C21=3,120+Inputs!$B$28+Inputs!$B$30,MAX(0,(Inputs!$B$3-100)*3)+Inputs!$B$29+Inputs!$B$30)))</f>
        <v/>
      </c>
      <c r="E56">
        <f>INDEX(FactorTable!$B$2:$Y$301, MATCH(ROUND(MIN(300,MAX(1,D56)),0), FactorTable!$A$2:$A$301,0), Skills!M21+1)</f>
        <v/>
      </c>
      <c r="F56">
        <f>IF(Skills!N21=TRUE,(Skills!L21/10)*(E56/1000),Skills!L21/10)+Skills!O21</f>
        <v/>
      </c>
      <c r="G56">
        <f>Skills!G21*IF(Skills!H21&gt;0,Skills!I21/Skills!H21,1)</f>
        <v/>
      </c>
      <c r="H56">
        <f>1-(1-Skills!J21/100)^Skills!K21</f>
        <v/>
      </c>
      <c r="I56" t="inlineStr">
        <is>
          <t>1</t>
        </is>
      </c>
      <c r="J56" t="inlineStr"/>
      <c r="K56" t="inlineStr"/>
      <c r="L56" t="inlineStr"/>
      <c r="M56" t="inlineStr"/>
      <c r="N56" t="inlineStr"/>
      <c r="O56">
        <f>(1-Summary!$B$55)*T56+Summary!$B$55*V56</f>
        <v/>
      </c>
      <c r="P56">
        <f>IF(B74=0,0,O56/B74)</f>
        <v/>
      </c>
      <c r="Q56" t="n">
        <v>0</v>
      </c>
      <c r="R56" t="n">
        <v>0</v>
      </c>
      <c r="S56">
        <f>IFERROR(O56/N56,0)</f>
        <v/>
      </c>
      <c r="T56" t="n">
        <v>0</v>
      </c>
      <c r="V56" t="n">
        <v>0</v>
      </c>
    </row>
    <row r="57">
      <c r="A57">
        <f>Skills!A22</f>
        <v/>
      </c>
      <c r="B57">
        <f>Skills!B22</f>
        <v/>
      </c>
      <c r="C57">
        <f>Inputs!$B$3&gt;=43</f>
        <v/>
      </c>
      <c r="D57">
        <f>IF(Skills!C22=1,60+Inputs!$B$26+Inputs!$B$30,IF(Skills!C22=2,90+Inputs!$B$27+Inputs!$B$30,IF(Skills!C22=3,120+Inputs!$B$28+Inputs!$B$30,MAX(0,(Inputs!$B$3-100)*3)+Inputs!$B$29+Inputs!$B$30)))</f>
        <v/>
      </c>
      <c r="E57">
        <f>INDEX(FactorTable!$B$2:$Y$301, MATCH(ROUND(MIN(300,MAX(1,D57)),0), FactorTable!$A$2:$A$301,0), Skills!M22+1)</f>
        <v/>
      </c>
      <c r="F57">
        <f>IF(Skills!N22=TRUE,(Skills!L22/10)*(E57/1000),Skills!L22/10)+Skills!O22</f>
        <v/>
      </c>
      <c r="G57">
        <f>Skills!G22*IF(Skills!H22&gt;0,Skills!I22/Skills!H22,1)</f>
        <v/>
      </c>
      <c r="H57">
        <f>1-(1-Skills!J22/100)^Skills!K22</f>
        <v/>
      </c>
      <c r="I57" t="inlineStr">
        <is>
          <t>1</t>
        </is>
      </c>
      <c r="J57" t="inlineStr"/>
      <c r="K57" t="inlineStr"/>
      <c r="L57" t="inlineStr"/>
      <c r="M57" t="inlineStr"/>
      <c r="N57" t="inlineStr"/>
      <c r="O57">
        <f>(1-Summary!$B$55)*T57+Summary!$B$55*V57</f>
        <v/>
      </c>
      <c r="P57">
        <f>IF(B74=0,0,O57/B74)</f>
        <v/>
      </c>
      <c r="Q57" t="n">
        <v>0</v>
      </c>
      <c r="R57" t="n">
        <v>0</v>
      </c>
      <c r="S57">
        <f>IFERROR(O57/N57,0)</f>
        <v/>
      </c>
      <c r="T57" t="n">
        <v>0</v>
      </c>
      <c r="V57" t="n">
        <v>0</v>
      </c>
    </row>
    <row r="58">
      <c r="A58">
        <f>Skills!A23</f>
        <v/>
      </c>
      <c r="B58">
        <f>Skills!B23</f>
        <v/>
      </c>
      <c r="C58">
        <f>Inputs!$B$3&gt;=120</f>
        <v/>
      </c>
      <c r="D58">
        <f>IF(Skills!C23=1,60+Inputs!$B$26+Inputs!$B$30,IF(Skills!C23=2,90+Inputs!$B$27+Inputs!$B$30,IF(Skills!C23=3,120+Inputs!$B$28+Inputs!$B$30,MAX(0,(Inputs!$B$3-100)*3)+Inputs!$B$29+Inputs!$B$30)))</f>
        <v/>
      </c>
      <c r="E58">
        <f>INDEX(FactorTable!$B$2:$Y$301, MATCH(ROUND(MIN(300,MAX(1,D58)),0), FactorTable!$A$2:$A$301,0), Skills!M23+1)</f>
        <v/>
      </c>
      <c r="F58">
        <f>IF(Skills!N23=TRUE,(Skills!L23/10)*(E58/1000),Skills!L23/10)+Skills!O23</f>
        <v/>
      </c>
      <c r="G58">
        <f>Skills!G23*IF(Skills!H23&gt;0,Skills!I23/Skills!H23,1)</f>
        <v/>
      </c>
      <c r="H58">
        <f>1-(1-Skills!J23/100)^Skills!K23</f>
        <v/>
      </c>
      <c r="I58" t="inlineStr">
        <is>
          <t>1</t>
        </is>
      </c>
      <c r="J58" t="inlineStr"/>
      <c r="K58" t="inlineStr"/>
      <c r="L58" t="inlineStr"/>
      <c r="M58" t="inlineStr"/>
      <c r="N58" t="inlineStr"/>
      <c r="O58">
        <f>(1-Summary!$B$55)*T58+Summary!$B$55*V58</f>
        <v/>
      </c>
      <c r="P58">
        <f>IF(B74=0,0,O58/B74)</f>
        <v/>
      </c>
      <c r="Q58" t="n">
        <v>0</v>
      </c>
      <c r="R58" t="n">
        <v>0</v>
      </c>
      <c r="S58">
        <f>IFERROR(O58/N58,0)</f>
        <v/>
      </c>
      <c r="T58" t="n">
        <v>0</v>
      </c>
      <c r="V58" t="n">
        <v>0</v>
      </c>
    </row>
    <row r="59">
      <c r="A59">
        <f>Skills!A24</f>
        <v/>
      </c>
      <c r="B59">
        <f>Skills!B24</f>
        <v/>
      </c>
      <c r="C59">
        <f>Inputs!$B$3&gt;=120</f>
        <v/>
      </c>
      <c r="D59">
        <f>IF(Skills!C24=1,60+Inputs!$B$26+Inputs!$B$30,IF(Skills!C24=2,90+Inputs!$B$27+Inputs!$B$30,IF(Skills!C24=3,120+Inputs!$B$28+Inputs!$B$30,MAX(0,(Inputs!$B$3-100)*3)+Inputs!$B$29+Inputs!$B$30)))</f>
        <v/>
      </c>
      <c r="E59">
        <f>INDEX(FactorTable!$B$2:$Y$301, MATCH(ROUND(MIN(300,MAX(1,D59)),0), FactorTable!$A$2:$A$301,0), Skills!M24+1)</f>
        <v/>
      </c>
      <c r="F59">
        <f>IF(Skills!N24=TRUE,(Skills!L24/10)*(E59/1000),Skills!L24/10)+Skills!O24</f>
        <v/>
      </c>
      <c r="G59">
        <f>Skills!G24*IF(Skills!H24&gt;0,Skills!I24/Skills!H24,1)</f>
        <v/>
      </c>
      <c r="H59">
        <f>1-(1-Skills!J24/100)^Skills!K24</f>
        <v/>
      </c>
      <c r="I59" t="inlineStr">
        <is>
          <t>1</t>
        </is>
      </c>
      <c r="J59" t="inlineStr"/>
      <c r="K59" t="inlineStr"/>
      <c r="L59" t="inlineStr"/>
      <c r="M59" t="inlineStr"/>
      <c r="N59" t="inlineStr"/>
      <c r="O59">
        <f>(1-Summary!$B$55)*T59+Summary!$B$55*V59</f>
        <v/>
      </c>
      <c r="P59">
        <f>IF(B74=0,0,O59/B74)</f>
        <v/>
      </c>
      <c r="Q59" t="n">
        <v>0</v>
      </c>
      <c r="R59" t="n">
        <v>0</v>
      </c>
      <c r="S59">
        <f>IFERROR(O59/N59,0)</f>
        <v/>
      </c>
      <c r="T59" t="n">
        <v>0</v>
      </c>
      <c r="V59" t="n">
        <v>0</v>
      </c>
    </row>
    <row r="60">
      <c r="A60">
        <f>Skills!A25</f>
        <v/>
      </c>
      <c r="B60">
        <f>Skills!B25</f>
        <v/>
      </c>
      <c r="C60">
        <f>Inputs!$B$3&gt;=125</f>
        <v/>
      </c>
      <c r="D60">
        <f>IF(Skills!C25=1,60+Inputs!$B$26+Inputs!$B$30,IF(Skills!C25=2,90+Inputs!$B$27+Inputs!$B$30,IF(Skills!C25=3,120+Inputs!$B$28+Inputs!$B$30,MAX(0,(Inputs!$B$3-100)*3)+Inputs!$B$29+Inputs!$B$30)))</f>
        <v/>
      </c>
      <c r="E60">
        <f>INDEX(FactorTable!$B$2:$Y$301, MATCH(ROUND(MIN(300,MAX(1,D60)),0), FactorTable!$A$2:$A$301,0), Skills!M25+1)</f>
        <v/>
      </c>
      <c r="F60">
        <f>IF(Skills!N25=TRUE,(Skills!L25/10)*(E60/1000),Skills!L25/10)+Skills!O25</f>
        <v/>
      </c>
      <c r="G60">
        <f>Skills!G25*IF(Skills!H25&gt;0,Skills!I25/Skills!H25,1)</f>
        <v/>
      </c>
      <c r="H60">
        <f>1-(1-Skills!J25/100)^Skills!K25</f>
        <v/>
      </c>
      <c r="I60" t="inlineStr">
        <is>
          <t>1</t>
        </is>
      </c>
      <c r="J60" t="inlineStr"/>
      <c r="K60" t="inlineStr"/>
      <c r="L60" t="inlineStr"/>
      <c r="M60" t="inlineStr"/>
      <c r="N60" t="inlineStr"/>
      <c r="O60">
        <f>(1-Summary!$B$55)*T60+Summary!$B$55*V60</f>
        <v/>
      </c>
      <c r="P60">
        <f>IF(B74=0,0,O60/B74)</f>
        <v/>
      </c>
      <c r="Q60" t="n">
        <v>0</v>
      </c>
      <c r="R60" t="n">
        <v>0</v>
      </c>
      <c r="S60">
        <f>IFERROR(O60/N60,0)</f>
        <v/>
      </c>
      <c r="T60" t="n">
        <v>0</v>
      </c>
      <c r="V60" t="n">
        <v>0</v>
      </c>
    </row>
    <row r="61">
      <c r="A61">
        <f>Skills!A26</f>
        <v/>
      </c>
      <c r="B61">
        <f>Skills!B26</f>
        <v/>
      </c>
      <c r="C61">
        <f>Inputs!$B$3&gt;=107</f>
        <v/>
      </c>
      <c r="D61">
        <f>IF(Skills!C26=1,60+Inputs!$B$26+Inputs!$B$30,IF(Skills!C26=2,90+Inputs!$B$27+Inputs!$B$30,IF(Skills!C26=3,120+Inputs!$B$28+Inputs!$B$30,MAX(0,(Inputs!$B$3-100)*3)+Inputs!$B$29+Inputs!$B$30)))</f>
        <v/>
      </c>
      <c r="E61">
        <f>INDEX(FactorTable!$B$2:$Y$301, MATCH(ROUND(MIN(300,MAX(1,D61)),0), FactorTable!$A$2:$A$301,0), Skills!M26+1)</f>
        <v/>
      </c>
      <c r="F61">
        <f>IF(Skills!N26=TRUE,(Skills!L26/10)*(E61/1000),Skills!L26/10)+Skills!O26</f>
        <v/>
      </c>
      <c r="G61">
        <f>Skills!G26*IF(Skills!H26&gt;0,Skills!I26/Skills!H26,1)</f>
        <v/>
      </c>
      <c r="H61">
        <f>1-(1-Skills!J26/100)^Skills!K26</f>
        <v/>
      </c>
      <c r="I61" t="inlineStr">
        <is>
          <t>1</t>
        </is>
      </c>
      <c r="J61" t="inlineStr"/>
      <c r="K61" t="inlineStr"/>
      <c r="L61" t="inlineStr"/>
      <c r="M61" t="inlineStr"/>
      <c r="N61" t="inlineStr"/>
      <c r="O61">
        <f>(1-Summary!$B$55)*T61+Summary!$B$55*V61</f>
        <v/>
      </c>
      <c r="P61">
        <f>IF(B74=0,0,O61/B74)</f>
        <v/>
      </c>
      <c r="Q61" t="n">
        <v>0</v>
      </c>
      <c r="R61" t="n">
        <v>0</v>
      </c>
      <c r="S61">
        <f>IFERROR(O61/N61,0)</f>
        <v/>
      </c>
      <c r="T61" t="n">
        <v>0</v>
      </c>
      <c r="V61" t="n">
        <v>0</v>
      </c>
    </row>
    <row r="63">
      <c r="A63" t="inlineStr">
        <is>
          <t>Attack% Bucket Multiplier</t>
        </is>
      </c>
      <c r="B63">
        <f>(1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f>
        <v/>
      </c>
    </row>
    <row r="64">
      <c r="A64" t="inlineStr">
        <is>
          <t>Global Crit Rate Bonus % (Lord of Darkness)</t>
        </is>
      </c>
      <c r="B64">
        <f>((C53=TRUE)*F53*(Skills!J18/100)*IF(AND(Inputs!$B$39&lt;&gt;"pvp",Inputs!$B$44&gt;0),(((R53-1)*(Skills!T18*(1+Inputs!$B$35/100))+MIN((Skills!T18*(1+Inputs!$B$35/100)),MAX(0,Inputs!$B$44-((R53-1)*Skills!D18))))/Inputs!$B$44),IF(Inputs!$B$39="pvp",MIN((Skills!T18*(1+Inputs!$B$35/100)),15)/15,(Skills!T18*(1+Inputs!$B$35/100))/Skills!D18)))</f>
        <v/>
      </c>
    </row>
    <row r="65">
      <c r="A65" t="inlineStr">
        <is>
          <t>Attack Speed Buff Bonus %</t>
        </is>
      </c>
      <c r="B65">
        <f>((C55=TRUE)*F55*IF(AND(Inputs!$B$39&lt;&gt;"pvp",Inputs!$B$44&gt;0),(((R55-1)*(Skills!T20*(1+Inputs!$B$35/100))+MIN((Skills!T20*(1+Inputs!$B$35/100)),MAX(0,Inputs!$B$44-((R55-1)*Skills!D20))))/Inputs!$B$44),IF(Inputs!$B$39="pvp",MIN((Skills!T20*(1+Inputs!$B$35/100)),15)/15,(Skills!T20*(1+Inputs!$B$35/100))/Skills!D20)))</f>
        <v/>
      </c>
    </row>
    <row r="66">
      <c r="A66" t="inlineStr">
        <is>
          <t>Actions Per Second</t>
        </is>
      </c>
      <c r="B66">
        <f>1+MIN(150,150*(1-(1-(Inputs!$B$12+((C56=TRUE)*(F56-Calc!F21)))/150)*(1-B65/150)))/100</f>
        <v/>
      </c>
    </row>
    <row r="67">
      <c r="A67" t="inlineStr">
        <is>
          <t>Skill + Buff Cast Rate</t>
        </is>
      </c>
      <c r="B67">
        <f>IF(AND(Inputs!$B$39&lt;&gt;"pvp",Inputs!$B$44&gt;0),SUMPRODUCT((Skills!E2:E26=TRUE)*(C37:C61=TRUE)*R37:R61*Skills!F2:F26)/Inputs!$B$44,SUMPRODUCT((Skills!E2:E26=TRUE)*(C37:C61=TRUE)*Q37:Q61*Skills!F2:F26))</f>
        <v/>
      </c>
    </row>
    <row r="68">
      <c r="A68" t="inlineStr">
        <is>
          <t>Dark Impale Casts Per Second</t>
        </is>
      </c>
      <c r="B68">
        <f>MAX(0,B66-B67)</f>
        <v/>
      </c>
    </row>
    <row r="69">
      <c r="A69" t="inlineStr">
        <is>
          <t>Global Critical Damage Bonus % (Lord of Darkness)</t>
        </is>
      </c>
      <c r="B69">
        <f>((C54=TRUE)*F54*(Skills!J19/100)*IF(AND(Inputs!$B$39&lt;&gt;"pvp",Inputs!$B$44&gt;0),(((R54-1)*(Skills!T19*(1+Inputs!$B$35/100))+MIN((Skills!T19*(1+Inputs!$B$35/100)),MAX(0,Inputs!$B$44-((R54-1)*Skills!D19))))/Inputs!$B$44),IF(Inputs!$B$39="pvp",MIN((Skills!T19*(1+Inputs!$B$35/100)),15)/15,(Skills!T19*(1+Inputs!$B$35/100))/Skills!D19)))</f>
        <v/>
      </c>
    </row>
    <row r="70">
      <c r="A70" t="inlineStr">
        <is>
          <t>Global Final Damage Bonus % (unused)</t>
        </is>
      </c>
      <c r="B70" t="n">
        <v>0</v>
      </c>
    </row>
    <row r="71">
      <c r="A71" t="inlineStr">
        <is>
          <t>Buff-Casting Startup Delay (s, fixed-duration only)</t>
        </is>
      </c>
      <c r="B71">
        <f>IF(AND(Inputs!$B$39&lt;&gt;"pvp",Inputs!$B$44&gt;0),SUMPRODUCT((Skills!T2:T26&gt;0)*(Skills!E2:E26=TRUE)*(C37:C61=TRUE))/B66,0)</f>
        <v/>
      </c>
    </row>
    <row r="72">
      <c r="A72" t="inlineStr">
        <is>
          <t>Boss-Only Total DPS (this block's swept value)</t>
        </is>
      </c>
      <c r="B72">
        <f>SUM(T37:T61)</f>
        <v/>
      </c>
    </row>
    <row r="73">
      <c r="A73" t="inlineStr">
        <is>
          <t>Normal-Only Total DPS (this block's swept value)</t>
        </is>
      </c>
      <c r="B73">
        <f>SUM(V37:V61)</f>
        <v/>
      </c>
    </row>
    <row r="74">
      <c r="A74" s="5" t="inlineStr">
        <is>
          <t>TOTAL DPS</t>
        </is>
      </c>
      <c r="B74" s="5">
        <f>SUM(O37:O61)</f>
        <v/>
      </c>
    </row>
    <row r="77">
      <c r="A77" s="5" t="inlineStr">
        <is>
          <t>Stat: STR %</t>
        </is>
      </c>
    </row>
    <row r="78">
      <c r="A78" s="9" t="inlineStr">
        <is>
          <t>Key</t>
        </is>
      </c>
      <c r="B78" s="9" t="inlineStr">
        <is>
          <t>Name</t>
        </is>
      </c>
      <c r="C78" s="9" t="inlineStr">
        <is>
          <t>Unlocked</t>
        </is>
      </c>
      <c r="D78" s="9" t="inlineStr">
        <is>
          <t>InputLevel</t>
        </is>
      </c>
      <c r="E78" s="9" t="inlineStr">
        <is>
          <t>Factor</t>
        </is>
      </c>
      <c r="F78" s="9" t="inlineStr">
        <is>
          <t>CoefficientPercent</t>
        </is>
      </c>
      <c r="G78" s="9" t="inlineStr">
        <is>
          <t>EffectiveHits</t>
        </is>
      </c>
      <c r="H78" s="9" t="inlineStr">
        <is>
          <t>ProcProbability</t>
        </is>
      </c>
      <c r="I78" s="9" t="inlineStr">
        <is>
          <t>MapleHeroMultiplier</t>
        </is>
      </c>
      <c r="J78" s="9" t="inlineStr">
        <is>
          <t>BaseDamage</t>
        </is>
      </c>
      <c r="K78" s="9" t="inlineStr">
        <is>
          <t>BaseHitDamage</t>
        </is>
      </c>
      <c r="L78" s="9" t="inlineStr">
        <is>
          <t>NonCritAvg</t>
        </is>
      </c>
      <c r="M78" s="9" t="inlineStr">
        <is>
          <t>CritAvg</t>
        </is>
      </c>
      <c r="N78" s="9" t="inlineStr">
        <is>
          <t>ExpectedDamage(perHit)</t>
        </is>
      </c>
      <c r="O78" s="9" t="inlineStr">
        <is>
          <t>DPS</t>
        </is>
      </c>
      <c r="P78" s="9" t="inlineStr">
        <is>
          <t>% of Total</t>
        </is>
      </c>
      <c r="Q78" s="9" t="inlineStr">
        <is>
          <t>InvCooldown</t>
        </is>
      </c>
      <c r="R78" s="9" t="inlineStr">
        <is>
          <t>CastsInFight</t>
        </is>
      </c>
      <c r="S78" s="9" t="inlineStr">
        <is>
          <t>HitRate(perSec)</t>
        </is>
      </c>
      <c r="U78" t="inlineStr">
        <is>
          <t>helpers</t>
        </is>
      </c>
    </row>
    <row r="79">
      <c r="A79">
        <f>Skills!A2</f>
        <v/>
      </c>
      <c r="B79">
        <f>Skills!B2</f>
        <v/>
      </c>
      <c r="C79">
        <f>Inputs!$B$3&gt;=100</f>
        <v/>
      </c>
      <c r="D79" t="inlineStr"/>
      <c r="E79" t="inlineStr"/>
      <c r="F79">
        <f>U81+Skills!O2</f>
        <v/>
      </c>
      <c r="G79">
        <f>Skills!G2*IF(Skills!H2&gt;0,Skills!I2/Skills!H2,1)</f>
        <v/>
      </c>
      <c r="H79">
        <f>1-(1-Skills!J2/100)^Skills!K2</f>
        <v/>
      </c>
      <c r="I79" t="inlineStr">
        <is>
          <t>1</t>
        </is>
      </c>
      <c r="J79">
        <f>((Inputs!$B$6*(1+Inputs!$B$7/100))+(((Inputs!$B$13*(1+(Inputs!$B$14+1)/100))-(Inputs!$B$13*(1+Inputs!$B$14/100)))+0.25*(Inputs!$B$15-Inputs!$B$15))*(1+Inputs!$B$7/100))*(F79/100)</f>
        <v/>
      </c>
      <c r="K79">
        <f>J79*(1+(((Inputs!$B$13+IF(Inputs!$B$3&gt;=38,(10*INDEX(FactorTable!$B$2:$Y$301, MATCH(ROUND(MIN(300,MAX(1,Inputs!$B$3)),0), FactorTable!$A$2:$A$301,0), 23)/1000)/100*(Inputs!$B$8*(1+Inputs!$B$9/100)),0))*(1+(Inputs!$B$14+1)/100))*0.01+Inputs!$B$15*0.0025)/100)*(1+Inputs!$B$16/100)*(1+Inputs!$B$17/100)*(5000/(6000+Inputs!$B$43*(1-(Inputs!$B$20+0)/100)))*(1+(Inputs!$B$25+((C102=TRUE)*(F102-Calc!F25))+((C103=TRUE)*(F103-Calc!F26))+B112)/100)*(1+(IF(Skills!A2="DARK_IMPALE",Inputs!$B$18+0,Inputs!$B$19+((C100=TRUE)*(F100-Calc!F23))))/100)*((1+(((C90=TRUE)*F90*IF(AND(Inputs!$B$39&lt;&gt;"pvp",Inputs!$B$44&gt;0),(((R90-1)*(Skills!T13*(1+Inputs!$B$35/100))+MIN((Skills!T13*(1+Inputs!$B$35/100)),MAX(0,Inputs!$B$44-((R90-1)*Skills!D13))))/Inputs!$B$44),IF(Inputs!$B$39="pvp",MIN((Skills!T13*(1+Inputs!$B$35/100)),15)/15,(Skills!T13*(1+Inputs!$B$35/100))/Skills!D13)))+((C91=TRUE)*F91*IF(AND(Inputs!$B$39&lt;&gt;"pvp",Inputs!$B$44&gt;0),(((R91-1)*(Skills!T14*(1+Inputs!$B$35/100))+MIN((Skills!T14*(1+Inputs!$B$35/100)),MAX(0,Inputs!$B$44-((R91-1)*Skills!D14))))/Inputs!$B$44),IF(Inputs!$B$39="pvp",MIN((Skills!T14*(1+Inputs!$B$35/100)),15)/15,(Skills!T14*(1+Inputs!$B$35/100))/Skills!D14)))+((C92=TRUE)*F92*IF(AND(Inputs!$B$39&lt;&gt;"pvp",Inputs!$B$44&gt;0),(((R92-1)*(Skills!T15*(1+Inputs!$B$35/100))+MIN((Skills!T15*(1+Inputs!$B$35/100)),MAX(0,Inputs!$B$44-((R92-1)*Skills!D15))))/Inputs!$B$44),IF(Inputs!$B$39="pvp",MIN((Skills!T15*(1+Inputs!$B$35/100)),15)/15,(Skills!T15*(1+Inputs!$B$35/100))/Skills!D15)))+((C93=TRUE)*F93*IF(AND(Inputs!$B$39&lt;&gt;"pvp",Inputs!$B$44&gt;0),(((R93-1)*(Skills!T16*(1+Inputs!$B$35/100))+MIN((Skills!T16*(1+Inputs!$B$35/100)),MAX(0,Inputs!$B$44-((R93-1)*Skills!D16))))/Inputs!$B$44),IF(Inputs!$B$39="pvp",MIN((Skills!T16*(1+Inputs!$B$35/100)),15)/15,(Skills!T16*(1+Inputs!$B$35/100))/Skills!D16)))+0)/100)*I79)</f>
        <v/>
      </c>
      <c r="L79">
        <f>K79*(MIN(Inputs!$B$23+((C99=TRUE)*(F99-Calc!F22)),Inputs!$B$24+((C101=TRUE)*(F101-Calc!F24)))/100+(Inputs!$B$24+((C101=TRUE)*(F101-Calc!F24)))/100)/2</f>
        <v/>
      </c>
      <c r="M79">
        <f>L79*(1+(Inputs!$B$11+0+B111)/100)</f>
        <v/>
      </c>
      <c r="N79">
        <f>L79*(1-MIN((Inputs!$B$10+0+B106),100)/100)+M79*(MIN((Inputs!$B$10+0+B106),100)/100)</f>
        <v/>
      </c>
      <c r="O79">
        <f>(1-Summary!$B$55)*T79+Summary!$B$55*V79</f>
        <v/>
      </c>
      <c r="P79">
        <f>IF(B116=0,0,O79/B116)</f>
        <v/>
      </c>
      <c r="Q79" t="n">
        <v>0</v>
      </c>
      <c r="R79" t="n">
        <v>0</v>
      </c>
      <c r="S79">
        <f>IFERROR(O79/N79,0)</f>
        <v/>
      </c>
      <c r="T79">
        <f>IF(C79,(Skills!G2*N79*B110)*IF(Inputs!$B$39="pvp",1,1+(Inputs!$B$21+0+Skills!P2+((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0)</f>
        <v/>
      </c>
      <c r="U79">
        <f>MAX(0,(Inputs!$B$3-100)*3)+Inputs!$B$29+Inputs!$B$30</f>
        <v/>
      </c>
      <c r="V79">
        <f>IF(C79,(Skills!G2*N79*B110)*IF(Inputs!$B$39="pvp",1,(1+(Inputs!$B$22+Skills!Q2+((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MIN((6+Inputs!$B$34),Inputs!$B$38))),0)</f>
        <v/>
      </c>
    </row>
    <row r="80">
      <c r="A80">
        <f>Skills!A3</f>
        <v/>
      </c>
      <c r="B80">
        <f>Skills!B3</f>
        <v/>
      </c>
      <c r="C80">
        <f>Inputs!$B$3&gt;=50</f>
        <v/>
      </c>
      <c r="D80">
        <f>IF(Skills!C3=1,60+Inputs!$B$26+Inputs!$B$30,IF(Skills!C3=2,90+Inputs!$B$27+Inputs!$B$30,IF(Skills!C3=3,120+Inputs!$B$28+Inputs!$B$30,MAX(0,(Inputs!$B$3-100)*3)+Inputs!$B$29+Inputs!$B$30)))</f>
        <v/>
      </c>
      <c r="E80">
        <f>INDEX(FactorTable!$B$2:$Y$301, MATCH(ROUND(MIN(300,MAX(1,D80)),0), FactorTable!$A$2:$A$301,0), Skills!M3+1)</f>
        <v/>
      </c>
      <c r="F80">
        <f>IF(Skills!N3=TRUE,(Skills!L3/10)*(E80/1000),Skills!L3/10)+Skills!O3</f>
        <v/>
      </c>
      <c r="G80" t="inlineStr"/>
      <c r="H80" t="inlineStr"/>
      <c r="I80" t="inlineStr">
        <is>
          <t>1</t>
        </is>
      </c>
      <c r="J80" t="inlineStr"/>
      <c r="K80" t="inlineStr"/>
      <c r="L80" t="inlineStr"/>
      <c r="M80" t="inlineStr"/>
      <c r="N80" t="inlineStr"/>
      <c r="O80" t="inlineStr"/>
      <c r="P80" t="inlineStr"/>
      <c r="Q80" t="inlineStr"/>
      <c r="R80" t="inlineStr"/>
      <c r="S80" t="inlineStr"/>
      <c r="U80">
        <f>INDEX(FactorTable!$B$2:$Y$301, MATCH(ROUND(MIN(300,MAX(1,U79)),0), FactorTable!$A$2:$A$301,0), 22)</f>
        <v/>
      </c>
    </row>
    <row r="81">
      <c r="A81">
        <f>Skills!A4</f>
        <v/>
      </c>
      <c r="B81">
        <f>Skills!B4</f>
        <v/>
      </c>
      <c r="C81">
        <f>Inputs!$B$3&gt;=105</f>
        <v/>
      </c>
      <c r="D81">
        <f>IF(Skills!C4=1,60+Inputs!$B$26+Inputs!$B$30,IF(Skills!C4=2,90+Inputs!$B$27+Inputs!$B$30,IF(Skills!C4=3,120+Inputs!$B$28+Inputs!$B$30,MAX(0,(Inputs!$B$3-100)*3)+Inputs!$B$29+Inputs!$B$30)))</f>
        <v/>
      </c>
      <c r="E81">
        <f>INDEX(FactorTable!$B$2:$Y$301, MATCH(ROUND(MIN(300,MAX(1,D81)),0), FactorTable!$A$2:$A$301,0), Skills!M4+1)</f>
        <v/>
      </c>
      <c r="F81">
        <f>IF(Skills!N4=TRUE,(Skills!L4/10)*(E81/1000),Skills!L4/10)+Skills!O4</f>
        <v/>
      </c>
      <c r="G81" t="inlineStr"/>
      <c r="H81" t="inlineStr"/>
      <c r="I81" t="inlineStr">
        <is>
          <t>1</t>
        </is>
      </c>
      <c r="J81" t="inlineStr"/>
      <c r="K81" t="inlineStr"/>
      <c r="L81" t="inlineStr"/>
      <c r="M81" t="inlineStr"/>
      <c r="N81" t="inlineStr"/>
      <c r="O81" t="inlineStr"/>
      <c r="P81" t="inlineStr"/>
      <c r="Q81" t="inlineStr"/>
      <c r="R81" t="inlineStr"/>
      <c r="S81" t="inlineStr"/>
      <c r="U81">
        <f>290*U80/1000</f>
        <v/>
      </c>
    </row>
    <row r="82">
      <c r="A82">
        <f>Skills!A5</f>
        <v/>
      </c>
      <c r="B82">
        <f>Skills!B5</f>
        <v/>
      </c>
      <c r="C82">
        <f>Inputs!$B$3&gt;=117</f>
        <v/>
      </c>
      <c r="D82">
        <f>IF(Skills!C5=1,60+Inputs!$B$26+Inputs!$B$30,IF(Skills!C5=2,90+Inputs!$B$27+Inputs!$B$30,IF(Skills!C5=3,120+Inputs!$B$28+Inputs!$B$30,MAX(0,(Inputs!$B$3-100)*3)+Inputs!$B$29+Inputs!$B$30)))</f>
        <v/>
      </c>
      <c r="E82">
        <f>INDEX(FactorTable!$B$2:$Y$301, MATCH(ROUND(MIN(300,MAX(1,D82)),0), FactorTable!$A$2:$A$301,0), Skills!M5+1)</f>
        <v/>
      </c>
      <c r="F82">
        <f>IF(Skills!N5=TRUE,(Skills!L5/10)*(E82/1000),Skills!L5/10)+Skills!O5</f>
        <v/>
      </c>
      <c r="G82">
        <f>Skills!G5*IF(Skills!H5&gt;0,Skills!I5/Skills!H5,1)</f>
        <v/>
      </c>
      <c r="H82">
        <f>1-(1-Skills!J5/100)^Skills!K5</f>
        <v/>
      </c>
      <c r="I82" t="inlineStr">
        <is>
          <t>1</t>
        </is>
      </c>
      <c r="J82">
        <f>((Inputs!$B$6*(1+Inputs!$B$7/100))+(((Inputs!$B$13*(1+(Inputs!$B$14+1)/100))-(Inputs!$B$13*(1+Inputs!$B$14/100)))+0.25*(Inputs!$B$15-Inputs!$B$15))*(1+Inputs!$B$7/100))*(F82/100)</f>
        <v/>
      </c>
      <c r="K82">
        <f>J82*(1+(((Inputs!$B$13+IF(Inputs!$B$3&gt;=38,(10*INDEX(FactorTable!$B$2:$Y$301, MATCH(ROUND(MIN(300,MAX(1,Inputs!$B$3)),0), FactorTable!$A$2:$A$301,0), 23)/1000)/100*(Inputs!$B$8*(1+Inputs!$B$9/100)),0))*(1+(Inputs!$B$14+1)/100))*0.01+Inputs!$B$15*0.0025)/100)*(1+Inputs!$B$16/100)*(1+Inputs!$B$17/100)*(5000/(6000+Inputs!$B$43*(1-(Inputs!$B$20+0)/100)))*(1+(Inputs!$B$25+((C102=TRUE)*(F102-Calc!F25))+((C103=TRUE)*(F103-Calc!F26))+B112)/100)*(1+(IF(Skills!A5="DARK_IMPALE",Inputs!$B$18+0,Inputs!$B$19+((C100=TRUE)*(F100-Calc!F23))))/100)*((1+(((C90=TRUE)*F90*IF(AND(Inputs!$B$39&lt;&gt;"pvp",Inputs!$B$44&gt;0),(((R90-1)*(Skills!T13*(1+Inputs!$B$35/100))+MIN((Skills!T13*(1+Inputs!$B$35/100)),MAX(0,Inputs!$B$44-((R90-1)*Skills!D13))))/Inputs!$B$44),IF(Inputs!$B$39="pvp",MIN((Skills!T13*(1+Inputs!$B$35/100)),15)/15,(Skills!T13*(1+Inputs!$B$35/100))/Skills!D13)))+((C91=TRUE)*F91*IF(AND(Inputs!$B$39&lt;&gt;"pvp",Inputs!$B$44&gt;0),(((R91-1)*(Skills!T14*(1+Inputs!$B$35/100))+MIN((Skills!T14*(1+Inputs!$B$35/100)),MAX(0,Inputs!$B$44-((R91-1)*Skills!D14))))/Inputs!$B$44),IF(Inputs!$B$39="pvp",MIN((Skills!T14*(1+Inputs!$B$35/100)),15)/15,(Skills!T14*(1+Inputs!$B$35/100))/Skills!D14)))+((C92=TRUE)*F92*IF(AND(Inputs!$B$39&lt;&gt;"pvp",Inputs!$B$44&gt;0),(((R92-1)*(Skills!T15*(1+Inputs!$B$35/100))+MIN((Skills!T15*(1+Inputs!$B$35/100)),MAX(0,Inputs!$B$44-((R92-1)*Skills!D15))))/Inputs!$B$44),IF(Inputs!$B$39="pvp",MIN((Skills!T15*(1+Inputs!$B$35/100)),15)/15,(Skills!T15*(1+Inputs!$B$35/100))/Skills!D15)))+((C93=TRUE)*F93*IF(AND(Inputs!$B$39&lt;&gt;"pvp",Inputs!$B$44&gt;0),(((R93-1)*(Skills!T16*(1+Inputs!$B$35/100))+MIN((Skills!T16*(1+Inputs!$B$35/100)),MAX(0,Inputs!$B$44-((R93-1)*Skills!D16))))/Inputs!$B$44),IF(Inputs!$B$39="pvp",MIN((Skills!T16*(1+Inputs!$B$35/100)),15)/15,(Skills!T16*(1+Inputs!$B$35/100))/Skills!D16)))+0)/100)*I82)</f>
        <v/>
      </c>
      <c r="L82">
        <f>K82*(MIN(Inputs!$B$23+((C99=TRUE)*(F99-Calc!F22)),Inputs!$B$24+((C101=TRUE)*(F101-Calc!F24)))/100+(Inputs!$B$24+((C101=TRUE)*(F101-Calc!F24)))/100)/2</f>
        <v/>
      </c>
      <c r="M82">
        <f>L82*(1+(Inputs!$B$11+0+B111)/100)</f>
        <v/>
      </c>
      <c r="N82">
        <f>L82*(1-MIN((Inputs!$B$10+0+B106),100)/100)+M82*(MIN((Inputs!$B$10+0+B106),100)/100)</f>
        <v/>
      </c>
      <c r="O82">
        <f>(1-Summary!$B$55)*T82+Summary!$B$55*V82</f>
        <v/>
      </c>
      <c r="P82">
        <f>IF(B116=0,0,O82/B116)</f>
        <v/>
      </c>
      <c r="Q82">
        <f>IFERROR(1/IF(Inputs!$B$39="pvp",15,MAX(0.1,Skills!D5-IF(Skills!E5=TRUE,Inputs!$B$33,0))),0)</f>
        <v/>
      </c>
      <c r="R82">
        <f>IF(AND(Inputs!$B$39&lt;&gt;"pvp",Inputs!$B$44&gt;0),IF(MAX(0,Inputs!$B$44-B113)&lt;=0,0,(INT(MAX(0,Inputs!$B$44-B113)/IF(Inputs!$B$39="pvp",15,MAX(0.1,Skills!D5-IF(Skills!E5=TRUE,Inputs!$B$33,0))))+1)),0)</f>
        <v/>
      </c>
      <c r="S82">
        <f>IFERROR(O82/N82,0)</f>
        <v/>
      </c>
      <c r="T82">
        <f>IF(C82,(H82*N82*IF(AND(Inputs!$B$39&lt;&gt;"pvp",Inputs!$B$44&gt;0),((Skills!G5*((R82-1)*IF(Skills!H5&gt;0,Skills!I5/Skills!H5,1)+IF(Skills!H5&gt;0,MIN(Skills!I5,MAX(0,MAX(0,Inputs!$B$44-B113)-((R82-1)*IF(Inputs!$B$39="pvp",15,MAX(0.1,Skills!D5-IF(Skills!E5=TRUE,Inputs!$B$33,0))))))/Skills!H5,1)))/Inputs!$B$44),G82*Q82))*IF(Inputs!$B$39="pvp",1,1+(Inputs!$B$21+0+Skills!P5+((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0)</f>
        <v/>
      </c>
      <c r="V82">
        <f>IF(C82,(H82*N82*IF(AND(Inputs!$B$39&lt;&gt;"pvp",Inputs!$B$44&gt;0),((Skills!G5*((R82-1)*IF(Skills!H5&gt;0,Skills!I5/Skills!H5,1)+IF(Skills!H5&gt;0,MIN(Skills!I5,MAX(0,MAX(0,Inputs!$B$44-B113)-((R82-1)*IF(Inputs!$B$39="pvp",15,MAX(0.1,Skills!D5-IF(Skills!E5=TRUE,Inputs!$B$33,0))))))/Skills!H5,1)))/Inputs!$B$44),G82*Q82))*IF(Inputs!$B$39="pvp",1,(1+(Inputs!$B$22+Skills!Q5+((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MIN(Skills!R5,Inputs!$B$38))),0)</f>
        <v/>
      </c>
    </row>
    <row r="83">
      <c r="A83">
        <f>Skills!A6</f>
        <v/>
      </c>
      <c r="B83">
        <f>Skills!B6</f>
        <v/>
      </c>
      <c r="C83">
        <f>Inputs!$B$3&gt;=103</f>
        <v/>
      </c>
      <c r="D83">
        <f>IF(Skills!C6=1,60+Inputs!$B$26+Inputs!$B$30,IF(Skills!C6=2,90+Inputs!$B$27+Inputs!$B$30,IF(Skills!C6=3,120+Inputs!$B$28+Inputs!$B$30,MAX(0,(Inputs!$B$3-100)*3)+Inputs!$B$29+Inputs!$B$30)))</f>
        <v/>
      </c>
      <c r="E83">
        <f>INDEX(FactorTable!$B$2:$Y$301, MATCH(ROUND(MIN(300,MAX(1,D83)),0), FactorTable!$A$2:$A$301,0), Skills!M6+1)</f>
        <v/>
      </c>
      <c r="F83">
        <f>IF(Skills!N6=TRUE,(Skills!L6/10)*(E83/1000),Skills!L6/10)+Skills!O6</f>
        <v/>
      </c>
      <c r="G83">
        <f>Skills!G6*IF(Skills!H6&gt;0,Skills!I6/Skills!H6,1)</f>
        <v/>
      </c>
      <c r="H83">
        <f>1-(1-Skills!J6/100)^Skills!K6</f>
        <v/>
      </c>
      <c r="I83" t="inlineStr">
        <is>
          <t>1</t>
        </is>
      </c>
      <c r="J83">
        <f>((Inputs!$B$6*(1+Inputs!$B$7/100))+(((Inputs!$B$13*(1+(Inputs!$B$14+1)/100))-(Inputs!$B$13*(1+Inputs!$B$14/100)))+0.25*(Inputs!$B$15-Inputs!$B$15))*(1+Inputs!$B$7/100))*(F83/100)</f>
        <v/>
      </c>
      <c r="K83">
        <f>J83*(1+(((Inputs!$B$13+IF(Inputs!$B$3&gt;=38,(10*INDEX(FactorTable!$B$2:$Y$301, MATCH(ROUND(MIN(300,MAX(1,Inputs!$B$3)),0), FactorTable!$A$2:$A$301,0), 23)/1000)/100*(Inputs!$B$8*(1+Inputs!$B$9/100)),0))*(1+(Inputs!$B$14+1)/100))*0.01+Inputs!$B$15*0.0025)/100)*(1+Inputs!$B$16/100)*(1+Inputs!$B$17/100)*(5000/(6000+Inputs!$B$43*(1-(Inputs!$B$20+0)/100)))*(1+(Inputs!$B$25+((C102=TRUE)*(F102-Calc!F25))+((C103=TRUE)*(F103-Calc!F26))+B112)/100)*(1+(IF(Skills!A6="DARK_IMPALE",Inputs!$B$18+0,Inputs!$B$19+((C100=TRUE)*(F100-Calc!F23))))/100)*((1+(((C90=TRUE)*F90*IF(AND(Inputs!$B$39&lt;&gt;"pvp",Inputs!$B$44&gt;0),(((R90-1)*(Skills!T13*(1+Inputs!$B$35/100))+MIN((Skills!T13*(1+Inputs!$B$35/100)),MAX(0,Inputs!$B$44-((R90-1)*Skills!D13))))/Inputs!$B$44),IF(Inputs!$B$39="pvp",MIN((Skills!T13*(1+Inputs!$B$35/100)),15)/15,(Skills!T13*(1+Inputs!$B$35/100))/Skills!D13)))+((C91=TRUE)*F91*IF(AND(Inputs!$B$39&lt;&gt;"pvp",Inputs!$B$44&gt;0),(((R91-1)*(Skills!T14*(1+Inputs!$B$35/100))+MIN((Skills!T14*(1+Inputs!$B$35/100)),MAX(0,Inputs!$B$44-((R91-1)*Skills!D14))))/Inputs!$B$44),IF(Inputs!$B$39="pvp",MIN((Skills!T14*(1+Inputs!$B$35/100)),15)/15,(Skills!T14*(1+Inputs!$B$35/100))/Skills!D14)))+((C92=TRUE)*F92*IF(AND(Inputs!$B$39&lt;&gt;"pvp",Inputs!$B$44&gt;0),(((R92-1)*(Skills!T15*(1+Inputs!$B$35/100))+MIN((Skills!T15*(1+Inputs!$B$35/100)),MAX(0,Inputs!$B$44-((R92-1)*Skills!D15))))/Inputs!$B$44),IF(Inputs!$B$39="pvp",MIN((Skills!T15*(1+Inputs!$B$35/100)),15)/15,(Skills!T15*(1+Inputs!$B$35/100))/Skills!D15)))+((C93=TRUE)*F93*IF(AND(Inputs!$B$39&lt;&gt;"pvp",Inputs!$B$44&gt;0),(((R93-1)*(Skills!T16*(1+Inputs!$B$35/100))+MIN((Skills!T16*(1+Inputs!$B$35/100)),MAX(0,Inputs!$B$44-((R93-1)*Skills!D16))))/Inputs!$B$44),IF(Inputs!$B$39="pvp",MIN((Skills!T16*(1+Inputs!$B$35/100)),15)/15,(Skills!T16*(1+Inputs!$B$35/100))/Skills!D16)))+0)/100)*I83)</f>
        <v/>
      </c>
      <c r="L83">
        <f>K83*(MIN(Inputs!$B$23+((C99=TRUE)*(F99-Calc!F22)),Inputs!$B$24+((C101=TRUE)*(F101-Calc!F24)))/100+(Inputs!$B$24+((C101=TRUE)*(F101-Calc!F24)))/100)/2</f>
        <v/>
      </c>
      <c r="M83">
        <f>L83*(1+(Inputs!$B$11+0+B111)/100)</f>
        <v/>
      </c>
      <c r="N83">
        <f>L83*(1-MIN((Inputs!$B$10+0+B106),100)/100)+M83*(MIN((Inputs!$B$10+0+B106),100)/100)</f>
        <v/>
      </c>
      <c r="O83">
        <f>(1-Summary!$B$55)*T83+Summary!$B$55*V83</f>
        <v/>
      </c>
      <c r="P83">
        <f>IF(B116=0,0,O83/B116)</f>
        <v/>
      </c>
      <c r="Q83">
        <f>IFERROR(1/IF(Inputs!$B$39="pvp",15,MAX(0.1,Skills!D6-IF(Skills!E6=TRUE,Inputs!$B$33,0))),0)</f>
        <v/>
      </c>
      <c r="R83">
        <f>IF(AND(Inputs!$B$39&lt;&gt;"pvp",Inputs!$B$44&gt;0),IF(MAX(0,Inputs!$B$44-B113)&lt;=0,0,(INT(MAX(0,Inputs!$B$44-B113)/IF(Inputs!$B$39="pvp",15,MAX(0.1,Skills!D6-IF(Skills!E6=TRUE,Inputs!$B$33,0))))+1)),0)</f>
        <v/>
      </c>
      <c r="S83">
        <f>IFERROR(O83/N83,0)</f>
        <v/>
      </c>
      <c r="T83">
        <f>IF(C83,(H83*N83*IF(AND(Inputs!$B$39&lt;&gt;"pvp",Inputs!$B$44&gt;0),((Skills!G6*((R83-1)*IF(Skills!H6&gt;0,Skills!I6/Skills!H6,1)+IF(Skills!H6&gt;0,MIN(Skills!I6,MAX(0,MAX(0,Inputs!$B$44-B113)-((R83-1)*IF(Inputs!$B$39="pvp",15,MAX(0.1,Skills!D6-IF(Skills!E6=TRUE,Inputs!$B$33,0))))))/Skills!H6,1)))/Inputs!$B$44),G83*Q83))*IF(Inputs!$B$39="pvp",1,1+(Inputs!$B$21+0+Skills!P6+((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0)</f>
        <v/>
      </c>
      <c r="V83">
        <f>IF(C83,(H83*N83*IF(AND(Inputs!$B$39&lt;&gt;"pvp",Inputs!$B$44&gt;0),((Skills!G6*((R83-1)*IF(Skills!H6&gt;0,Skills!I6/Skills!H6,1)+IF(Skills!H6&gt;0,MIN(Skills!I6,MAX(0,MAX(0,Inputs!$B$44-B113)-((R83-1)*IF(Inputs!$B$39="pvp",15,MAX(0.1,Skills!D6-IF(Skills!E6=TRUE,Inputs!$B$33,0))))))/Skills!H6,1)))/Inputs!$B$44),G83*Q83))*IF(Inputs!$B$39="pvp",1,(1+(Inputs!$B$22+Skills!Q6+((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MIN(Skills!R6,Inputs!$B$38))),0)</f>
        <v/>
      </c>
    </row>
    <row r="84">
      <c r="A84">
        <f>Skills!A7</f>
        <v/>
      </c>
      <c r="B84">
        <f>Skills!B7</f>
        <v/>
      </c>
      <c r="C84">
        <f>Inputs!$B$3&gt;=40</f>
        <v/>
      </c>
      <c r="D84">
        <f>IF(Skills!C7=1,60+Inputs!$B$26+Inputs!$B$30,IF(Skills!C7=2,90+Inputs!$B$27+Inputs!$B$30,IF(Skills!C7=3,120+Inputs!$B$28+Inputs!$B$30,MAX(0,(Inputs!$B$3-100)*3)+Inputs!$B$29+Inputs!$B$30)))</f>
        <v/>
      </c>
      <c r="E84">
        <f>INDEX(FactorTable!$B$2:$Y$301, MATCH(ROUND(MIN(300,MAX(1,D84)),0), FactorTable!$A$2:$A$301,0), Skills!M7+1)</f>
        <v/>
      </c>
      <c r="F84">
        <f>IF(Skills!N7=TRUE,(Skills!L7/10)*(E84/1000),Skills!L7/10)+Skills!O7</f>
        <v/>
      </c>
      <c r="G84">
        <f>Skills!G7*IF(Skills!H7&gt;0,Skills!I7/Skills!H7,1)</f>
        <v/>
      </c>
      <c r="H84">
        <f>1-(1-Skills!J7/100)^Skills!K7</f>
        <v/>
      </c>
      <c r="I84" t="inlineStr">
        <is>
          <t>1</t>
        </is>
      </c>
      <c r="J84">
        <f>((Inputs!$B$6*(1+Inputs!$B$7/100))+(((Inputs!$B$13*(1+(Inputs!$B$14+1)/100))-(Inputs!$B$13*(1+Inputs!$B$14/100)))+0.25*(Inputs!$B$15-Inputs!$B$15))*(1+Inputs!$B$7/100))*(F84/100)</f>
        <v/>
      </c>
      <c r="K84">
        <f>J84*(1+(((Inputs!$B$13+IF(Inputs!$B$3&gt;=38,(10*INDEX(FactorTable!$B$2:$Y$301, MATCH(ROUND(MIN(300,MAX(1,Inputs!$B$3)),0), FactorTable!$A$2:$A$301,0), 23)/1000)/100*(Inputs!$B$8*(1+Inputs!$B$9/100)),0))*(1+(Inputs!$B$14+1)/100))*0.01+Inputs!$B$15*0.0025)/100)*(1+Inputs!$B$16/100)*(1+Inputs!$B$17/100)*(5000/(6000+Inputs!$B$43*(1-(Inputs!$B$20+0)/100)))*(1+(Inputs!$B$25+((C102=TRUE)*(F102-Calc!F25))+((C103=TRUE)*(F103-Calc!F26))+B112)/100)*(1+0.75*IF(C88=TRUE,F88,0)/100)*(1+(IF(Skills!A7="DARK_IMPALE",Inputs!$B$18+0,Inputs!$B$19+((C100=TRUE)*(F100-Calc!F23))))/100)*((1+(((C90=TRUE)*F90*IF(AND(Inputs!$B$39&lt;&gt;"pvp",Inputs!$B$44&gt;0),(((R90-1)*(Skills!T13*(1+Inputs!$B$35/100))+MIN((Skills!T13*(1+Inputs!$B$35/100)),MAX(0,Inputs!$B$44-((R90-1)*Skills!D13))))/Inputs!$B$44),IF(Inputs!$B$39="pvp",MIN((Skills!T13*(1+Inputs!$B$35/100)),15)/15,(Skills!T13*(1+Inputs!$B$35/100))/Skills!D13)))+((C91=TRUE)*F91*IF(AND(Inputs!$B$39&lt;&gt;"pvp",Inputs!$B$44&gt;0),(((R91-1)*(Skills!T14*(1+Inputs!$B$35/100))+MIN((Skills!T14*(1+Inputs!$B$35/100)),MAX(0,Inputs!$B$44-((R91-1)*Skills!D14))))/Inputs!$B$44),IF(Inputs!$B$39="pvp",MIN((Skills!T14*(1+Inputs!$B$35/100)),15)/15,(Skills!T14*(1+Inputs!$B$35/100))/Skills!D14)))+((C92=TRUE)*F92*IF(AND(Inputs!$B$39&lt;&gt;"pvp",Inputs!$B$44&gt;0),(((R92-1)*(Skills!T15*(1+Inputs!$B$35/100))+MIN((Skills!T15*(1+Inputs!$B$35/100)),MAX(0,Inputs!$B$44-((R92-1)*Skills!D15))))/Inputs!$B$44),IF(Inputs!$B$39="pvp",MIN((Skills!T15*(1+Inputs!$B$35/100)),15)/15,(Skills!T15*(1+Inputs!$B$35/100))/Skills!D15)))+((C93=TRUE)*F93*IF(AND(Inputs!$B$39&lt;&gt;"pvp",Inputs!$B$44&gt;0),(((R93-1)*(Skills!T16*(1+Inputs!$B$35/100))+MIN((Skills!T16*(1+Inputs!$B$35/100)),MAX(0,Inputs!$B$44-((R93-1)*Skills!D16))))/Inputs!$B$44),IF(Inputs!$B$39="pvp",MIN((Skills!T16*(1+Inputs!$B$35/100)),15)/15,(Skills!T16*(1+Inputs!$B$35/100))/Skills!D16)))+0)/100)*I84)</f>
        <v/>
      </c>
      <c r="L84">
        <f>K84*(MIN(Inputs!$B$23+((C99=TRUE)*(F99-Calc!F22)),Inputs!$B$24+((C101=TRUE)*(F101-Calc!F24)))/100+(Inputs!$B$24+((C101=TRUE)*(F101-Calc!F24)))/100)/2</f>
        <v/>
      </c>
      <c r="M84">
        <f>L84*(1+(Inputs!$B$11+0+B111)/100)</f>
        <v/>
      </c>
      <c r="N84">
        <f>L84*(1-MIN((Inputs!$B$10+0+B106),100)/100)+M84*(MIN((Inputs!$B$10+0+B106),100)/100)</f>
        <v/>
      </c>
      <c r="O84">
        <f>(1-Summary!$B$55)*T84+Summary!$B$55*V84</f>
        <v/>
      </c>
      <c r="P84">
        <f>IF(B116=0,0,O84/B116)</f>
        <v/>
      </c>
      <c r="Q84">
        <f>IFERROR(1/IF(Inputs!$B$39="pvp",15,MAX(0.1,Skills!D7-IF(Skills!E7=TRUE,Inputs!$B$33,0))),0)</f>
        <v/>
      </c>
      <c r="R84">
        <f>IF(AND(Inputs!$B$39&lt;&gt;"pvp",Inputs!$B$44&gt;0),IF(MAX(0,Inputs!$B$44-B113)&lt;=0,0,(INT(MAX(0,Inputs!$B$44-B113)/IF(Inputs!$B$39="pvp",15,MAX(0.1,Skills!D7-IF(Skills!E7=TRUE,Inputs!$B$33,0))))+1)),0)</f>
        <v/>
      </c>
      <c r="S84">
        <f>IFERROR(O84/N84,0)</f>
        <v/>
      </c>
      <c r="T84">
        <f>IF(C84,(H84*N84*IF(AND(Inputs!$B$39&lt;&gt;"pvp",Inputs!$B$44&gt;0),((Skills!G7*((R84-1)*IF(Skills!H7&gt;0,Skills!I7/Skills!H7,1)+IF(Skills!H7&gt;0,MIN(Skills!I7,MAX(0,MAX(0,Inputs!$B$44-B113)-((R84-1)*IF(Inputs!$B$39="pvp",15,MAX(0.1,Skills!D7-IF(Skills!E7=TRUE,Inputs!$B$33,0))))))/Skills!H7,1)))/Inputs!$B$44),G84*Q84))*IF(Inputs!$B$39="pvp",1,1+(Inputs!$B$21+0+Skills!P7+((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0)</f>
        <v/>
      </c>
      <c r="V84">
        <f>IF(C84,(H84*N84*IF(AND(Inputs!$B$39&lt;&gt;"pvp",Inputs!$B$44&gt;0),((Skills!G7*((R84-1)*IF(Skills!H7&gt;0,Skills!I7/Skills!H7,1)+IF(Skills!H7&gt;0,MIN(Skills!I7,MAX(0,MAX(0,Inputs!$B$44-B113)-((R84-1)*IF(Inputs!$B$39="pvp",15,MAX(0.1,Skills!D7-IF(Skills!E7=TRUE,Inputs!$B$33,0))))))/Skills!H7,1)))/Inputs!$B$44),G84*Q84))*IF(Inputs!$B$39="pvp",1,(1+(Inputs!$B$22+Skills!Q7+((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MIN(Skills!R7,Inputs!$B$38))),0)</f>
        <v/>
      </c>
    </row>
    <row r="85">
      <c r="A85">
        <f>Skills!A8</f>
        <v/>
      </c>
      <c r="B85">
        <f>Skills!B8</f>
        <v/>
      </c>
      <c r="C85">
        <f>Inputs!$B$3&gt;=75</f>
        <v/>
      </c>
      <c r="D85">
        <f>IF(Skills!C8=1,60+Inputs!$B$26+Inputs!$B$30,IF(Skills!C8=2,90+Inputs!$B$27+Inputs!$B$30,IF(Skills!C8=3,120+Inputs!$B$28+Inputs!$B$30,MAX(0,(Inputs!$B$3-100)*3)+Inputs!$B$29+Inputs!$B$30)))</f>
        <v/>
      </c>
      <c r="E85">
        <f>INDEX(FactorTable!$B$2:$Y$301, MATCH(ROUND(MIN(300,MAX(1,D85)),0), FactorTable!$A$2:$A$301,0), Skills!M8+1)</f>
        <v/>
      </c>
      <c r="F85">
        <f>IF(Skills!N8=TRUE,(Skills!L8/10)*(E85/1000),Skills!L8/10)+Skills!O8</f>
        <v/>
      </c>
      <c r="G85" t="inlineStr"/>
      <c r="H85" t="inlineStr"/>
      <c r="I85" t="inlineStr">
        <is>
          <t>1</t>
        </is>
      </c>
      <c r="J85" t="inlineStr"/>
      <c r="K85" t="inlineStr"/>
      <c r="L85" t="inlineStr"/>
      <c r="M85" t="inlineStr"/>
      <c r="N85" t="inlineStr"/>
      <c r="O85" t="inlineStr"/>
      <c r="P85" t="inlineStr"/>
      <c r="Q85" t="inlineStr"/>
      <c r="R85" t="inlineStr"/>
      <c r="S85" t="inlineStr"/>
    </row>
    <row r="86">
      <c r="A86">
        <f>Skills!A9</f>
        <v/>
      </c>
      <c r="B86">
        <f>Skills!B9</f>
        <v/>
      </c>
      <c r="C86">
        <f>Inputs!$B$3&gt;=60</f>
        <v/>
      </c>
      <c r="D86">
        <f>IF(Skills!C9=1,60+Inputs!$B$26+Inputs!$B$30,IF(Skills!C9=2,90+Inputs!$B$27+Inputs!$B$30,IF(Skills!C9=3,120+Inputs!$B$28+Inputs!$B$30,MAX(0,(Inputs!$B$3-100)*3)+Inputs!$B$29+Inputs!$B$30)))</f>
        <v/>
      </c>
      <c r="E86">
        <f>INDEX(FactorTable!$B$2:$Y$301, MATCH(ROUND(MIN(300,MAX(1,D86)),0), FactorTable!$A$2:$A$301,0), Skills!M9+1)</f>
        <v/>
      </c>
      <c r="F86">
        <f>IF(Skills!N9=TRUE,(Skills!L9/10)*(E86/1000),Skills!L9/10)+Skills!O9</f>
        <v/>
      </c>
      <c r="G86">
        <f>Skills!G9*IF(Skills!H9&gt;0,Skills!I9/Skills!H9,1)</f>
        <v/>
      </c>
      <c r="H86">
        <f>1-(1-Skills!J9/100)^Skills!K9</f>
        <v/>
      </c>
      <c r="I86" t="inlineStr">
        <is>
          <t>1</t>
        </is>
      </c>
      <c r="J86">
        <f>((Inputs!$B$6*(1+Inputs!$B$7/100))+(((Inputs!$B$13*(1+(Inputs!$B$14+1)/100))-(Inputs!$B$13*(1+Inputs!$B$14/100)))+0.25*(Inputs!$B$15-Inputs!$B$15))*(1+Inputs!$B$7/100))*(F86/100)</f>
        <v/>
      </c>
      <c r="K86">
        <f>J86*(1+(((Inputs!$B$13+IF(Inputs!$B$3&gt;=38,(10*INDEX(FactorTable!$B$2:$Y$301, MATCH(ROUND(MIN(300,MAX(1,Inputs!$B$3)),0), FactorTable!$A$2:$A$301,0), 23)/1000)/100*(Inputs!$B$8*(1+Inputs!$B$9/100)),0))*(1+(Inputs!$B$14+1)/100))*0.01+Inputs!$B$15*0.0025)/100)*(1+Inputs!$B$16/100)*(1+Inputs!$B$17/100)*(5000/(6000+Inputs!$B$43*(1-(Inputs!$B$20+0)/100)))*(1+(Inputs!$B$25+((C102=TRUE)*(F102-Calc!F25))+((C103=TRUE)*(F103-Calc!F26))+B112)/100)*(1+1.0*IF(C88=TRUE,F88,0)/100)*(1+(IF(Skills!A9="DARK_IMPALE",Inputs!$B$18+0,Inputs!$B$19+((C100=TRUE)*(F100-Calc!F23))))/100)*((1+(((C90=TRUE)*F90*IF(AND(Inputs!$B$39&lt;&gt;"pvp",Inputs!$B$44&gt;0),(((R90-1)*(Skills!T13*(1+Inputs!$B$35/100))+MIN((Skills!T13*(1+Inputs!$B$35/100)),MAX(0,Inputs!$B$44-((R90-1)*Skills!D13))))/Inputs!$B$44),IF(Inputs!$B$39="pvp",MIN((Skills!T13*(1+Inputs!$B$35/100)),15)/15,(Skills!T13*(1+Inputs!$B$35/100))/Skills!D13)))+((C91=TRUE)*F91*IF(AND(Inputs!$B$39&lt;&gt;"pvp",Inputs!$B$44&gt;0),(((R91-1)*(Skills!T14*(1+Inputs!$B$35/100))+MIN((Skills!T14*(1+Inputs!$B$35/100)),MAX(0,Inputs!$B$44-((R91-1)*Skills!D14))))/Inputs!$B$44),IF(Inputs!$B$39="pvp",MIN((Skills!T14*(1+Inputs!$B$35/100)),15)/15,(Skills!T14*(1+Inputs!$B$35/100))/Skills!D14)))+((C92=TRUE)*F92*IF(AND(Inputs!$B$39&lt;&gt;"pvp",Inputs!$B$44&gt;0),(((R92-1)*(Skills!T15*(1+Inputs!$B$35/100))+MIN((Skills!T15*(1+Inputs!$B$35/100)),MAX(0,Inputs!$B$44-((R92-1)*Skills!D15))))/Inputs!$B$44),IF(Inputs!$B$39="pvp",MIN((Skills!T15*(1+Inputs!$B$35/100)),15)/15,(Skills!T15*(1+Inputs!$B$35/100))/Skills!D15)))+((C93=TRUE)*F93*IF(AND(Inputs!$B$39&lt;&gt;"pvp",Inputs!$B$44&gt;0),(((R93-1)*(Skills!T16*(1+Inputs!$B$35/100))+MIN((Skills!T16*(1+Inputs!$B$35/100)),MAX(0,Inputs!$B$44-((R93-1)*Skills!D16))))/Inputs!$B$44),IF(Inputs!$B$39="pvp",MIN((Skills!T16*(1+Inputs!$B$35/100)),15)/15,(Skills!T16*(1+Inputs!$B$35/100))/Skills!D16)))+0)/100)*I86)</f>
        <v/>
      </c>
      <c r="L86">
        <f>K86*(MIN(Inputs!$B$23+((C99=TRUE)*(F99-Calc!F22)),Inputs!$B$24+((C101=TRUE)*(F101-Calc!F24)))/100+(Inputs!$B$24+((C101=TRUE)*(F101-Calc!F24)))/100)/2</f>
        <v/>
      </c>
      <c r="M86">
        <f>L86*(1+(Inputs!$B$11+0+B111)/100)</f>
        <v/>
      </c>
      <c r="N86">
        <f>L86*(1-MIN((Inputs!$B$10+0+B106),100)/100)+M86*(MIN((Inputs!$B$10+0+B106),100)/100)</f>
        <v/>
      </c>
      <c r="O86">
        <f>(1-Summary!$B$55)*T86+Summary!$B$55*V86</f>
        <v/>
      </c>
      <c r="P86">
        <f>IF(B116=0,0,O86/B116)</f>
        <v/>
      </c>
      <c r="Q86">
        <f>IFERROR(1/IF(Inputs!$B$39="pvp",15,MAX(0.1,Skills!D9-IF(Skills!E9=TRUE,Inputs!$B$33,0))),0)</f>
        <v/>
      </c>
      <c r="R86">
        <f>IF(AND(Inputs!$B$39&lt;&gt;"pvp",Inputs!$B$44&gt;0),IF(MAX(0,Inputs!$B$44-B113)&lt;=0,0,(INT(MAX(0,Inputs!$B$44-B113)/IF(Inputs!$B$39="pvp",15,MAX(0.1,Skills!D9-IF(Skills!E9=TRUE,Inputs!$B$33,0))))+1)),0)</f>
        <v/>
      </c>
      <c r="S86">
        <f>IFERROR(O86/N86,0)</f>
        <v/>
      </c>
      <c r="T86">
        <f>IF(C86,(H86*N86*IF(AND(Inputs!$B$39&lt;&gt;"pvp",Inputs!$B$44&gt;0),((Skills!G9*((R86-1)*IF(Skills!H9&gt;0,Skills!I9/Skills!H9,1)+IF(Skills!H9&gt;0,MIN(Skills!I9,MAX(0,MAX(0,Inputs!$B$44-B113)-((R86-1)*IF(Inputs!$B$39="pvp",15,MAX(0.1,Skills!D9-IF(Skills!E9=TRUE,Inputs!$B$33,0))))))/Skills!H9,1)))/Inputs!$B$44),G86*Q86))*IF(Inputs!$B$39="pvp",1,1+(Inputs!$B$21+0+Skills!P9+((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0)</f>
        <v/>
      </c>
      <c r="V86">
        <f>IF(C86,(H86*N86*IF(AND(Inputs!$B$39&lt;&gt;"pvp",Inputs!$B$44&gt;0),((Skills!G9*((R86-1)*IF(Skills!H9&gt;0,Skills!I9/Skills!H9,1)+IF(Skills!H9&gt;0,MIN(Skills!I9,MAX(0,MAX(0,Inputs!$B$44-B113)-((R86-1)*IF(Inputs!$B$39="pvp",15,MAX(0.1,Skills!D9-IF(Skills!E9=TRUE,Inputs!$B$33,0))))))/Skills!H9,1)))/Inputs!$B$44),G86*Q86))*IF(Inputs!$B$39="pvp",1,(1+(Inputs!$B$22+Skills!Q9+((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MIN(Skills!R9,Inputs!$B$38))),0)</f>
        <v/>
      </c>
    </row>
    <row r="87">
      <c r="A87">
        <f>Skills!A10</f>
        <v/>
      </c>
      <c r="B87">
        <f>Skills!B10</f>
        <v/>
      </c>
      <c r="C87">
        <f>Inputs!$B$3&gt;=110</f>
        <v/>
      </c>
      <c r="D87">
        <f>IF(Skills!C10=1,60+Inputs!$B$26+Inputs!$B$30,IF(Skills!C10=2,90+Inputs!$B$27+Inputs!$B$30,IF(Skills!C10=3,120+Inputs!$B$28+Inputs!$B$30,MAX(0,(Inputs!$B$3-100)*3)+Inputs!$B$29+Inputs!$B$30)))</f>
        <v/>
      </c>
      <c r="E87">
        <f>INDEX(FactorTable!$B$2:$Y$301, MATCH(ROUND(MIN(300,MAX(1,D87)),0), FactorTable!$A$2:$A$301,0), Skills!M10+1)</f>
        <v/>
      </c>
      <c r="F87">
        <f>IF(Skills!N10=TRUE,(Skills!L10/10)*(E87/1000),Skills!L10/10)+Skills!O10</f>
        <v/>
      </c>
      <c r="G87">
        <f>Skills!G10*IF(Skills!H10&gt;0,Skills!I10/Skills!H10,1)</f>
        <v/>
      </c>
      <c r="H87">
        <f>1-(1-Skills!J10/100)^Skills!K10</f>
        <v/>
      </c>
      <c r="I87" t="inlineStr">
        <is>
          <t>1</t>
        </is>
      </c>
      <c r="J87">
        <f>((Inputs!$B$6*(1+Inputs!$B$7/100))+(((Inputs!$B$13*(1+(Inputs!$B$14+1)/100))-(Inputs!$B$13*(1+Inputs!$B$14/100)))+0.25*(Inputs!$B$15-Inputs!$B$15))*(1+Inputs!$B$7/100))*(F87/100)</f>
        <v/>
      </c>
      <c r="K87">
        <f>J87*(1+(((Inputs!$B$13+IF(Inputs!$B$3&gt;=38,(10*INDEX(FactorTable!$B$2:$Y$301, MATCH(ROUND(MIN(300,MAX(1,Inputs!$B$3)),0), FactorTable!$A$2:$A$301,0), 23)/1000)/100*(Inputs!$B$8*(1+Inputs!$B$9/100)),0))*(1+(Inputs!$B$14+1)/100))*0.01+Inputs!$B$15*0.0025)/100)*(1+Inputs!$B$16/100)*(1+Inputs!$B$17/100)*(5000/(6000+Inputs!$B$43*(1-(Inputs!$B$20+0)/100)))*(1+(Inputs!$B$25+((C102=TRUE)*(F102-Calc!F25))+((C103=TRUE)*(F103-Calc!F26))+B112)/100)*(1+(IF(Skills!A10="DARK_IMPALE",Inputs!$B$18+0,Inputs!$B$19+((C100=TRUE)*(F100-Calc!F23))))/100)*((1+(((C90=TRUE)*F90*IF(AND(Inputs!$B$39&lt;&gt;"pvp",Inputs!$B$44&gt;0),(((R90-1)*(Skills!T13*(1+Inputs!$B$35/100))+MIN((Skills!T13*(1+Inputs!$B$35/100)),MAX(0,Inputs!$B$44-((R90-1)*Skills!D13))))/Inputs!$B$44),IF(Inputs!$B$39="pvp",MIN((Skills!T13*(1+Inputs!$B$35/100)),15)/15,(Skills!T13*(1+Inputs!$B$35/100))/Skills!D13)))+((C91=TRUE)*F91*IF(AND(Inputs!$B$39&lt;&gt;"pvp",Inputs!$B$44&gt;0),(((R91-1)*(Skills!T14*(1+Inputs!$B$35/100))+MIN((Skills!T14*(1+Inputs!$B$35/100)),MAX(0,Inputs!$B$44-((R91-1)*Skills!D14))))/Inputs!$B$44),IF(Inputs!$B$39="pvp",MIN((Skills!T14*(1+Inputs!$B$35/100)),15)/15,(Skills!T14*(1+Inputs!$B$35/100))/Skills!D14)))+((C92=TRUE)*F92*IF(AND(Inputs!$B$39&lt;&gt;"pvp",Inputs!$B$44&gt;0),(((R92-1)*(Skills!T15*(1+Inputs!$B$35/100))+MIN((Skills!T15*(1+Inputs!$B$35/100)),MAX(0,Inputs!$B$44-((R92-1)*Skills!D15))))/Inputs!$B$44),IF(Inputs!$B$39="pvp",MIN((Skills!T15*(1+Inputs!$B$35/100)),15)/15,(Skills!T15*(1+Inputs!$B$35/100))/Skills!D15)))+((C93=TRUE)*F93*IF(AND(Inputs!$B$39&lt;&gt;"pvp",Inputs!$B$44&gt;0),(((R93-1)*(Skills!T16*(1+Inputs!$B$35/100))+MIN((Skills!T16*(1+Inputs!$B$35/100)),MAX(0,Inputs!$B$44-((R93-1)*Skills!D16))))/Inputs!$B$44),IF(Inputs!$B$39="pvp",MIN((Skills!T16*(1+Inputs!$B$35/100)),15)/15,(Skills!T16*(1+Inputs!$B$35/100))/Skills!D16)))+0)/100)*I87)</f>
        <v/>
      </c>
      <c r="L87">
        <f>K87*(MIN(Inputs!$B$23+((C99=TRUE)*(F99-Calc!F22)),Inputs!$B$24+((C101=TRUE)*(F101-Calc!F24)))/100+(Inputs!$B$24+((C101=TRUE)*(F101-Calc!F24)))/100)/2</f>
        <v/>
      </c>
      <c r="M87">
        <f>L87*(1+(Inputs!$B$11+0+B111)/100)</f>
        <v/>
      </c>
      <c r="N87">
        <f>L87*(1-MIN((Inputs!$B$10+0+B106),100)/100)+M87*(MIN((Inputs!$B$10+0+B106),100)/100)</f>
        <v/>
      </c>
      <c r="O87">
        <f>(1-Summary!$B$55)*T87+Summary!$B$55*V87</f>
        <v/>
      </c>
      <c r="P87">
        <f>IF(B116=0,0,O87/B116)</f>
        <v/>
      </c>
      <c r="Q87">
        <f>IFERROR(1/IF(Inputs!$B$39="pvp",15,MAX(0.1,Skills!D10-IF(Skills!E10=TRUE,Inputs!$B$33,0))),0)</f>
        <v/>
      </c>
      <c r="R87">
        <f>IF(AND(Inputs!$B$39&lt;&gt;"pvp",Inputs!$B$44&gt;0),IF(MAX(0,Inputs!$B$44-B113)&lt;=0,0,(INT(MAX(0,Inputs!$B$44-B113)/IF(Inputs!$B$39="pvp",15,MAX(0.1,Skills!D10-IF(Skills!E10=TRUE,Inputs!$B$33,0))))+1)),0)</f>
        <v/>
      </c>
      <c r="S87">
        <f>IFERROR(O87/N87,0)</f>
        <v/>
      </c>
      <c r="T87">
        <f>IF(C87,(H87*N87*IF(AND(Inputs!$B$39&lt;&gt;"pvp",Inputs!$B$44&gt;0),((Skills!G10*((R87-1)*IF(Skills!H10&gt;0,Skills!I10/Skills!H10,1)+IF(Skills!H10&gt;0,MIN(Skills!I10,MAX(0,MAX(0,Inputs!$B$44-B113)-((R87-1)*IF(Inputs!$B$39="pvp",15,MAX(0.1,Skills!D10-IF(Skills!E10=TRUE,Inputs!$B$33,0))))))/Skills!H10,1)))/Inputs!$B$44),G87*Q87))*IF(Inputs!$B$39="pvp",1,1+(Inputs!$B$21+0+Skills!P10+((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0)</f>
        <v/>
      </c>
      <c r="V87">
        <f>IF(C87,(H87*N87*IF(AND(Inputs!$B$39&lt;&gt;"pvp",Inputs!$B$44&gt;0),((Skills!G10*((R87-1)*IF(Skills!H10&gt;0,Skills!I10/Skills!H10,1)+IF(Skills!H10&gt;0,MIN(Skills!I10,MAX(0,MAX(0,Inputs!$B$44-B113)-((R87-1)*IF(Inputs!$B$39="pvp",15,MAX(0.1,Skills!D10-IF(Skills!E10=TRUE,Inputs!$B$33,0))))))/Skills!H10,1)))/Inputs!$B$44),G87*Q87))*IF(Inputs!$B$39="pvp",1,(1+(Inputs!$B$22+Skills!Q10+((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MIN(Skills!R10,Inputs!$B$38))),0)</f>
        <v/>
      </c>
    </row>
    <row r="88">
      <c r="A88">
        <f>Skills!A11</f>
        <v/>
      </c>
      <c r="B88">
        <f>Skills!B11</f>
        <v/>
      </c>
      <c r="C88">
        <f>Inputs!$B$3&gt;=100</f>
        <v/>
      </c>
      <c r="D88">
        <f>IF(Skills!C11=1,60+Inputs!$B$26+Inputs!$B$30,IF(Skills!C11=2,90+Inputs!$B$27+Inputs!$B$30,IF(Skills!C11=3,120+Inputs!$B$28+Inputs!$B$30,MAX(0,(Inputs!$B$3-100)*3)+Inputs!$B$29+Inputs!$B$30)))</f>
        <v/>
      </c>
      <c r="E88">
        <f>INDEX(FactorTable!$B$2:$Y$301, MATCH(ROUND(MIN(300,MAX(1,D88)),0), FactorTable!$A$2:$A$301,0), Skills!M11+1)</f>
        <v/>
      </c>
      <c r="F88">
        <f>IF(Skills!N11=TRUE,(Skills!L11/10)*(E88/1000),Skills!L11/10)+Skills!O11</f>
        <v/>
      </c>
      <c r="G88" t="inlineStr"/>
      <c r="H88" t="inlineStr"/>
      <c r="I88" t="inlineStr">
        <is>
          <t>1</t>
        </is>
      </c>
      <c r="J88" t="inlineStr"/>
      <c r="K88" t="inlineStr"/>
      <c r="L88" t="inlineStr"/>
      <c r="M88" t="inlineStr"/>
      <c r="N88" t="inlineStr"/>
      <c r="O88" t="inlineStr"/>
      <c r="P88" t="inlineStr"/>
      <c r="Q88" t="inlineStr"/>
      <c r="R88" t="inlineStr"/>
      <c r="S88" t="inlineStr"/>
    </row>
    <row r="89">
      <c r="A89">
        <f>Skills!A12</f>
        <v/>
      </c>
      <c r="B89">
        <f>Skills!B12</f>
        <v/>
      </c>
      <c r="C89">
        <f>Inputs!$B$3&gt;=63</f>
        <v/>
      </c>
      <c r="D89">
        <f>IF(Skills!C12=1,60+Inputs!$B$26+Inputs!$B$30,IF(Skills!C12=2,90+Inputs!$B$27+Inputs!$B$30,IF(Skills!C12=3,120+Inputs!$B$28+Inputs!$B$30,MAX(0,(Inputs!$B$3-100)*3)+Inputs!$B$29+Inputs!$B$30)))</f>
        <v/>
      </c>
      <c r="E89">
        <f>INDEX(FactorTable!$B$2:$Y$301, MATCH(ROUND(MIN(300,MAX(1,D89)),0), FactorTable!$A$2:$A$301,0), Skills!M12+1)</f>
        <v/>
      </c>
      <c r="F89">
        <f>IF(Skills!N12=TRUE,(Skills!L12/10)*(E89/1000),Skills!L12/10)+Skills!O12</f>
        <v/>
      </c>
      <c r="G89">
        <f>Skills!G12*IF(Skills!H12&gt;0,Skills!I12/Skills!H12,1)</f>
        <v/>
      </c>
      <c r="H89">
        <f>1-(1-Skills!J12/100)^Skills!K12</f>
        <v/>
      </c>
      <c r="I89" t="inlineStr">
        <is>
          <t>1</t>
        </is>
      </c>
      <c r="J89">
        <f>((Inputs!$B$6*(1+Inputs!$B$7/100))+(((Inputs!$B$13*(1+(Inputs!$B$14+1)/100))-(Inputs!$B$13*(1+Inputs!$B$14/100)))+0.25*(Inputs!$B$15-Inputs!$B$15))*(1+Inputs!$B$7/100))*(F89/100)</f>
        <v/>
      </c>
      <c r="K89">
        <f>J89*(1+(((Inputs!$B$13+IF(Inputs!$B$3&gt;=38,(10*INDEX(FactorTable!$B$2:$Y$301, MATCH(ROUND(MIN(300,MAX(1,Inputs!$B$3)),0), FactorTable!$A$2:$A$301,0), 23)/1000)/100*(Inputs!$B$8*(1+Inputs!$B$9/100)),0))*(1+(Inputs!$B$14+1)/100))*0.01+Inputs!$B$15*0.0025)/100)*(1+Inputs!$B$16/100)*(1+Inputs!$B$17/100)*(5000/(6000+Inputs!$B$43*(1-(Inputs!$B$20+0)/100)))*(1+(Inputs!$B$25+((C102=TRUE)*(F102-Calc!F25))+((C103=TRUE)*(F103-Calc!F26))+B112)/100)*(1+0.75*IF(C88=TRUE,F88,0)/100)*(1+(IF(Skills!A12="DARK_IMPALE",Inputs!$B$18+0,Inputs!$B$19+((C100=TRUE)*(F100-Calc!F23))))/100)*((1+(((C90=TRUE)*F90*IF(AND(Inputs!$B$39&lt;&gt;"pvp",Inputs!$B$44&gt;0),(((R90-1)*(Skills!T13*(1+Inputs!$B$35/100))+MIN((Skills!T13*(1+Inputs!$B$35/100)),MAX(0,Inputs!$B$44-((R90-1)*Skills!D13))))/Inputs!$B$44),IF(Inputs!$B$39="pvp",MIN((Skills!T13*(1+Inputs!$B$35/100)),15)/15,(Skills!T13*(1+Inputs!$B$35/100))/Skills!D13)))+((C91=TRUE)*F91*IF(AND(Inputs!$B$39&lt;&gt;"pvp",Inputs!$B$44&gt;0),(((R91-1)*(Skills!T14*(1+Inputs!$B$35/100))+MIN((Skills!T14*(1+Inputs!$B$35/100)),MAX(0,Inputs!$B$44-((R91-1)*Skills!D14))))/Inputs!$B$44),IF(Inputs!$B$39="pvp",MIN((Skills!T14*(1+Inputs!$B$35/100)),15)/15,(Skills!T14*(1+Inputs!$B$35/100))/Skills!D14)))+((C92=TRUE)*F92*IF(AND(Inputs!$B$39&lt;&gt;"pvp",Inputs!$B$44&gt;0),(((R92-1)*(Skills!T15*(1+Inputs!$B$35/100))+MIN((Skills!T15*(1+Inputs!$B$35/100)),MAX(0,Inputs!$B$44-((R92-1)*Skills!D15))))/Inputs!$B$44),IF(Inputs!$B$39="pvp",MIN((Skills!T15*(1+Inputs!$B$35/100)),15)/15,(Skills!T15*(1+Inputs!$B$35/100))/Skills!D15)))+((C93=TRUE)*F93*IF(AND(Inputs!$B$39&lt;&gt;"pvp",Inputs!$B$44&gt;0),(((R93-1)*(Skills!T16*(1+Inputs!$B$35/100))+MIN((Skills!T16*(1+Inputs!$B$35/100)),MAX(0,Inputs!$B$44-((R93-1)*Skills!D16))))/Inputs!$B$44),IF(Inputs!$B$39="pvp",MIN((Skills!T16*(1+Inputs!$B$35/100)),15)/15,(Skills!T16*(1+Inputs!$B$35/100))/Skills!D16)))+0)/100)*I89)</f>
        <v/>
      </c>
      <c r="L89">
        <f>K89*(MIN(Inputs!$B$23+((C99=TRUE)*(F99-Calc!F22)),Inputs!$B$24+((C101=TRUE)*(F101-Calc!F24)))/100+(Inputs!$B$24+((C101=TRUE)*(F101-Calc!F24)))/100)/2</f>
        <v/>
      </c>
      <c r="M89">
        <f>L89*(1+(Inputs!$B$11+0+B111)/100)</f>
        <v/>
      </c>
      <c r="N89">
        <f>L89*(1-MIN((Inputs!$B$10+0+B106),100)/100)+M89*(MIN((Inputs!$B$10+0+B106),100)/100)</f>
        <v/>
      </c>
      <c r="O89">
        <f>(1-Summary!$B$55)*T89+Summary!$B$55*V89</f>
        <v/>
      </c>
      <c r="P89">
        <f>IF(B116=0,0,O89/B116)</f>
        <v/>
      </c>
      <c r="Q89">
        <f>IFERROR(1/IF(Inputs!$B$39="pvp",15,MAX(0.1,Skills!D12-IF(Skills!E12=TRUE,Inputs!$B$33,0))),0)</f>
        <v/>
      </c>
      <c r="R89">
        <f>IF(AND(Inputs!$B$39&lt;&gt;"pvp",Inputs!$B$44&gt;0),IF(MAX(0,Inputs!$B$44-B113)&lt;=0,0,(INT(MAX(0,Inputs!$B$44-B113)/IF(Inputs!$B$39="pvp",15,MAX(0.1,Skills!D12-IF(Skills!E12=TRUE,Inputs!$B$33,0))))+1)),0)</f>
        <v/>
      </c>
      <c r="S89">
        <f>IFERROR(O89/N89,0)</f>
        <v/>
      </c>
      <c r="T89">
        <f>IF(C89,(H89*N89*IF(AND(Inputs!$B$39&lt;&gt;"pvp",Inputs!$B$44&gt;0),((Skills!G12*((R89-1)*IF(Skills!H12&gt;0,Skills!I12/Skills!H12,1)+IF(Skills!H12&gt;0,MIN(Skills!I12,MAX(0,MAX(0,Inputs!$B$44-B113)-((R89-1)*IF(Inputs!$B$39="pvp",15,MAX(0.1,Skills!D12-IF(Skills!E12=TRUE,Inputs!$B$33,0))))))/Skills!H12,1)))/Inputs!$B$44),G89*Q89))*IF(Inputs!$B$39="pvp",1,1+(Inputs!$B$21+0+Skills!P12+((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0)</f>
        <v/>
      </c>
      <c r="V89">
        <f>IF(C89,(H89*N89*IF(AND(Inputs!$B$39&lt;&gt;"pvp",Inputs!$B$44&gt;0),((Skills!G12*((R89-1)*IF(Skills!H12&gt;0,Skills!I12/Skills!H12,1)+IF(Skills!H12&gt;0,MIN(Skills!I12,MAX(0,MAX(0,Inputs!$B$44-B113)-((R89-1)*IF(Inputs!$B$39="pvp",15,MAX(0.1,Skills!D12-IF(Skills!E12=TRUE,Inputs!$B$33,0))))))/Skills!H12,1)))/Inputs!$B$44),G89*Q89))*IF(Inputs!$B$39="pvp",1,(1+(Inputs!$B$22+Skills!Q12+((C94=TRUE)*F94*IF(AND(Inputs!$B$39&lt;&gt;"pvp",Inputs!$B$44&gt;0),(((R94-1)*(Skills!T17*(1+Inputs!$B$35/100))+MIN((Skills!T17*(1+Inputs!$B$35/100)),MAX(0,Inputs!$B$44-((R94-1)*Skills!D17))))/Inputs!$B$44),IF(Inputs!$B$39="pvp",MIN((Skills!T17*(1+Inputs!$B$35/100)),15)/15,(Skills!T17*(1+Inputs!$B$35/100))/Skills!D17)))+((C91=TRUE)*IF(Inputs!$B$39="pvp",20,(1-Summary!$B$55)*(20)+Summary!$B$55*(0))*IF(AND(Inputs!$B$39&lt;&gt;"pvp",Inputs!$B$44&gt;0),(((R91-1)*(Skills!T14*(1+Inputs!$B$35/100))+MIN((Skills!T14*(1+Inputs!$B$35/100)),MAX(0,Inputs!$B$44-((R91-1)*Skills!D14))))/Inputs!$B$44),IF(Inputs!$B$39="pvp",MIN((Skills!T14*(1+Inputs!$B$35/100)),15)/15,(Skills!T14*(1+Inputs!$B$35/100))/Skills!D14))))/100)*(MIN(Skills!R12,Inputs!$B$38))),0)</f>
        <v/>
      </c>
    </row>
    <row r="90">
      <c r="A90">
        <f>Skills!A13</f>
        <v/>
      </c>
      <c r="B90">
        <f>Skills!B13</f>
        <v/>
      </c>
      <c r="C90">
        <f>Inputs!$B$3&gt;=69</f>
        <v/>
      </c>
      <c r="D90">
        <f>IF(Skills!C13=1,60+Inputs!$B$26+Inputs!$B$30,IF(Skills!C13=2,90+Inputs!$B$27+Inputs!$B$30,IF(Skills!C13=3,120+Inputs!$B$28+Inputs!$B$30,MAX(0,(Inputs!$B$3-100)*3)+Inputs!$B$29+Inputs!$B$30)))</f>
        <v/>
      </c>
      <c r="E90">
        <f>INDEX(FactorTable!$B$2:$Y$301, MATCH(ROUND(MIN(300,MAX(1,D90)),0), FactorTable!$A$2:$A$301,0), Skills!M13+1)</f>
        <v/>
      </c>
      <c r="F90">
        <f>IF(Skills!N13=TRUE,(Skills!L13/10)*(E90/1000),Skills!L13/10)+Skills!O13</f>
        <v/>
      </c>
      <c r="G90">
        <f>Skills!G13*IF(Skills!H13&gt;0,Skills!I13/Skills!H13,1)</f>
        <v/>
      </c>
      <c r="H90">
        <f>1-(1-Skills!J13/100)^Skills!K13</f>
        <v/>
      </c>
      <c r="I90" t="inlineStr">
        <is>
          <t>1</t>
        </is>
      </c>
      <c r="J90" t="inlineStr"/>
      <c r="K90" t="inlineStr"/>
      <c r="L90" t="inlineStr"/>
      <c r="M90" t="inlineStr"/>
      <c r="N90" t="inlineStr"/>
      <c r="O90">
        <f>(1-Summary!$B$55)*T90+Summary!$B$55*V90</f>
        <v/>
      </c>
      <c r="P90">
        <f>IF(B116=0,0,O90/B116)</f>
        <v/>
      </c>
      <c r="Q90">
        <f>IFERROR(1/IF(Inputs!$B$39="pvp",15,MAX(0.1,Skills!D13-IF(Skills!E13=TRUE,Inputs!$B$33,0))),0)</f>
        <v/>
      </c>
      <c r="R90">
        <f>IF(AND(Inputs!$B$39&lt;&gt;"pvp",Inputs!$B$44&gt;0),IF(Inputs!$B$44&lt;=0,0,(INT(Inputs!$B$44/IF(Inputs!$B$39="pvp",15,MAX(0.1,Skills!D13-IF(Skills!E13=TRUE,Inputs!$B$33,0))))+1)),0)</f>
        <v/>
      </c>
      <c r="S90">
        <f>IFERROR(O90/N90,0)</f>
        <v/>
      </c>
      <c r="T90" t="n">
        <v>0</v>
      </c>
      <c r="V90" t="n">
        <v>0</v>
      </c>
    </row>
    <row r="91">
      <c r="A91">
        <f>Skills!A14</f>
        <v/>
      </c>
      <c r="B91">
        <f>Skills!B14</f>
        <v/>
      </c>
      <c r="C91">
        <f>Inputs!$B$3&gt;=115</f>
        <v/>
      </c>
      <c r="D91">
        <f>IF(Skills!C14=1,60+Inputs!$B$26+Inputs!$B$30,IF(Skills!C14=2,90+Inputs!$B$27+Inputs!$B$30,IF(Skills!C14=3,120+Inputs!$B$28+Inputs!$B$30,MAX(0,(Inputs!$B$3-100)*3)+Inputs!$B$29+Inputs!$B$30)))</f>
        <v/>
      </c>
      <c r="E91">
        <f>INDEX(FactorTable!$B$2:$Y$301, MATCH(ROUND(MIN(300,MAX(1,D91)),0), FactorTable!$A$2:$A$301,0), Skills!M14+1)</f>
        <v/>
      </c>
      <c r="F91">
        <f>IF(Skills!N14=TRUE,(Skills!L14/10)*(E91/1000),Skills!L14/10)+Skills!O14</f>
        <v/>
      </c>
      <c r="G91">
        <f>Skills!G14*IF(Skills!H14&gt;0,Skills!I14/Skills!H14,1)</f>
        <v/>
      </c>
      <c r="H91">
        <f>1-(1-Skills!J14/100)^Skills!K14</f>
        <v/>
      </c>
      <c r="I91" t="inlineStr">
        <is>
          <t>1</t>
        </is>
      </c>
      <c r="J91" t="inlineStr"/>
      <c r="K91" t="inlineStr"/>
      <c r="L91" t="inlineStr"/>
      <c r="M91" t="inlineStr"/>
      <c r="N91" t="inlineStr"/>
      <c r="O91">
        <f>(1-Summary!$B$55)*T91+Summary!$B$55*V91</f>
        <v/>
      </c>
      <c r="P91">
        <f>IF(B116=0,0,O91/B116)</f>
        <v/>
      </c>
      <c r="Q91">
        <f>IFERROR(1/IF(Inputs!$B$39="pvp",15,MAX(0.1,Skills!D14-IF(Skills!E14=TRUE,Inputs!$B$33,0))),0)</f>
        <v/>
      </c>
      <c r="R91">
        <f>IF(AND(Inputs!$B$39&lt;&gt;"pvp",Inputs!$B$44&gt;0),IF(Inputs!$B$44&lt;=0,0,(INT(Inputs!$B$44/IF(Inputs!$B$39="pvp",15,MAX(0.1,Skills!D14-IF(Skills!E14=TRUE,Inputs!$B$33,0))))+1)),0)</f>
        <v/>
      </c>
      <c r="S91">
        <f>IFERROR(O91/N91,0)</f>
        <v/>
      </c>
      <c r="T91" t="n">
        <v>0</v>
      </c>
      <c r="V91" t="n">
        <v>0</v>
      </c>
    </row>
    <row r="92">
      <c r="A92">
        <f>Skills!A15</f>
        <v/>
      </c>
      <c r="B92">
        <f>Skills!B15</f>
        <v/>
      </c>
      <c r="C92">
        <f>Inputs!$B$3&gt;=66</f>
        <v/>
      </c>
      <c r="D92">
        <f>IF(Skills!C15=1,60+Inputs!$B$26+Inputs!$B$30,IF(Skills!C15=2,90+Inputs!$B$27+Inputs!$B$30,IF(Skills!C15=3,120+Inputs!$B$28+Inputs!$B$30,MAX(0,(Inputs!$B$3-100)*3)+Inputs!$B$29+Inputs!$B$30)))</f>
        <v/>
      </c>
      <c r="E92">
        <f>INDEX(FactorTable!$B$2:$Y$301, MATCH(ROUND(MIN(300,MAX(1,D92)),0), FactorTable!$A$2:$A$301,0), Skills!M15+1)</f>
        <v/>
      </c>
      <c r="F92">
        <f>IF(Skills!N15=TRUE,(Skills!L15/10)*(E92/1000),Skills!L15/10)+Skills!O15</f>
        <v/>
      </c>
      <c r="G92">
        <f>Skills!G15*IF(Skills!H15&gt;0,Skills!I15/Skills!H15,1)</f>
        <v/>
      </c>
      <c r="H92">
        <f>1-(1-Skills!J15/100)^Skills!K15</f>
        <v/>
      </c>
      <c r="I92" t="inlineStr">
        <is>
          <t>1</t>
        </is>
      </c>
      <c r="J92" t="inlineStr"/>
      <c r="K92" t="inlineStr"/>
      <c r="L92" t="inlineStr"/>
      <c r="M92" t="inlineStr"/>
      <c r="N92" t="inlineStr"/>
      <c r="O92">
        <f>(1-Summary!$B$55)*T92+Summary!$B$55*V92</f>
        <v/>
      </c>
      <c r="P92">
        <f>IF(B116=0,0,O92/B116)</f>
        <v/>
      </c>
      <c r="Q92">
        <f>IFERROR(1/IF(Inputs!$B$39="pvp",15,MAX(0.1,Skills!D15-IF(Skills!E15=TRUE,Inputs!$B$33,0))),0)</f>
        <v/>
      </c>
      <c r="R92">
        <f>IF(AND(Inputs!$B$39&lt;&gt;"pvp",Inputs!$B$44&gt;0),IF(Inputs!$B$44&lt;=0,0,(INT(Inputs!$B$44/IF(Inputs!$B$39="pvp",15,MAX(0.1,Skills!D15-IF(Skills!E15=TRUE,Inputs!$B$33,0))))+1)),0)</f>
        <v/>
      </c>
      <c r="S92">
        <f>IFERROR(O92/N92,0)</f>
        <v/>
      </c>
      <c r="T92" t="n">
        <v>0</v>
      </c>
      <c r="V92" t="n">
        <v>0</v>
      </c>
    </row>
    <row r="93">
      <c r="A93">
        <f>Skills!A16</f>
        <v/>
      </c>
      <c r="B93">
        <f>Skills!B16</f>
        <v/>
      </c>
      <c r="C93">
        <f>Inputs!$B$3&gt;=45</f>
        <v/>
      </c>
      <c r="D93">
        <f>IF(Skills!C16=1,60+Inputs!$B$26+Inputs!$B$30,IF(Skills!C16=2,90+Inputs!$B$27+Inputs!$B$30,IF(Skills!C16=3,120+Inputs!$B$28+Inputs!$B$30,MAX(0,(Inputs!$B$3-100)*3)+Inputs!$B$29+Inputs!$B$30)))</f>
        <v/>
      </c>
      <c r="E93">
        <f>INDEX(FactorTable!$B$2:$Y$301, MATCH(ROUND(MIN(300,MAX(1,D93)),0), FactorTable!$A$2:$A$301,0), Skills!M16+1)</f>
        <v/>
      </c>
      <c r="F93">
        <f>IF(Skills!N16=TRUE,(Skills!L16/10)*(E93/1000),Skills!L16/10)+Skills!O16</f>
        <v/>
      </c>
      <c r="G93">
        <f>Skills!G16*IF(Skills!H16&gt;0,Skills!I16/Skills!H16,1)</f>
        <v/>
      </c>
      <c r="H93">
        <f>1-(1-Skills!J16/100)^Skills!K16</f>
        <v/>
      </c>
      <c r="I93" t="inlineStr">
        <is>
          <t>1</t>
        </is>
      </c>
      <c r="J93" t="inlineStr"/>
      <c r="K93" t="inlineStr"/>
      <c r="L93" t="inlineStr"/>
      <c r="M93" t="inlineStr"/>
      <c r="N93" t="inlineStr"/>
      <c r="O93">
        <f>(1-Summary!$B$55)*T93+Summary!$B$55*V93</f>
        <v/>
      </c>
      <c r="P93">
        <f>IF(B116=0,0,O93/B116)</f>
        <v/>
      </c>
      <c r="Q93">
        <f>IFERROR(1/IF(Inputs!$B$39="pvp",15,MAX(0.1,Skills!D16-IF(Skills!E16=TRUE,Inputs!$B$33,0))),0)</f>
        <v/>
      </c>
      <c r="R93">
        <f>IF(AND(Inputs!$B$39&lt;&gt;"pvp",Inputs!$B$44&gt;0),IF(Inputs!$B$44&lt;=0,0,(INT(Inputs!$B$44/IF(Inputs!$B$39="pvp",15,MAX(0.1,Skills!D16-IF(Skills!E16=TRUE,Inputs!$B$33,0))))+1)),0)</f>
        <v/>
      </c>
      <c r="S93">
        <f>IFERROR(O93/N93,0)</f>
        <v/>
      </c>
      <c r="T93" t="n">
        <v>0</v>
      </c>
      <c r="V93" t="n">
        <v>0</v>
      </c>
    </row>
    <row r="94">
      <c r="A94">
        <f>Skills!A17</f>
        <v/>
      </c>
      <c r="B94">
        <f>Skills!B17</f>
        <v/>
      </c>
      <c r="C94">
        <f>Inputs!$B$3&gt;=35</f>
        <v/>
      </c>
      <c r="D94">
        <f>IF(Skills!C17=1,60+Inputs!$B$26+Inputs!$B$30,IF(Skills!C17=2,90+Inputs!$B$27+Inputs!$B$30,IF(Skills!C17=3,120+Inputs!$B$28+Inputs!$B$30,MAX(0,(Inputs!$B$3-100)*3)+Inputs!$B$29+Inputs!$B$30)))</f>
        <v/>
      </c>
      <c r="E94">
        <f>INDEX(FactorTable!$B$2:$Y$301, MATCH(ROUND(MIN(300,MAX(1,D94)),0), FactorTable!$A$2:$A$301,0), Skills!M17+1)</f>
        <v/>
      </c>
      <c r="F94">
        <f>IF(Skills!N17=TRUE,(Skills!L17/10)*(E94/1000),Skills!L17/10)+Skills!O17</f>
        <v/>
      </c>
      <c r="G94">
        <f>Skills!G17*IF(Skills!H17&gt;0,Skills!I17/Skills!H17,1)</f>
        <v/>
      </c>
      <c r="H94">
        <f>1-(1-Skills!J17/100)^Skills!K17</f>
        <v/>
      </c>
      <c r="I94" t="inlineStr">
        <is>
          <t>1</t>
        </is>
      </c>
      <c r="J94" t="inlineStr"/>
      <c r="K94" t="inlineStr"/>
      <c r="L94" t="inlineStr"/>
      <c r="M94" t="inlineStr"/>
      <c r="N94" t="inlineStr"/>
      <c r="O94">
        <f>(1-Summary!$B$55)*T94+Summary!$B$55*V94</f>
        <v/>
      </c>
      <c r="P94">
        <f>IF(B116=0,0,O94/B116)</f>
        <v/>
      </c>
      <c r="Q94">
        <f>IFERROR(1/IF(Inputs!$B$39="pvp",15,MAX(0.1,Skills!D17-IF(Skills!E17=TRUE,Inputs!$B$33,0))),0)</f>
        <v/>
      </c>
      <c r="R94">
        <f>IF(AND(Inputs!$B$39&lt;&gt;"pvp",Inputs!$B$44&gt;0),IF(Inputs!$B$44&lt;=0,0,(INT(Inputs!$B$44/IF(Inputs!$B$39="pvp",15,MAX(0.1,Skills!D17-IF(Skills!E17=TRUE,Inputs!$B$33,0))))+1)),0)</f>
        <v/>
      </c>
      <c r="S94">
        <f>IFERROR(O94/N94,0)</f>
        <v/>
      </c>
      <c r="T94" t="n">
        <v>0</v>
      </c>
      <c r="V94" t="n">
        <v>0</v>
      </c>
    </row>
    <row r="95">
      <c r="A95">
        <f>Skills!A18</f>
        <v/>
      </c>
      <c r="B95">
        <f>Skills!B18</f>
        <v/>
      </c>
      <c r="C95">
        <f>Inputs!$B$3&gt;=72</f>
        <v/>
      </c>
      <c r="D95">
        <f>IF(Skills!C18=1,60+Inputs!$B$26+Inputs!$B$30,IF(Skills!C18=2,90+Inputs!$B$27+Inputs!$B$30,IF(Skills!C18=3,120+Inputs!$B$28+Inputs!$B$30,MAX(0,(Inputs!$B$3-100)*3)+Inputs!$B$29+Inputs!$B$30)))</f>
        <v/>
      </c>
      <c r="E95">
        <f>INDEX(FactorTable!$B$2:$Y$301, MATCH(ROUND(MIN(300,MAX(1,D95)),0), FactorTable!$A$2:$A$301,0), Skills!M18+1)</f>
        <v/>
      </c>
      <c r="F95">
        <f>IF(Skills!N18=TRUE,(Skills!L18/10)*(E95/1000),Skills!L18/10)+Skills!O18</f>
        <v/>
      </c>
      <c r="G95">
        <f>Skills!G18*IF(Skills!H18&gt;0,Skills!I18/Skills!H18,1)</f>
        <v/>
      </c>
      <c r="H95">
        <f>1-(1-Skills!J18/100)^Skills!K18</f>
        <v/>
      </c>
      <c r="I95" t="inlineStr">
        <is>
          <t>1</t>
        </is>
      </c>
      <c r="J95" t="inlineStr"/>
      <c r="K95" t="inlineStr"/>
      <c r="L95" t="inlineStr"/>
      <c r="M95" t="inlineStr"/>
      <c r="N95" t="inlineStr"/>
      <c r="O95">
        <f>(1-Summary!$B$55)*T95+Summary!$B$55*V95</f>
        <v/>
      </c>
      <c r="P95">
        <f>IF(B116=0,0,O95/B116)</f>
        <v/>
      </c>
      <c r="Q95">
        <f>IFERROR(1/IF(Inputs!$B$39="pvp",15,MAX(0.1,Skills!D18-IF(Skills!E18=TRUE,Inputs!$B$33,0))),0)</f>
        <v/>
      </c>
      <c r="R95">
        <f>IF(AND(Inputs!$B$39&lt;&gt;"pvp",Inputs!$B$44&gt;0),IF(Inputs!$B$44&lt;=0,0,(INT(Inputs!$B$44/IF(Inputs!$B$39="pvp",15,MAX(0.1,Skills!D18-IF(Skills!E18=TRUE,Inputs!$B$33,0))))+1)),0)</f>
        <v/>
      </c>
      <c r="S95">
        <f>IFERROR(O95/N95,0)</f>
        <v/>
      </c>
      <c r="T95" t="n">
        <v>0</v>
      </c>
      <c r="V95" t="n">
        <v>0</v>
      </c>
    </row>
    <row r="96">
      <c r="A96">
        <f>Skills!A19</f>
        <v/>
      </c>
      <c r="B96">
        <f>Skills!B19</f>
        <v/>
      </c>
      <c r="C96">
        <f>Inputs!$B$3&gt;=72</f>
        <v/>
      </c>
      <c r="D96">
        <f>IF(Skills!C19=1,60+Inputs!$B$26+Inputs!$B$30,IF(Skills!C19=2,90+Inputs!$B$27+Inputs!$B$30,IF(Skills!C19=3,120+Inputs!$B$28+Inputs!$B$30,MAX(0,(Inputs!$B$3-100)*3)+Inputs!$B$29+Inputs!$B$30)))</f>
        <v/>
      </c>
      <c r="E96">
        <f>INDEX(FactorTable!$B$2:$Y$301, MATCH(ROUND(MIN(300,MAX(1,D96)),0), FactorTable!$A$2:$A$301,0), Skills!M19+1)</f>
        <v/>
      </c>
      <c r="F96">
        <f>IF(Skills!N19=TRUE,(Skills!L19/10)*(E96/1000),Skills!L19/10)+Skills!O19</f>
        <v/>
      </c>
      <c r="G96">
        <f>Skills!G19*IF(Skills!H19&gt;0,Skills!I19/Skills!H19,1)</f>
        <v/>
      </c>
      <c r="H96">
        <f>1-(1-Skills!J19/100)^Skills!K19</f>
        <v/>
      </c>
      <c r="I96" t="inlineStr">
        <is>
          <t>1</t>
        </is>
      </c>
      <c r="J96" t="inlineStr"/>
      <c r="K96" t="inlineStr"/>
      <c r="L96" t="inlineStr"/>
      <c r="M96" t="inlineStr"/>
      <c r="N96" t="inlineStr"/>
      <c r="O96">
        <f>(1-Summary!$B$55)*T96+Summary!$B$55*V96</f>
        <v/>
      </c>
      <c r="P96">
        <f>IF(B116=0,0,O96/B116)</f>
        <v/>
      </c>
      <c r="Q96">
        <f>IFERROR(1/IF(Inputs!$B$39="pvp",15,MAX(0.1,Skills!D19-IF(Skills!E19=TRUE,Inputs!$B$33,0))),0)</f>
        <v/>
      </c>
      <c r="R96">
        <f>IF(AND(Inputs!$B$39&lt;&gt;"pvp",Inputs!$B$44&gt;0),IF(Inputs!$B$44&lt;=0,0,(INT(Inputs!$B$44/IF(Inputs!$B$39="pvp",15,MAX(0.1,Skills!D19-IF(Skills!E19=TRUE,Inputs!$B$33,0))))+1)),0)</f>
        <v/>
      </c>
      <c r="S96">
        <f>IFERROR(O96/N96,0)</f>
        <v/>
      </c>
      <c r="T96" t="n">
        <v>0</v>
      </c>
      <c r="V96" t="n">
        <v>0</v>
      </c>
    </row>
    <row r="97">
      <c r="A97">
        <f>Skills!A20</f>
        <v/>
      </c>
      <c r="B97">
        <f>Skills!B20</f>
        <v/>
      </c>
      <c r="C97">
        <f>TRUE</f>
        <v/>
      </c>
      <c r="D97">
        <f>IF(Skills!C20=1,60+Inputs!$B$26+Inputs!$B$30,IF(Skills!C20=2,90+Inputs!$B$27+Inputs!$B$30,IF(Skills!C20=3,120+Inputs!$B$28+Inputs!$B$30,MAX(0,(Inputs!$B$3-100)*3)+Inputs!$B$29+Inputs!$B$30)))</f>
        <v/>
      </c>
      <c r="E97">
        <f>INDEX(FactorTable!$B$2:$Y$301, MATCH(ROUND(MIN(300,MAX(1,D97)),0), FactorTable!$A$2:$A$301,0), Skills!M20+1)</f>
        <v/>
      </c>
      <c r="F97">
        <f>IF(Skills!N20=TRUE,(Skills!L20/10)*(E97/1000),Skills!L20/10)+Skills!O20</f>
        <v/>
      </c>
      <c r="G97">
        <f>Skills!G20*IF(Skills!H20&gt;0,Skills!I20/Skills!H20,1)</f>
        <v/>
      </c>
      <c r="H97">
        <f>1-(1-Skills!J20/100)^Skills!K20</f>
        <v/>
      </c>
      <c r="I97" t="inlineStr">
        <is>
          <t>1</t>
        </is>
      </c>
      <c r="J97" t="inlineStr"/>
      <c r="K97" t="inlineStr"/>
      <c r="L97" t="inlineStr"/>
      <c r="M97" t="inlineStr"/>
      <c r="N97" t="inlineStr"/>
      <c r="O97">
        <f>(1-Summary!$B$55)*T97+Summary!$B$55*V97</f>
        <v/>
      </c>
      <c r="P97">
        <f>IF(B116=0,0,O97/B116)</f>
        <v/>
      </c>
      <c r="Q97">
        <f>IFERROR(1/IF(Inputs!$B$39="pvp",15,MAX(0.1,Skills!D20-IF(Skills!E20=TRUE,Inputs!$B$33,0))),0)</f>
        <v/>
      </c>
      <c r="R97">
        <f>IF(AND(Inputs!$B$39&lt;&gt;"pvp",Inputs!$B$44&gt;0),IF(Inputs!$B$44&lt;=0,0,(INT(Inputs!$B$44/IF(Inputs!$B$39="pvp",15,MAX(0.1,Skills!D20-IF(Skills!E20=TRUE,Inputs!$B$33,0))))+1)),0)</f>
        <v/>
      </c>
      <c r="S97">
        <f>IFERROR(O97/N97,0)</f>
        <v/>
      </c>
      <c r="T97" t="n">
        <v>0</v>
      </c>
      <c r="V97" t="n">
        <v>0</v>
      </c>
    </row>
    <row r="98">
      <c r="A98">
        <f>Skills!A21</f>
        <v/>
      </c>
      <c r="B98">
        <f>Skills!B21</f>
        <v/>
      </c>
      <c r="C98">
        <f>Inputs!$B$3&gt;=33</f>
        <v/>
      </c>
      <c r="D98">
        <f>IF(Skills!C21=1,60+Inputs!$B$26+Inputs!$B$30,IF(Skills!C21=2,90+Inputs!$B$27+Inputs!$B$30,IF(Skills!C21=3,120+Inputs!$B$28+Inputs!$B$30,MAX(0,(Inputs!$B$3-100)*3)+Inputs!$B$29+Inputs!$B$30)))</f>
        <v/>
      </c>
      <c r="E98">
        <f>INDEX(FactorTable!$B$2:$Y$301, MATCH(ROUND(MIN(300,MAX(1,D98)),0), FactorTable!$A$2:$A$301,0), Skills!M21+1)</f>
        <v/>
      </c>
      <c r="F98">
        <f>IF(Skills!N21=TRUE,(Skills!L21/10)*(E98/1000),Skills!L21/10)+Skills!O21</f>
        <v/>
      </c>
      <c r="G98">
        <f>Skills!G21*IF(Skills!H21&gt;0,Skills!I21/Skills!H21,1)</f>
        <v/>
      </c>
      <c r="H98">
        <f>1-(1-Skills!J21/100)^Skills!K21</f>
        <v/>
      </c>
      <c r="I98" t="inlineStr">
        <is>
          <t>1</t>
        </is>
      </c>
      <c r="J98" t="inlineStr"/>
      <c r="K98" t="inlineStr"/>
      <c r="L98" t="inlineStr"/>
      <c r="M98" t="inlineStr"/>
      <c r="N98" t="inlineStr"/>
      <c r="O98">
        <f>(1-Summary!$B$55)*T98+Summary!$B$55*V98</f>
        <v/>
      </c>
      <c r="P98">
        <f>IF(B116=0,0,O98/B116)</f>
        <v/>
      </c>
      <c r="Q98" t="n">
        <v>0</v>
      </c>
      <c r="R98" t="n">
        <v>0</v>
      </c>
      <c r="S98">
        <f>IFERROR(O98/N98,0)</f>
        <v/>
      </c>
      <c r="T98" t="n">
        <v>0</v>
      </c>
      <c r="V98" t="n">
        <v>0</v>
      </c>
    </row>
    <row r="99">
      <c r="A99">
        <f>Skills!A22</f>
        <v/>
      </c>
      <c r="B99">
        <f>Skills!B22</f>
        <v/>
      </c>
      <c r="C99">
        <f>Inputs!$B$3&gt;=43</f>
        <v/>
      </c>
      <c r="D99">
        <f>IF(Skills!C22=1,60+Inputs!$B$26+Inputs!$B$30,IF(Skills!C22=2,90+Inputs!$B$27+Inputs!$B$30,IF(Skills!C22=3,120+Inputs!$B$28+Inputs!$B$30,MAX(0,(Inputs!$B$3-100)*3)+Inputs!$B$29+Inputs!$B$30)))</f>
        <v/>
      </c>
      <c r="E99">
        <f>INDEX(FactorTable!$B$2:$Y$301, MATCH(ROUND(MIN(300,MAX(1,D99)),0), FactorTable!$A$2:$A$301,0), Skills!M22+1)</f>
        <v/>
      </c>
      <c r="F99">
        <f>IF(Skills!N22=TRUE,(Skills!L22/10)*(E99/1000),Skills!L22/10)+Skills!O22</f>
        <v/>
      </c>
      <c r="G99">
        <f>Skills!G22*IF(Skills!H22&gt;0,Skills!I22/Skills!H22,1)</f>
        <v/>
      </c>
      <c r="H99">
        <f>1-(1-Skills!J22/100)^Skills!K22</f>
        <v/>
      </c>
      <c r="I99" t="inlineStr">
        <is>
          <t>1</t>
        </is>
      </c>
      <c r="J99" t="inlineStr"/>
      <c r="K99" t="inlineStr"/>
      <c r="L99" t="inlineStr"/>
      <c r="M99" t="inlineStr"/>
      <c r="N99" t="inlineStr"/>
      <c r="O99">
        <f>(1-Summary!$B$55)*T99+Summary!$B$55*V99</f>
        <v/>
      </c>
      <c r="P99">
        <f>IF(B116=0,0,O99/B116)</f>
        <v/>
      </c>
      <c r="Q99" t="n">
        <v>0</v>
      </c>
      <c r="R99" t="n">
        <v>0</v>
      </c>
      <c r="S99">
        <f>IFERROR(O99/N99,0)</f>
        <v/>
      </c>
      <c r="T99" t="n">
        <v>0</v>
      </c>
      <c r="V99" t="n">
        <v>0</v>
      </c>
    </row>
    <row r="100">
      <c r="A100">
        <f>Skills!A23</f>
        <v/>
      </c>
      <c r="B100">
        <f>Skills!B23</f>
        <v/>
      </c>
      <c r="C100">
        <f>Inputs!$B$3&gt;=120</f>
        <v/>
      </c>
      <c r="D100">
        <f>IF(Skills!C23=1,60+Inputs!$B$26+Inputs!$B$30,IF(Skills!C23=2,90+Inputs!$B$27+Inputs!$B$30,IF(Skills!C23=3,120+Inputs!$B$28+Inputs!$B$30,MAX(0,(Inputs!$B$3-100)*3)+Inputs!$B$29+Inputs!$B$30)))</f>
        <v/>
      </c>
      <c r="E100">
        <f>INDEX(FactorTable!$B$2:$Y$301, MATCH(ROUND(MIN(300,MAX(1,D100)),0), FactorTable!$A$2:$A$301,0), Skills!M23+1)</f>
        <v/>
      </c>
      <c r="F100">
        <f>IF(Skills!N23=TRUE,(Skills!L23/10)*(E100/1000),Skills!L23/10)+Skills!O23</f>
        <v/>
      </c>
      <c r="G100">
        <f>Skills!G23*IF(Skills!H23&gt;0,Skills!I23/Skills!H23,1)</f>
        <v/>
      </c>
      <c r="H100">
        <f>1-(1-Skills!J23/100)^Skills!K23</f>
        <v/>
      </c>
      <c r="I100" t="inlineStr">
        <is>
          <t>1</t>
        </is>
      </c>
      <c r="J100" t="inlineStr"/>
      <c r="K100" t="inlineStr"/>
      <c r="L100" t="inlineStr"/>
      <c r="M100" t="inlineStr"/>
      <c r="N100" t="inlineStr"/>
      <c r="O100">
        <f>(1-Summary!$B$55)*T100+Summary!$B$55*V100</f>
        <v/>
      </c>
      <c r="P100">
        <f>IF(B116=0,0,O100/B116)</f>
        <v/>
      </c>
      <c r="Q100" t="n">
        <v>0</v>
      </c>
      <c r="R100" t="n">
        <v>0</v>
      </c>
      <c r="S100">
        <f>IFERROR(O100/N100,0)</f>
        <v/>
      </c>
      <c r="T100" t="n">
        <v>0</v>
      </c>
      <c r="V100" t="n">
        <v>0</v>
      </c>
    </row>
    <row r="101">
      <c r="A101">
        <f>Skills!A24</f>
        <v/>
      </c>
      <c r="B101">
        <f>Skills!B24</f>
        <v/>
      </c>
      <c r="C101">
        <f>Inputs!$B$3&gt;=120</f>
        <v/>
      </c>
      <c r="D101">
        <f>IF(Skills!C24=1,60+Inputs!$B$26+Inputs!$B$30,IF(Skills!C24=2,90+Inputs!$B$27+Inputs!$B$30,IF(Skills!C24=3,120+Inputs!$B$28+Inputs!$B$30,MAX(0,(Inputs!$B$3-100)*3)+Inputs!$B$29+Inputs!$B$30)))</f>
        <v/>
      </c>
      <c r="E101">
        <f>INDEX(FactorTable!$B$2:$Y$301, MATCH(ROUND(MIN(300,MAX(1,D101)),0), FactorTable!$A$2:$A$301,0), Skills!M24+1)</f>
        <v/>
      </c>
      <c r="F101">
        <f>IF(Skills!N24=TRUE,(Skills!L24/10)*(E101/1000),Skills!L24/10)+Skills!O24</f>
        <v/>
      </c>
      <c r="G101">
        <f>Skills!G24*IF(Skills!H24&gt;0,Skills!I24/Skills!H24,1)</f>
        <v/>
      </c>
      <c r="H101">
        <f>1-(1-Skills!J24/100)^Skills!K24</f>
        <v/>
      </c>
      <c r="I101" t="inlineStr">
        <is>
          <t>1</t>
        </is>
      </c>
      <c r="J101" t="inlineStr"/>
      <c r="K101" t="inlineStr"/>
      <c r="L101" t="inlineStr"/>
      <c r="M101" t="inlineStr"/>
      <c r="N101" t="inlineStr"/>
      <c r="O101">
        <f>(1-Summary!$B$55)*T101+Summary!$B$55*V101</f>
        <v/>
      </c>
      <c r="P101">
        <f>IF(B116=0,0,O101/B116)</f>
        <v/>
      </c>
      <c r="Q101" t="n">
        <v>0</v>
      </c>
      <c r="R101" t="n">
        <v>0</v>
      </c>
      <c r="S101">
        <f>IFERROR(O101/N101,0)</f>
        <v/>
      </c>
      <c r="T101" t="n">
        <v>0</v>
      </c>
      <c r="V101" t="n">
        <v>0</v>
      </c>
    </row>
    <row r="102">
      <c r="A102">
        <f>Skills!A25</f>
        <v/>
      </c>
      <c r="B102">
        <f>Skills!B25</f>
        <v/>
      </c>
      <c r="C102">
        <f>Inputs!$B$3&gt;=125</f>
        <v/>
      </c>
      <c r="D102">
        <f>IF(Skills!C25=1,60+Inputs!$B$26+Inputs!$B$30,IF(Skills!C25=2,90+Inputs!$B$27+Inputs!$B$30,IF(Skills!C25=3,120+Inputs!$B$28+Inputs!$B$30,MAX(0,(Inputs!$B$3-100)*3)+Inputs!$B$29+Inputs!$B$30)))</f>
        <v/>
      </c>
      <c r="E102">
        <f>INDEX(FactorTable!$B$2:$Y$301, MATCH(ROUND(MIN(300,MAX(1,D102)),0), FactorTable!$A$2:$A$301,0), Skills!M25+1)</f>
        <v/>
      </c>
      <c r="F102">
        <f>IF(Skills!N25=TRUE,(Skills!L25/10)*(E102/1000),Skills!L25/10)+Skills!O25</f>
        <v/>
      </c>
      <c r="G102">
        <f>Skills!G25*IF(Skills!H25&gt;0,Skills!I25/Skills!H25,1)</f>
        <v/>
      </c>
      <c r="H102">
        <f>1-(1-Skills!J25/100)^Skills!K25</f>
        <v/>
      </c>
      <c r="I102" t="inlineStr">
        <is>
          <t>1</t>
        </is>
      </c>
      <c r="J102" t="inlineStr"/>
      <c r="K102" t="inlineStr"/>
      <c r="L102" t="inlineStr"/>
      <c r="M102" t="inlineStr"/>
      <c r="N102" t="inlineStr"/>
      <c r="O102">
        <f>(1-Summary!$B$55)*T102+Summary!$B$55*V102</f>
        <v/>
      </c>
      <c r="P102">
        <f>IF(B116=0,0,O102/B116)</f>
        <v/>
      </c>
      <c r="Q102" t="n">
        <v>0</v>
      </c>
      <c r="R102" t="n">
        <v>0</v>
      </c>
      <c r="S102">
        <f>IFERROR(O102/N102,0)</f>
        <v/>
      </c>
      <c r="T102" t="n">
        <v>0</v>
      </c>
      <c r="V102" t="n">
        <v>0</v>
      </c>
    </row>
    <row r="103">
      <c r="A103">
        <f>Skills!A26</f>
        <v/>
      </c>
      <c r="B103">
        <f>Skills!B26</f>
        <v/>
      </c>
      <c r="C103">
        <f>Inputs!$B$3&gt;=107</f>
        <v/>
      </c>
      <c r="D103">
        <f>IF(Skills!C26=1,60+Inputs!$B$26+Inputs!$B$30,IF(Skills!C26=2,90+Inputs!$B$27+Inputs!$B$30,IF(Skills!C26=3,120+Inputs!$B$28+Inputs!$B$30,MAX(0,(Inputs!$B$3-100)*3)+Inputs!$B$29+Inputs!$B$30)))</f>
        <v/>
      </c>
      <c r="E103">
        <f>INDEX(FactorTable!$B$2:$Y$301, MATCH(ROUND(MIN(300,MAX(1,D103)),0), FactorTable!$A$2:$A$301,0), Skills!M26+1)</f>
        <v/>
      </c>
      <c r="F103">
        <f>IF(Skills!N26=TRUE,(Skills!L26/10)*(E103/1000),Skills!L26/10)+Skills!O26</f>
        <v/>
      </c>
      <c r="G103">
        <f>Skills!G26*IF(Skills!H26&gt;0,Skills!I26/Skills!H26,1)</f>
        <v/>
      </c>
      <c r="H103">
        <f>1-(1-Skills!J26/100)^Skills!K26</f>
        <v/>
      </c>
      <c r="I103" t="inlineStr">
        <is>
          <t>1</t>
        </is>
      </c>
      <c r="J103" t="inlineStr"/>
      <c r="K103" t="inlineStr"/>
      <c r="L103" t="inlineStr"/>
      <c r="M103" t="inlineStr"/>
      <c r="N103" t="inlineStr"/>
      <c r="O103">
        <f>(1-Summary!$B$55)*T103+Summary!$B$55*V103</f>
        <v/>
      </c>
      <c r="P103">
        <f>IF(B116=0,0,O103/B116)</f>
        <v/>
      </c>
      <c r="Q103" t="n">
        <v>0</v>
      </c>
      <c r="R103" t="n">
        <v>0</v>
      </c>
      <c r="S103">
        <f>IFERROR(O103/N103,0)</f>
        <v/>
      </c>
      <c r="T103" t="n">
        <v>0</v>
      </c>
      <c r="V103" t="n">
        <v>0</v>
      </c>
    </row>
    <row r="105">
      <c r="A105" t="inlineStr">
        <is>
          <t>Attack% Bucket Multiplier</t>
        </is>
      </c>
      <c r="B105">
        <f>(1+(((C90=TRUE)*F90*IF(AND(Inputs!$B$39&lt;&gt;"pvp",Inputs!$B$44&gt;0),(((R90-1)*(Skills!T13*(1+Inputs!$B$35/100))+MIN((Skills!T13*(1+Inputs!$B$35/100)),MAX(0,Inputs!$B$44-((R90-1)*Skills!D13))))/Inputs!$B$44),IF(Inputs!$B$39="pvp",MIN((Skills!T13*(1+Inputs!$B$35/100)),15)/15,(Skills!T13*(1+Inputs!$B$35/100))/Skills!D13)))+((C91=TRUE)*F91*IF(AND(Inputs!$B$39&lt;&gt;"pvp",Inputs!$B$44&gt;0),(((R91-1)*(Skills!T14*(1+Inputs!$B$35/100))+MIN((Skills!T14*(1+Inputs!$B$35/100)),MAX(0,Inputs!$B$44-((R91-1)*Skills!D14))))/Inputs!$B$44),IF(Inputs!$B$39="pvp",MIN((Skills!T14*(1+Inputs!$B$35/100)),15)/15,(Skills!T14*(1+Inputs!$B$35/100))/Skills!D14)))+((C92=TRUE)*F92*IF(AND(Inputs!$B$39&lt;&gt;"pvp",Inputs!$B$44&gt;0),(((R92-1)*(Skills!T15*(1+Inputs!$B$35/100))+MIN((Skills!T15*(1+Inputs!$B$35/100)),MAX(0,Inputs!$B$44-((R92-1)*Skills!D15))))/Inputs!$B$44),IF(Inputs!$B$39="pvp",MIN((Skills!T15*(1+Inputs!$B$35/100)),15)/15,(Skills!T15*(1+Inputs!$B$35/100))/Skills!D15)))+((C93=TRUE)*F93*IF(AND(Inputs!$B$39&lt;&gt;"pvp",Inputs!$B$44&gt;0),(((R93-1)*(Skills!T16*(1+Inputs!$B$35/100))+MIN((Skills!T16*(1+Inputs!$B$35/100)),MAX(0,Inputs!$B$44-((R93-1)*Skills!D16))))/Inputs!$B$44),IF(Inputs!$B$39="pvp",MIN((Skills!T16*(1+Inputs!$B$35/100)),15)/15,(Skills!T16*(1+Inputs!$B$35/100))/Skills!D16)))+0)/100)</f>
        <v/>
      </c>
    </row>
    <row r="106">
      <c r="A106" t="inlineStr">
        <is>
          <t>Global Crit Rate Bonus % (Lord of Darkness)</t>
        </is>
      </c>
      <c r="B106">
        <f>((C95=TRUE)*F95*(Skills!J18/100)*IF(AND(Inputs!$B$39&lt;&gt;"pvp",Inputs!$B$44&gt;0),(((R95-1)*(Skills!T18*(1+Inputs!$B$35/100))+MIN((Skills!T18*(1+Inputs!$B$35/100)),MAX(0,Inputs!$B$44-((R95-1)*Skills!D18))))/Inputs!$B$44),IF(Inputs!$B$39="pvp",MIN((Skills!T18*(1+Inputs!$B$35/100)),15)/15,(Skills!T18*(1+Inputs!$B$35/100))/Skills!D18)))</f>
        <v/>
      </c>
    </row>
    <row r="107">
      <c r="A107" t="inlineStr">
        <is>
          <t>Attack Speed Buff Bonus %</t>
        </is>
      </c>
      <c r="B107">
        <f>((C97=TRUE)*F97*IF(AND(Inputs!$B$39&lt;&gt;"pvp",Inputs!$B$44&gt;0),(((R97-1)*(Skills!T20*(1+Inputs!$B$35/100))+MIN((Skills!T20*(1+Inputs!$B$35/100)),MAX(0,Inputs!$B$44-((R97-1)*Skills!D20))))/Inputs!$B$44),IF(Inputs!$B$39="pvp",MIN((Skills!T20*(1+Inputs!$B$35/100)),15)/15,(Skills!T20*(1+Inputs!$B$35/100))/Skills!D20)))</f>
        <v/>
      </c>
    </row>
    <row r="108">
      <c r="A108" t="inlineStr">
        <is>
          <t>Actions Per Second</t>
        </is>
      </c>
      <c r="B108">
        <f>1+MIN(150,150*(1-(1-(Inputs!$B$12+((C98=TRUE)*(F98-Calc!F21)))/150)*(1-B107/150)))/100</f>
        <v/>
      </c>
    </row>
    <row r="109">
      <c r="A109" t="inlineStr">
        <is>
          <t>Skill + Buff Cast Rate</t>
        </is>
      </c>
      <c r="B109">
        <f>IF(AND(Inputs!$B$39&lt;&gt;"pvp",Inputs!$B$44&gt;0),SUMPRODUCT((Skills!E2:E26=TRUE)*(C79:C103=TRUE)*R79:R103*Skills!F2:F26)/Inputs!$B$44,SUMPRODUCT((Skills!E2:E26=TRUE)*(C79:C103=TRUE)*Q79:Q103*Skills!F2:F26))</f>
        <v/>
      </c>
    </row>
    <row r="110">
      <c r="A110" t="inlineStr">
        <is>
          <t>Dark Impale Casts Per Second</t>
        </is>
      </c>
      <c r="B110">
        <f>MAX(0,B108-B109)</f>
        <v/>
      </c>
    </row>
    <row r="111">
      <c r="A111" t="inlineStr">
        <is>
          <t>Global Critical Damage Bonus % (Lord of Darkness)</t>
        </is>
      </c>
      <c r="B111">
        <f>((C96=TRUE)*F96*(Skills!J19/100)*IF(AND(Inputs!$B$39&lt;&gt;"pvp",Inputs!$B$44&gt;0),(((R96-1)*(Skills!T19*(1+Inputs!$B$35/100))+MIN((Skills!T19*(1+Inputs!$B$35/100)),MAX(0,Inputs!$B$44-((R96-1)*Skills!D19))))/Inputs!$B$44),IF(Inputs!$B$39="pvp",MIN((Skills!T19*(1+Inputs!$B$35/100)),15)/15,(Skills!T19*(1+Inputs!$B$35/100))/Skills!D19)))</f>
        <v/>
      </c>
    </row>
    <row r="112">
      <c r="A112" t="inlineStr">
        <is>
          <t>Global Final Damage Bonus % (unused)</t>
        </is>
      </c>
      <c r="B112" t="n">
        <v>0</v>
      </c>
    </row>
    <row r="113">
      <c r="A113" t="inlineStr">
        <is>
          <t>Buff-Casting Startup Delay (s, fixed-duration only)</t>
        </is>
      </c>
      <c r="B113">
        <f>IF(AND(Inputs!$B$39&lt;&gt;"pvp",Inputs!$B$44&gt;0),SUMPRODUCT((Skills!T2:T26&gt;0)*(Skills!E2:E26=TRUE)*(C79:C103=TRUE))/B108,0)</f>
        <v/>
      </c>
    </row>
    <row r="114">
      <c r="A114" t="inlineStr">
        <is>
          <t>Boss-Only Total DPS (this block's swept value)</t>
        </is>
      </c>
      <c r="B114">
        <f>SUM(T79:T103)</f>
        <v/>
      </c>
    </row>
    <row r="115">
      <c r="A115" t="inlineStr">
        <is>
          <t>Normal-Only Total DPS (this block's swept value)</t>
        </is>
      </c>
      <c r="B115">
        <f>SUM(V79:V103)</f>
        <v/>
      </c>
    </row>
    <row r="116">
      <c r="A116" s="5" t="inlineStr">
        <is>
          <t>TOTAL DPS</t>
        </is>
      </c>
      <c r="B116" s="5">
        <f>SUM(O79:O103)</f>
        <v/>
      </c>
    </row>
    <row r="119">
      <c r="A119" s="5" t="inlineStr">
        <is>
          <t>Stat: DEX</t>
        </is>
      </c>
    </row>
    <row r="120">
      <c r="A120" s="9" t="inlineStr">
        <is>
          <t>Key</t>
        </is>
      </c>
      <c r="B120" s="9" t="inlineStr">
        <is>
          <t>Name</t>
        </is>
      </c>
      <c r="C120" s="9" t="inlineStr">
        <is>
          <t>Unlocked</t>
        </is>
      </c>
      <c r="D120" s="9" t="inlineStr">
        <is>
          <t>InputLevel</t>
        </is>
      </c>
      <c r="E120" s="9" t="inlineStr">
        <is>
          <t>Factor</t>
        </is>
      </c>
      <c r="F120" s="9" t="inlineStr">
        <is>
          <t>CoefficientPercent</t>
        </is>
      </c>
      <c r="G120" s="9" t="inlineStr">
        <is>
          <t>EffectiveHits</t>
        </is>
      </c>
      <c r="H120" s="9" t="inlineStr">
        <is>
          <t>ProcProbability</t>
        </is>
      </c>
      <c r="I120" s="9" t="inlineStr">
        <is>
          <t>MapleHeroMultiplier</t>
        </is>
      </c>
      <c r="J120" s="9" t="inlineStr">
        <is>
          <t>BaseDamage</t>
        </is>
      </c>
      <c r="K120" s="9" t="inlineStr">
        <is>
          <t>BaseHitDamage</t>
        </is>
      </c>
      <c r="L120" s="9" t="inlineStr">
        <is>
          <t>NonCritAvg</t>
        </is>
      </c>
      <c r="M120" s="9" t="inlineStr">
        <is>
          <t>CritAvg</t>
        </is>
      </c>
      <c r="N120" s="9" t="inlineStr">
        <is>
          <t>ExpectedDamage(perHit)</t>
        </is>
      </c>
      <c r="O120" s="9" t="inlineStr">
        <is>
          <t>DPS</t>
        </is>
      </c>
      <c r="P120" s="9" t="inlineStr">
        <is>
          <t>% of Total</t>
        </is>
      </c>
      <c r="Q120" s="9" t="inlineStr">
        <is>
          <t>InvCooldown</t>
        </is>
      </c>
      <c r="R120" s="9" t="inlineStr">
        <is>
          <t>CastsInFight</t>
        </is>
      </c>
      <c r="S120" s="9" t="inlineStr">
        <is>
          <t>HitRate(perSec)</t>
        </is>
      </c>
      <c r="U120" t="inlineStr">
        <is>
          <t>helpers</t>
        </is>
      </c>
    </row>
    <row r="121">
      <c r="A121">
        <f>Skills!A2</f>
        <v/>
      </c>
      <c r="B121">
        <f>Skills!B2</f>
        <v/>
      </c>
      <c r="C121">
        <f>Inputs!$B$3&gt;=100</f>
        <v/>
      </c>
      <c r="D121" t="inlineStr"/>
      <c r="E121" t="inlineStr"/>
      <c r="F121">
        <f>U123+Skills!O2</f>
        <v/>
      </c>
      <c r="G121">
        <f>Skills!G2*IF(Skills!H2&gt;0,Skills!I2/Skills!H2,1)</f>
        <v/>
      </c>
      <c r="H121">
        <f>1-(1-Skills!J2/100)^Skills!K2</f>
        <v/>
      </c>
      <c r="I121" t="inlineStr">
        <is>
          <t>1</t>
        </is>
      </c>
      <c r="J121">
        <f>((Inputs!$B$6*(1+Inputs!$B$7/100))+(((Inputs!$B$13*(1+Inputs!$B$14/100))-(Inputs!$B$13*(1+Inputs!$B$14/100)))+0.25*((Inputs!$B$15+1)-Inputs!$B$15))*(1+Inputs!$B$7/100))*(F121/100)</f>
        <v/>
      </c>
      <c r="K121">
        <f>J121*(1+(((Inputs!$B$13+IF(Inputs!$B$3&gt;=38,(10*INDEX(FactorTable!$B$2:$Y$301, MATCH(ROUND(MIN(300,MAX(1,Inputs!$B$3)),0), FactorTable!$A$2:$A$301,0), 23)/1000)/100*(Inputs!$B$8*(1+Inputs!$B$9/100)),0))*(1+Inputs!$B$14/100))*0.01+(Inputs!$B$15+1)*0.0025)/100)*(1+Inputs!$B$16/100)*(1+Inputs!$B$17/100)*(5000/(6000+Inputs!$B$43*(1-(Inputs!$B$20+0)/100)))*(1+(Inputs!$B$25+((C144=TRUE)*(F144-Calc!F25))+((C145=TRUE)*(F145-Calc!F26))+B154)/100)*(1+(IF(Skills!A2="DARK_IMPALE",Inputs!$B$18+0,Inputs!$B$19+((C142=TRUE)*(F142-Calc!F23))))/100)*((1+(((C132=TRUE)*F132*IF(AND(Inputs!$B$39&lt;&gt;"pvp",Inputs!$B$44&gt;0),(((R132-1)*(Skills!T13*(1+Inputs!$B$35/100))+MIN((Skills!T13*(1+Inputs!$B$35/100)),MAX(0,Inputs!$B$44-((R132-1)*Skills!D13))))/Inputs!$B$44),IF(Inputs!$B$39="pvp",MIN((Skills!T13*(1+Inputs!$B$35/100)),15)/15,(Skills!T13*(1+Inputs!$B$35/100))/Skills!D13)))+((C133=TRUE)*F133*IF(AND(Inputs!$B$39&lt;&gt;"pvp",Inputs!$B$44&gt;0),(((R133-1)*(Skills!T14*(1+Inputs!$B$35/100))+MIN((Skills!T14*(1+Inputs!$B$35/100)),MAX(0,Inputs!$B$44-((R133-1)*Skills!D14))))/Inputs!$B$44),IF(Inputs!$B$39="pvp",MIN((Skills!T14*(1+Inputs!$B$35/100)),15)/15,(Skills!T14*(1+Inputs!$B$35/100))/Skills!D14)))+((C134=TRUE)*F134*IF(AND(Inputs!$B$39&lt;&gt;"pvp",Inputs!$B$44&gt;0),(((R134-1)*(Skills!T15*(1+Inputs!$B$35/100))+MIN((Skills!T15*(1+Inputs!$B$35/100)),MAX(0,Inputs!$B$44-((R134-1)*Skills!D15))))/Inputs!$B$44),IF(Inputs!$B$39="pvp",MIN((Skills!T15*(1+Inputs!$B$35/100)),15)/15,(Skills!T15*(1+Inputs!$B$35/100))/Skills!D15)))+((C135=TRUE)*F135*IF(AND(Inputs!$B$39&lt;&gt;"pvp",Inputs!$B$44&gt;0),(((R135-1)*(Skills!T16*(1+Inputs!$B$35/100))+MIN((Skills!T16*(1+Inputs!$B$35/100)),MAX(0,Inputs!$B$44-((R135-1)*Skills!D16))))/Inputs!$B$44),IF(Inputs!$B$39="pvp",MIN((Skills!T16*(1+Inputs!$B$35/100)),15)/15,(Skills!T16*(1+Inputs!$B$35/100))/Skills!D16)))+0)/100)*I121)</f>
        <v/>
      </c>
      <c r="L121">
        <f>K121*(MIN(Inputs!$B$23+((C141=TRUE)*(F141-Calc!F22)),Inputs!$B$24+((C143=TRUE)*(F143-Calc!F24)))/100+(Inputs!$B$24+((C143=TRUE)*(F143-Calc!F24)))/100)/2</f>
        <v/>
      </c>
      <c r="M121">
        <f>L121*(1+(Inputs!$B$11+0+B153)/100)</f>
        <v/>
      </c>
      <c r="N121">
        <f>L121*(1-MIN((Inputs!$B$10+0+B148),100)/100)+M121*(MIN((Inputs!$B$10+0+B148),100)/100)</f>
        <v/>
      </c>
      <c r="O121">
        <f>(1-Summary!$B$55)*T121+Summary!$B$55*V121</f>
        <v/>
      </c>
      <c r="P121">
        <f>IF(B158=0,0,O121/B158)</f>
        <v/>
      </c>
      <c r="Q121" t="n">
        <v>0</v>
      </c>
      <c r="R121" t="n">
        <v>0</v>
      </c>
      <c r="S121">
        <f>IFERROR(O121/N121,0)</f>
        <v/>
      </c>
      <c r="T121">
        <f>IF(C121,(Skills!G2*N121*B152)*IF(Inputs!$B$39="pvp",1,1+(Inputs!$B$21+0+Skills!P2+((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0)</f>
        <v/>
      </c>
      <c r="U121">
        <f>MAX(0,(Inputs!$B$3-100)*3)+Inputs!$B$29+Inputs!$B$30</f>
        <v/>
      </c>
      <c r="V121">
        <f>IF(C121,(Skills!G2*N121*B152)*IF(Inputs!$B$39="pvp",1,(1+(Inputs!$B$22+Skills!Q2+((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MIN((6+Inputs!$B$34),Inputs!$B$38))),0)</f>
        <v/>
      </c>
    </row>
    <row r="122">
      <c r="A122">
        <f>Skills!A3</f>
        <v/>
      </c>
      <c r="B122">
        <f>Skills!B3</f>
        <v/>
      </c>
      <c r="C122">
        <f>Inputs!$B$3&gt;=50</f>
        <v/>
      </c>
      <c r="D122">
        <f>IF(Skills!C3=1,60+Inputs!$B$26+Inputs!$B$30,IF(Skills!C3=2,90+Inputs!$B$27+Inputs!$B$30,IF(Skills!C3=3,120+Inputs!$B$28+Inputs!$B$30,MAX(0,(Inputs!$B$3-100)*3)+Inputs!$B$29+Inputs!$B$30)))</f>
        <v/>
      </c>
      <c r="E122">
        <f>INDEX(FactorTable!$B$2:$Y$301, MATCH(ROUND(MIN(300,MAX(1,D122)),0), FactorTable!$A$2:$A$301,0), Skills!M3+1)</f>
        <v/>
      </c>
      <c r="F122">
        <f>IF(Skills!N3=TRUE,(Skills!L3/10)*(E122/1000),Skills!L3/10)+Skills!O3</f>
        <v/>
      </c>
      <c r="G122" t="inlineStr"/>
      <c r="H122" t="inlineStr"/>
      <c r="I122" t="inlineStr">
        <is>
          <t>1</t>
        </is>
      </c>
      <c r="J122" t="inlineStr"/>
      <c r="K122" t="inlineStr"/>
      <c r="L122" t="inlineStr"/>
      <c r="M122" t="inlineStr"/>
      <c r="N122" t="inlineStr"/>
      <c r="O122" t="inlineStr"/>
      <c r="P122" t="inlineStr"/>
      <c r="Q122" t="inlineStr"/>
      <c r="R122" t="inlineStr"/>
      <c r="S122" t="inlineStr"/>
      <c r="U122">
        <f>INDEX(FactorTable!$B$2:$Y$301, MATCH(ROUND(MIN(300,MAX(1,U121)),0), FactorTable!$A$2:$A$301,0), 22)</f>
        <v/>
      </c>
    </row>
    <row r="123">
      <c r="A123">
        <f>Skills!A4</f>
        <v/>
      </c>
      <c r="B123">
        <f>Skills!B4</f>
        <v/>
      </c>
      <c r="C123">
        <f>Inputs!$B$3&gt;=105</f>
        <v/>
      </c>
      <c r="D123">
        <f>IF(Skills!C4=1,60+Inputs!$B$26+Inputs!$B$30,IF(Skills!C4=2,90+Inputs!$B$27+Inputs!$B$30,IF(Skills!C4=3,120+Inputs!$B$28+Inputs!$B$30,MAX(0,(Inputs!$B$3-100)*3)+Inputs!$B$29+Inputs!$B$30)))</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U123">
        <f>290*U122/1000</f>
        <v/>
      </c>
    </row>
    <row r="124">
      <c r="A124">
        <f>Skills!A5</f>
        <v/>
      </c>
      <c r="B124">
        <f>Skills!B5</f>
        <v/>
      </c>
      <c r="C124">
        <f>Inputs!$B$3&gt;=117</f>
        <v/>
      </c>
      <c r="D124">
        <f>IF(Skills!C5=1,60+Inputs!$B$26+Inputs!$B$30,IF(Skills!C5=2,90+Inputs!$B$27+Inputs!$B$30,IF(Skills!C5=3,120+Inputs!$B$28+Inputs!$B$30,MAX(0,(Inputs!$B$3-100)*3)+Inputs!$B$29+Inputs!$B$30)))</f>
        <v/>
      </c>
      <c r="E124">
        <f>INDEX(FactorTable!$B$2:$Y$301, MATCH(ROUND(MIN(300,MAX(1,D124)),0), FactorTable!$A$2:$A$301,0), Skills!M5+1)</f>
        <v/>
      </c>
      <c r="F124">
        <f>IF(Skills!N5=TRUE,(Skills!L5/10)*(E124/1000),Skills!L5/10)+Skills!O5</f>
        <v/>
      </c>
      <c r="G124">
        <f>Skills!G5*IF(Skills!H5&gt;0,Skills!I5/Skills!H5,1)</f>
        <v/>
      </c>
      <c r="H124">
        <f>1-(1-Skills!J5/100)^Skills!K5</f>
        <v/>
      </c>
      <c r="I124" t="inlineStr">
        <is>
          <t>1</t>
        </is>
      </c>
      <c r="J124">
        <f>((Inputs!$B$6*(1+Inputs!$B$7/100))+(((Inputs!$B$13*(1+Inputs!$B$14/100))-(Inputs!$B$13*(1+Inputs!$B$14/100)))+0.25*((Inputs!$B$15+1)-Inputs!$B$15))*(1+Inputs!$B$7/100))*(F124/100)</f>
        <v/>
      </c>
      <c r="K124">
        <f>J124*(1+(((Inputs!$B$13+IF(Inputs!$B$3&gt;=38,(10*INDEX(FactorTable!$B$2:$Y$301, MATCH(ROUND(MIN(300,MAX(1,Inputs!$B$3)),0), FactorTable!$A$2:$A$301,0), 23)/1000)/100*(Inputs!$B$8*(1+Inputs!$B$9/100)),0))*(1+Inputs!$B$14/100))*0.01+(Inputs!$B$15+1)*0.0025)/100)*(1+Inputs!$B$16/100)*(1+Inputs!$B$17/100)*(5000/(6000+Inputs!$B$43*(1-(Inputs!$B$20+0)/100)))*(1+(Inputs!$B$25+((C144=TRUE)*(F144-Calc!F25))+((C145=TRUE)*(F145-Calc!F26))+B154)/100)*(1+(IF(Skills!A5="DARK_IMPALE",Inputs!$B$18+0,Inputs!$B$19+((C142=TRUE)*(F142-Calc!F23))))/100)*((1+(((C132=TRUE)*F132*IF(AND(Inputs!$B$39&lt;&gt;"pvp",Inputs!$B$44&gt;0),(((R132-1)*(Skills!T13*(1+Inputs!$B$35/100))+MIN((Skills!T13*(1+Inputs!$B$35/100)),MAX(0,Inputs!$B$44-((R132-1)*Skills!D13))))/Inputs!$B$44),IF(Inputs!$B$39="pvp",MIN((Skills!T13*(1+Inputs!$B$35/100)),15)/15,(Skills!T13*(1+Inputs!$B$35/100))/Skills!D13)))+((C133=TRUE)*F133*IF(AND(Inputs!$B$39&lt;&gt;"pvp",Inputs!$B$44&gt;0),(((R133-1)*(Skills!T14*(1+Inputs!$B$35/100))+MIN((Skills!T14*(1+Inputs!$B$35/100)),MAX(0,Inputs!$B$44-((R133-1)*Skills!D14))))/Inputs!$B$44),IF(Inputs!$B$39="pvp",MIN((Skills!T14*(1+Inputs!$B$35/100)),15)/15,(Skills!T14*(1+Inputs!$B$35/100))/Skills!D14)))+((C134=TRUE)*F134*IF(AND(Inputs!$B$39&lt;&gt;"pvp",Inputs!$B$44&gt;0),(((R134-1)*(Skills!T15*(1+Inputs!$B$35/100))+MIN((Skills!T15*(1+Inputs!$B$35/100)),MAX(0,Inputs!$B$44-((R134-1)*Skills!D15))))/Inputs!$B$44),IF(Inputs!$B$39="pvp",MIN((Skills!T15*(1+Inputs!$B$35/100)),15)/15,(Skills!T15*(1+Inputs!$B$35/100))/Skills!D15)))+((C135=TRUE)*F135*IF(AND(Inputs!$B$39&lt;&gt;"pvp",Inputs!$B$44&gt;0),(((R135-1)*(Skills!T16*(1+Inputs!$B$35/100))+MIN((Skills!T16*(1+Inputs!$B$35/100)),MAX(0,Inputs!$B$44-((R135-1)*Skills!D16))))/Inputs!$B$44),IF(Inputs!$B$39="pvp",MIN((Skills!T16*(1+Inputs!$B$35/100)),15)/15,(Skills!T16*(1+Inputs!$B$35/100))/Skills!D16)))+0)/100)*I124)</f>
        <v/>
      </c>
      <c r="L124">
        <f>K124*(MIN(Inputs!$B$23+((C141=TRUE)*(F141-Calc!F22)),Inputs!$B$24+((C143=TRUE)*(F143-Calc!F24)))/100+(Inputs!$B$24+((C143=TRUE)*(F143-Calc!F24)))/100)/2</f>
        <v/>
      </c>
      <c r="M124">
        <f>L124*(1+(Inputs!$B$11+0+B153)/100)</f>
        <v/>
      </c>
      <c r="N124">
        <f>L124*(1-MIN((Inputs!$B$10+0+B148),100)/100)+M124*(MIN((Inputs!$B$10+0+B148),100)/100)</f>
        <v/>
      </c>
      <c r="O124">
        <f>(1-Summary!$B$55)*T124+Summary!$B$55*V124</f>
        <v/>
      </c>
      <c r="P124">
        <f>IF(B158=0,0,O124/B158)</f>
        <v/>
      </c>
      <c r="Q124">
        <f>IFERROR(1/IF(Inputs!$B$39="pvp",15,MAX(0.1,Skills!D5-IF(Skills!E5=TRUE,Inputs!$B$33,0))),0)</f>
        <v/>
      </c>
      <c r="R124">
        <f>IF(AND(Inputs!$B$39&lt;&gt;"pvp",Inputs!$B$44&gt;0),IF(MAX(0,Inputs!$B$44-B155)&lt;=0,0,(INT(MAX(0,Inputs!$B$44-B155)/IF(Inputs!$B$39="pvp",15,MAX(0.1,Skills!D5-IF(Skills!E5=TRUE,Inputs!$B$33,0))))+1)),0)</f>
        <v/>
      </c>
      <c r="S124">
        <f>IFERROR(O124/N124,0)</f>
        <v/>
      </c>
      <c r="T124">
        <f>IF(C124,(H124*N124*IF(AND(Inputs!$B$39&lt;&gt;"pvp",Inputs!$B$44&gt;0),((Skills!G5*((R124-1)*IF(Skills!H5&gt;0,Skills!I5/Skills!H5,1)+IF(Skills!H5&gt;0,MIN(Skills!I5,MAX(0,MAX(0,Inputs!$B$44-B155)-((R124-1)*IF(Inputs!$B$39="pvp",15,MAX(0.1,Skills!D5-IF(Skills!E5=TRUE,Inputs!$B$33,0))))))/Skills!H5,1)))/Inputs!$B$44),G124*Q124))*IF(Inputs!$B$39="pvp",1,1+(Inputs!$B$21+0+Skills!P5+((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0)</f>
        <v/>
      </c>
      <c r="V124">
        <f>IF(C124,(H124*N124*IF(AND(Inputs!$B$39&lt;&gt;"pvp",Inputs!$B$44&gt;0),((Skills!G5*((R124-1)*IF(Skills!H5&gt;0,Skills!I5/Skills!H5,1)+IF(Skills!H5&gt;0,MIN(Skills!I5,MAX(0,MAX(0,Inputs!$B$44-B155)-((R124-1)*IF(Inputs!$B$39="pvp",15,MAX(0.1,Skills!D5-IF(Skills!E5=TRUE,Inputs!$B$33,0))))))/Skills!H5,1)))/Inputs!$B$44),G124*Q124))*IF(Inputs!$B$39="pvp",1,(1+(Inputs!$B$22+Skills!Q5+((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MIN(Skills!R5,Inputs!$B$38))),0)</f>
        <v/>
      </c>
    </row>
    <row r="125">
      <c r="A125">
        <f>Skills!A6</f>
        <v/>
      </c>
      <c r="B125">
        <f>Skills!B6</f>
        <v/>
      </c>
      <c r="C125">
        <f>Inputs!$B$3&gt;=103</f>
        <v/>
      </c>
      <c r="D125">
        <f>IF(Skills!C6=1,60+Inputs!$B$26+Inputs!$B$30,IF(Skills!C6=2,90+Inputs!$B$27+Inputs!$B$30,IF(Skills!C6=3,120+Inputs!$B$28+Inputs!$B$30,MAX(0,(Inputs!$B$3-100)*3)+Inputs!$B$29+Inputs!$B$30)))</f>
        <v/>
      </c>
      <c r="E125">
        <f>INDEX(FactorTable!$B$2:$Y$301, MATCH(ROUND(MIN(300,MAX(1,D125)),0), FactorTable!$A$2:$A$301,0), Skills!M6+1)</f>
        <v/>
      </c>
      <c r="F125">
        <f>IF(Skills!N6=TRUE,(Skills!L6/10)*(E125/1000),Skills!L6/10)+Skills!O6</f>
        <v/>
      </c>
      <c r="G125">
        <f>Skills!G6*IF(Skills!H6&gt;0,Skills!I6/Skills!H6,1)</f>
        <v/>
      </c>
      <c r="H125">
        <f>1-(1-Skills!J6/100)^Skills!K6</f>
        <v/>
      </c>
      <c r="I125" t="inlineStr">
        <is>
          <t>1</t>
        </is>
      </c>
      <c r="J125">
        <f>((Inputs!$B$6*(1+Inputs!$B$7/100))+(((Inputs!$B$13*(1+Inputs!$B$14/100))-(Inputs!$B$13*(1+Inputs!$B$14/100)))+0.25*((Inputs!$B$15+1)-Inputs!$B$15))*(1+Inputs!$B$7/100))*(F125/100)</f>
        <v/>
      </c>
      <c r="K125">
        <f>J125*(1+(((Inputs!$B$13+IF(Inputs!$B$3&gt;=38,(10*INDEX(FactorTable!$B$2:$Y$301, MATCH(ROUND(MIN(300,MAX(1,Inputs!$B$3)),0), FactorTable!$A$2:$A$301,0), 23)/1000)/100*(Inputs!$B$8*(1+Inputs!$B$9/100)),0))*(1+Inputs!$B$14/100))*0.01+(Inputs!$B$15+1)*0.0025)/100)*(1+Inputs!$B$16/100)*(1+Inputs!$B$17/100)*(5000/(6000+Inputs!$B$43*(1-(Inputs!$B$20+0)/100)))*(1+(Inputs!$B$25+((C144=TRUE)*(F144-Calc!F25))+((C145=TRUE)*(F145-Calc!F26))+B154)/100)*(1+(IF(Skills!A6="DARK_IMPALE",Inputs!$B$18+0,Inputs!$B$19+((C142=TRUE)*(F142-Calc!F23))))/100)*((1+(((C132=TRUE)*F132*IF(AND(Inputs!$B$39&lt;&gt;"pvp",Inputs!$B$44&gt;0),(((R132-1)*(Skills!T13*(1+Inputs!$B$35/100))+MIN((Skills!T13*(1+Inputs!$B$35/100)),MAX(0,Inputs!$B$44-((R132-1)*Skills!D13))))/Inputs!$B$44),IF(Inputs!$B$39="pvp",MIN((Skills!T13*(1+Inputs!$B$35/100)),15)/15,(Skills!T13*(1+Inputs!$B$35/100))/Skills!D13)))+((C133=TRUE)*F133*IF(AND(Inputs!$B$39&lt;&gt;"pvp",Inputs!$B$44&gt;0),(((R133-1)*(Skills!T14*(1+Inputs!$B$35/100))+MIN((Skills!T14*(1+Inputs!$B$35/100)),MAX(0,Inputs!$B$44-((R133-1)*Skills!D14))))/Inputs!$B$44),IF(Inputs!$B$39="pvp",MIN((Skills!T14*(1+Inputs!$B$35/100)),15)/15,(Skills!T14*(1+Inputs!$B$35/100))/Skills!D14)))+((C134=TRUE)*F134*IF(AND(Inputs!$B$39&lt;&gt;"pvp",Inputs!$B$44&gt;0),(((R134-1)*(Skills!T15*(1+Inputs!$B$35/100))+MIN((Skills!T15*(1+Inputs!$B$35/100)),MAX(0,Inputs!$B$44-((R134-1)*Skills!D15))))/Inputs!$B$44),IF(Inputs!$B$39="pvp",MIN((Skills!T15*(1+Inputs!$B$35/100)),15)/15,(Skills!T15*(1+Inputs!$B$35/100))/Skills!D15)))+((C135=TRUE)*F135*IF(AND(Inputs!$B$39&lt;&gt;"pvp",Inputs!$B$44&gt;0),(((R135-1)*(Skills!T16*(1+Inputs!$B$35/100))+MIN((Skills!T16*(1+Inputs!$B$35/100)),MAX(0,Inputs!$B$44-((R135-1)*Skills!D16))))/Inputs!$B$44),IF(Inputs!$B$39="pvp",MIN((Skills!T16*(1+Inputs!$B$35/100)),15)/15,(Skills!T16*(1+Inputs!$B$35/100))/Skills!D16)))+0)/100)*I125)</f>
        <v/>
      </c>
      <c r="L125">
        <f>K125*(MIN(Inputs!$B$23+((C141=TRUE)*(F141-Calc!F22)),Inputs!$B$24+((C143=TRUE)*(F143-Calc!F24)))/100+(Inputs!$B$24+((C143=TRUE)*(F143-Calc!F24)))/100)/2</f>
        <v/>
      </c>
      <c r="M125">
        <f>L125*(1+(Inputs!$B$11+0+B153)/100)</f>
        <v/>
      </c>
      <c r="N125">
        <f>L125*(1-MIN((Inputs!$B$10+0+B148),100)/100)+M125*(MIN((Inputs!$B$10+0+B148),100)/100)</f>
        <v/>
      </c>
      <c r="O125">
        <f>(1-Summary!$B$55)*T125+Summary!$B$55*V125</f>
        <v/>
      </c>
      <c r="P125">
        <f>IF(B158=0,0,O125/B158)</f>
        <v/>
      </c>
      <c r="Q125">
        <f>IFERROR(1/IF(Inputs!$B$39="pvp",15,MAX(0.1,Skills!D6-IF(Skills!E6=TRUE,Inputs!$B$33,0))),0)</f>
        <v/>
      </c>
      <c r="R125">
        <f>IF(AND(Inputs!$B$39&lt;&gt;"pvp",Inputs!$B$44&gt;0),IF(MAX(0,Inputs!$B$44-B155)&lt;=0,0,(INT(MAX(0,Inputs!$B$44-B155)/IF(Inputs!$B$39="pvp",15,MAX(0.1,Skills!D6-IF(Skills!E6=TRUE,Inputs!$B$33,0))))+1)),0)</f>
        <v/>
      </c>
      <c r="S125">
        <f>IFERROR(O125/N125,0)</f>
        <v/>
      </c>
      <c r="T125">
        <f>IF(C125,(H125*N125*IF(AND(Inputs!$B$39&lt;&gt;"pvp",Inputs!$B$44&gt;0),((Skills!G6*((R125-1)*IF(Skills!H6&gt;0,Skills!I6/Skills!H6,1)+IF(Skills!H6&gt;0,MIN(Skills!I6,MAX(0,MAX(0,Inputs!$B$44-B155)-((R125-1)*IF(Inputs!$B$39="pvp",15,MAX(0.1,Skills!D6-IF(Skills!E6=TRUE,Inputs!$B$33,0))))))/Skills!H6,1)))/Inputs!$B$44),G125*Q125))*IF(Inputs!$B$39="pvp",1,1+(Inputs!$B$21+0+Skills!P6+((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0)</f>
        <v/>
      </c>
      <c r="V125">
        <f>IF(C125,(H125*N125*IF(AND(Inputs!$B$39&lt;&gt;"pvp",Inputs!$B$44&gt;0),((Skills!G6*((R125-1)*IF(Skills!H6&gt;0,Skills!I6/Skills!H6,1)+IF(Skills!H6&gt;0,MIN(Skills!I6,MAX(0,MAX(0,Inputs!$B$44-B155)-((R125-1)*IF(Inputs!$B$39="pvp",15,MAX(0.1,Skills!D6-IF(Skills!E6=TRUE,Inputs!$B$33,0))))))/Skills!H6,1)))/Inputs!$B$44),G125*Q125))*IF(Inputs!$B$39="pvp",1,(1+(Inputs!$B$22+Skills!Q6+((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MIN(Skills!R6,Inputs!$B$38))),0)</f>
        <v/>
      </c>
    </row>
    <row r="126">
      <c r="A126">
        <f>Skills!A7</f>
        <v/>
      </c>
      <c r="B126">
        <f>Skills!B7</f>
        <v/>
      </c>
      <c r="C126">
        <f>Inputs!$B$3&gt;=40</f>
        <v/>
      </c>
      <c r="D126">
        <f>IF(Skills!C7=1,60+Inputs!$B$26+Inputs!$B$30,IF(Skills!C7=2,90+Inputs!$B$27+Inputs!$B$30,IF(Skills!C7=3,120+Inputs!$B$28+Inputs!$B$30,MAX(0,(Inputs!$B$3-100)*3)+Inputs!$B$29+Inputs!$B$30)))</f>
        <v/>
      </c>
      <c r="E126">
        <f>INDEX(FactorTable!$B$2:$Y$301, MATCH(ROUND(MIN(300,MAX(1,D126)),0), FactorTable!$A$2:$A$301,0), Skills!M7+1)</f>
        <v/>
      </c>
      <c r="F126">
        <f>IF(Skills!N7=TRUE,(Skills!L7/10)*(E126/1000),Skills!L7/10)+Skills!O7</f>
        <v/>
      </c>
      <c r="G126">
        <f>Skills!G7*IF(Skills!H7&gt;0,Skills!I7/Skills!H7,1)</f>
        <v/>
      </c>
      <c r="H126">
        <f>1-(1-Skills!J7/100)^Skills!K7</f>
        <v/>
      </c>
      <c r="I126" t="inlineStr">
        <is>
          <t>1</t>
        </is>
      </c>
      <c r="J126">
        <f>((Inputs!$B$6*(1+Inputs!$B$7/100))+(((Inputs!$B$13*(1+Inputs!$B$14/100))-(Inputs!$B$13*(1+Inputs!$B$14/100)))+0.25*((Inputs!$B$15+1)-Inputs!$B$15))*(1+Inputs!$B$7/100))*(F126/100)</f>
        <v/>
      </c>
      <c r="K126">
        <f>J126*(1+(((Inputs!$B$13+IF(Inputs!$B$3&gt;=38,(10*INDEX(FactorTable!$B$2:$Y$301, MATCH(ROUND(MIN(300,MAX(1,Inputs!$B$3)),0), FactorTable!$A$2:$A$301,0), 23)/1000)/100*(Inputs!$B$8*(1+Inputs!$B$9/100)),0))*(1+Inputs!$B$14/100))*0.01+(Inputs!$B$15+1)*0.0025)/100)*(1+Inputs!$B$16/100)*(1+Inputs!$B$17/100)*(5000/(6000+Inputs!$B$43*(1-(Inputs!$B$20+0)/100)))*(1+(Inputs!$B$25+((C144=TRUE)*(F144-Calc!F25))+((C145=TRUE)*(F145-Calc!F26))+B154)/100)*(1+0.75*IF(C130=TRUE,F130,0)/100)*(1+(IF(Skills!A7="DARK_IMPALE",Inputs!$B$18+0,Inputs!$B$19+((C142=TRUE)*(F142-Calc!F23))))/100)*((1+(((C132=TRUE)*F132*IF(AND(Inputs!$B$39&lt;&gt;"pvp",Inputs!$B$44&gt;0),(((R132-1)*(Skills!T13*(1+Inputs!$B$35/100))+MIN((Skills!T13*(1+Inputs!$B$35/100)),MAX(0,Inputs!$B$44-((R132-1)*Skills!D13))))/Inputs!$B$44),IF(Inputs!$B$39="pvp",MIN((Skills!T13*(1+Inputs!$B$35/100)),15)/15,(Skills!T13*(1+Inputs!$B$35/100))/Skills!D13)))+((C133=TRUE)*F133*IF(AND(Inputs!$B$39&lt;&gt;"pvp",Inputs!$B$44&gt;0),(((R133-1)*(Skills!T14*(1+Inputs!$B$35/100))+MIN((Skills!T14*(1+Inputs!$B$35/100)),MAX(0,Inputs!$B$44-((R133-1)*Skills!D14))))/Inputs!$B$44),IF(Inputs!$B$39="pvp",MIN((Skills!T14*(1+Inputs!$B$35/100)),15)/15,(Skills!T14*(1+Inputs!$B$35/100))/Skills!D14)))+((C134=TRUE)*F134*IF(AND(Inputs!$B$39&lt;&gt;"pvp",Inputs!$B$44&gt;0),(((R134-1)*(Skills!T15*(1+Inputs!$B$35/100))+MIN((Skills!T15*(1+Inputs!$B$35/100)),MAX(0,Inputs!$B$44-((R134-1)*Skills!D15))))/Inputs!$B$44),IF(Inputs!$B$39="pvp",MIN((Skills!T15*(1+Inputs!$B$35/100)),15)/15,(Skills!T15*(1+Inputs!$B$35/100))/Skills!D15)))+((C135=TRUE)*F135*IF(AND(Inputs!$B$39&lt;&gt;"pvp",Inputs!$B$44&gt;0),(((R135-1)*(Skills!T16*(1+Inputs!$B$35/100))+MIN((Skills!T16*(1+Inputs!$B$35/100)),MAX(0,Inputs!$B$44-((R135-1)*Skills!D16))))/Inputs!$B$44),IF(Inputs!$B$39="pvp",MIN((Skills!T16*(1+Inputs!$B$35/100)),15)/15,(Skills!T16*(1+Inputs!$B$35/100))/Skills!D16)))+0)/100)*I126)</f>
        <v/>
      </c>
      <c r="L126">
        <f>K126*(MIN(Inputs!$B$23+((C141=TRUE)*(F141-Calc!F22)),Inputs!$B$24+((C143=TRUE)*(F143-Calc!F24)))/100+(Inputs!$B$24+((C143=TRUE)*(F143-Calc!F24)))/100)/2</f>
        <v/>
      </c>
      <c r="M126">
        <f>L126*(1+(Inputs!$B$11+0+B153)/100)</f>
        <v/>
      </c>
      <c r="N126">
        <f>L126*(1-MIN((Inputs!$B$10+0+B148),100)/100)+M126*(MIN((Inputs!$B$10+0+B148),100)/100)</f>
        <v/>
      </c>
      <c r="O126">
        <f>(1-Summary!$B$55)*T126+Summary!$B$55*V126</f>
        <v/>
      </c>
      <c r="P126">
        <f>IF(B158=0,0,O126/B158)</f>
        <v/>
      </c>
      <c r="Q126">
        <f>IFERROR(1/IF(Inputs!$B$39="pvp",15,MAX(0.1,Skills!D7-IF(Skills!E7=TRUE,Inputs!$B$33,0))),0)</f>
        <v/>
      </c>
      <c r="R126">
        <f>IF(AND(Inputs!$B$39&lt;&gt;"pvp",Inputs!$B$44&gt;0),IF(MAX(0,Inputs!$B$44-B155)&lt;=0,0,(INT(MAX(0,Inputs!$B$44-B155)/IF(Inputs!$B$39="pvp",15,MAX(0.1,Skills!D7-IF(Skills!E7=TRUE,Inputs!$B$33,0))))+1)),0)</f>
        <v/>
      </c>
      <c r="S126">
        <f>IFERROR(O126/N126,0)</f>
        <v/>
      </c>
      <c r="T126">
        <f>IF(C126,(H126*N126*IF(AND(Inputs!$B$39&lt;&gt;"pvp",Inputs!$B$44&gt;0),((Skills!G7*((R126-1)*IF(Skills!H7&gt;0,Skills!I7/Skills!H7,1)+IF(Skills!H7&gt;0,MIN(Skills!I7,MAX(0,MAX(0,Inputs!$B$44-B155)-((R126-1)*IF(Inputs!$B$39="pvp",15,MAX(0.1,Skills!D7-IF(Skills!E7=TRUE,Inputs!$B$33,0))))))/Skills!H7,1)))/Inputs!$B$44),G126*Q126))*IF(Inputs!$B$39="pvp",1,1+(Inputs!$B$21+0+Skills!P7+((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0)</f>
        <v/>
      </c>
      <c r="V126">
        <f>IF(C126,(H126*N126*IF(AND(Inputs!$B$39&lt;&gt;"pvp",Inputs!$B$44&gt;0),((Skills!G7*((R126-1)*IF(Skills!H7&gt;0,Skills!I7/Skills!H7,1)+IF(Skills!H7&gt;0,MIN(Skills!I7,MAX(0,MAX(0,Inputs!$B$44-B155)-((R126-1)*IF(Inputs!$B$39="pvp",15,MAX(0.1,Skills!D7-IF(Skills!E7=TRUE,Inputs!$B$33,0))))))/Skills!H7,1)))/Inputs!$B$44),G126*Q126))*IF(Inputs!$B$39="pvp",1,(1+(Inputs!$B$22+Skills!Q7+((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MIN(Skills!R7,Inputs!$B$38))),0)</f>
        <v/>
      </c>
    </row>
    <row r="127">
      <c r="A127">
        <f>Skills!A8</f>
        <v/>
      </c>
      <c r="B127">
        <f>Skills!B8</f>
        <v/>
      </c>
      <c r="C127">
        <f>Inputs!$B$3&gt;=75</f>
        <v/>
      </c>
      <c r="D127">
        <f>IF(Skills!C8=1,60+Inputs!$B$26+Inputs!$B$30,IF(Skills!C8=2,90+Inputs!$B$27+Inputs!$B$30,IF(Skills!C8=3,120+Inputs!$B$28+Inputs!$B$30,MAX(0,(Inputs!$B$3-100)*3)+Inputs!$B$29+Inputs!$B$30)))</f>
        <v/>
      </c>
      <c r="E127">
        <f>INDEX(FactorTable!$B$2:$Y$301, MATCH(ROUND(MIN(300,MAX(1,D127)),0), FactorTable!$A$2:$A$301,0), Skills!M8+1)</f>
        <v/>
      </c>
      <c r="F127">
        <f>IF(Skills!N8=TRUE,(Skills!L8/10)*(E127/1000),Skills!L8/10)+Skills!O8</f>
        <v/>
      </c>
      <c r="G127" t="inlineStr"/>
      <c r="H127" t="inlineStr"/>
      <c r="I127" t="inlineStr">
        <is>
          <t>1</t>
        </is>
      </c>
      <c r="J127" t="inlineStr"/>
      <c r="K127" t="inlineStr"/>
      <c r="L127" t="inlineStr"/>
      <c r="M127" t="inlineStr"/>
      <c r="N127" t="inlineStr"/>
      <c r="O127" t="inlineStr"/>
      <c r="P127" t="inlineStr"/>
      <c r="Q127" t="inlineStr"/>
      <c r="R127" t="inlineStr"/>
      <c r="S127" t="inlineStr"/>
    </row>
    <row r="128">
      <c r="A128">
        <f>Skills!A9</f>
        <v/>
      </c>
      <c r="B128">
        <f>Skills!B9</f>
        <v/>
      </c>
      <c r="C128">
        <f>Inputs!$B$3&gt;=60</f>
        <v/>
      </c>
      <c r="D128">
        <f>IF(Skills!C9=1,60+Inputs!$B$26+Inputs!$B$30,IF(Skills!C9=2,90+Inputs!$B$27+Inputs!$B$30,IF(Skills!C9=3,120+Inputs!$B$28+Inputs!$B$30,MAX(0,(Inputs!$B$3-100)*3)+Inputs!$B$29+Inputs!$B$30)))</f>
        <v/>
      </c>
      <c r="E128">
        <f>INDEX(FactorTable!$B$2:$Y$301, MATCH(ROUND(MIN(300,MAX(1,D128)),0), FactorTable!$A$2:$A$301,0), Skills!M9+1)</f>
        <v/>
      </c>
      <c r="F128">
        <f>IF(Skills!N9=TRUE,(Skills!L9/10)*(E128/1000),Skills!L9/10)+Skills!O9</f>
        <v/>
      </c>
      <c r="G128">
        <f>Skills!G9*IF(Skills!H9&gt;0,Skills!I9/Skills!H9,1)</f>
        <v/>
      </c>
      <c r="H128">
        <f>1-(1-Skills!J9/100)^Skills!K9</f>
        <v/>
      </c>
      <c r="I128" t="inlineStr">
        <is>
          <t>1</t>
        </is>
      </c>
      <c r="J128">
        <f>((Inputs!$B$6*(1+Inputs!$B$7/100))+(((Inputs!$B$13*(1+Inputs!$B$14/100))-(Inputs!$B$13*(1+Inputs!$B$14/100)))+0.25*((Inputs!$B$15+1)-Inputs!$B$15))*(1+Inputs!$B$7/100))*(F128/100)</f>
        <v/>
      </c>
      <c r="K128">
        <f>J128*(1+(((Inputs!$B$13+IF(Inputs!$B$3&gt;=38,(10*INDEX(FactorTable!$B$2:$Y$301, MATCH(ROUND(MIN(300,MAX(1,Inputs!$B$3)),0), FactorTable!$A$2:$A$301,0), 23)/1000)/100*(Inputs!$B$8*(1+Inputs!$B$9/100)),0))*(1+Inputs!$B$14/100))*0.01+(Inputs!$B$15+1)*0.0025)/100)*(1+Inputs!$B$16/100)*(1+Inputs!$B$17/100)*(5000/(6000+Inputs!$B$43*(1-(Inputs!$B$20+0)/100)))*(1+(Inputs!$B$25+((C144=TRUE)*(F144-Calc!F25))+((C145=TRUE)*(F145-Calc!F26))+B154)/100)*(1+1.0*IF(C130=TRUE,F130,0)/100)*(1+(IF(Skills!A9="DARK_IMPALE",Inputs!$B$18+0,Inputs!$B$19+((C142=TRUE)*(F142-Calc!F23))))/100)*((1+(((C132=TRUE)*F132*IF(AND(Inputs!$B$39&lt;&gt;"pvp",Inputs!$B$44&gt;0),(((R132-1)*(Skills!T13*(1+Inputs!$B$35/100))+MIN((Skills!T13*(1+Inputs!$B$35/100)),MAX(0,Inputs!$B$44-((R132-1)*Skills!D13))))/Inputs!$B$44),IF(Inputs!$B$39="pvp",MIN((Skills!T13*(1+Inputs!$B$35/100)),15)/15,(Skills!T13*(1+Inputs!$B$35/100))/Skills!D13)))+((C133=TRUE)*F133*IF(AND(Inputs!$B$39&lt;&gt;"pvp",Inputs!$B$44&gt;0),(((R133-1)*(Skills!T14*(1+Inputs!$B$35/100))+MIN((Skills!T14*(1+Inputs!$B$35/100)),MAX(0,Inputs!$B$44-((R133-1)*Skills!D14))))/Inputs!$B$44),IF(Inputs!$B$39="pvp",MIN((Skills!T14*(1+Inputs!$B$35/100)),15)/15,(Skills!T14*(1+Inputs!$B$35/100))/Skills!D14)))+((C134=TRUE)*F134*IF(AND(Inputs!$B$39&lt;&gt;"pvp",Inputs!$B$44&gt;0),(((R134-1)*(Skills!T15*(1+Inputs!$B$35/100))+MIN((Skills!T15*(1+Inputs!$B$35/100)),MAX(0,Inputs!$B$44-((R134-1)*Skills!D15))))/Inputs!$B$44),IF(Inputs!$B$39="pvp",MIN((Skills!T15*(1+Inputs!$B$35/100)),15)/15,(Skills!T15*(1+Inputs!$B$35/100))/Skills!D15)))+((C135=TRUE)*F135*IF(AND(Inputs!$B$39&lt;&gt;"pvp",Inputs!$B$44&gt;0),(((R135-1)*(Skills!T16*(1+Inputs!$B$35/100))+MIN((Skills!T16*(1+Inputs!$B$35/100)),MAX(0,Inputs!$B$44-((R135-1)*Skills!D16))))/Inputs!$B$44),IF(Inputs!$B$39="pvp",MIN((Skills!T16*(1+Inputs!$B$35/100)),15)/15,(Skills!T16*(1+Inputs!$B$35/100))/Skills!D16)))+0)/100)*I128)</f>
        <v/>
      </c>
      <c r="L128">
        <f>K128*(MIN(Inputs!$B$23+((C141=TRUE)*(F141-Calc!F22)),Inputs!$B$24+((C143=TRUE)*(F143-Calc!F24)))/100+(Inputs!$B$24+((C143=TRUE)*(F143-Calc!F24)))/100)/2</f>
        <v/>
      </c>
      <c r="M128">
        <f>L128*(1+(Inputs!$B$11+0+B153)/100)</f>
        <v/>
      </c>
      <c r="N128">
        <f>L128*(1-MIN((Inputs!$B$10+0+B148),100)/100)+M128*(MIN((Inputs!$B$10+0+B148),100)/100)</f>
        <v/>
      </c>
      <c r="O128">
        <f>(1-Summary!$B$55)*T128+Summary!$B$55*V128</f>
        <v/>
      </c>
      <c r="P128">
        <f>IF(B158=0,0,O128/B158)</f>
        <v/>
      </c>
      <c r="Q128">
        <f>IFERROR(1/IF(Inputs!$B$39="pvp",15,MAX(0.1,Skills!D9-IF(Skills!E9=TRUE,Inputs!$B$33,0))),0)</f>
        <v/>
      </c>
      <c r="R128">
        <f>IF(AND(Inputs!$B$39&lt;&gt;"pvp",Inputs!$B$44&gt;0),IF(MAX(0,Inputs!$B$44-B155)&lt;=0,0,(INT(MAX(0,Inputs!$B$44-B155)/IF(Inputs!$B$39="pvp",15,MAX(0.1,Skills!D9-IF(Skills!E9=TRUE,Inputs!$B$33,0))))+1)),0)</f>
        <v/>
      </c>
      <c r="S128">
        <f>IFERROR(O128/N128,0)</f>
        <v/>
      </c>
      <c r="T128">
        <f>IF(C128,(H128*N128*IF(AND(Inputs!$B$39&lt;&gt;"pvp",Inputs!$B$44&gt;0),((Skills!G9*((R128-1)*IF(Skills!H9&gt;0,Skills!I9/Skills!H9,1)+IF(Skills!H9&gt;0,MIN(Skills!I9,MAX(0,MAX(0,Inputs!$B$44-B155)-((R128-1)*IF(Inputs!$B$39="pvp",15,MAX(0.1,Skills!D9-IF(Skills!E9=TRUE,Inputs!$B$33,0))))))/Skills!H9,1)))/Inputs!$B$44),G128*Q128))*IF(Inputs!$B$39="pvp",1,1+(Inputs!$B$21+0+Skills!P9+((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0)</f>
        <v/>
      </c>
      <c r="V128">
        <f>IF(C128,(H128*N128*IF(AND(Inputs!$B$39&lt;&gt;"pvp",Inputs!$B$44&gt;0),((Skills!G9*((R128-1)*IF(Skills!H9&gt;0,Skills!I9/Skills!H9,1)+IF(Skills!H9&gt;0,MIN(Skills!I9,MAX(0,MAX(0,Inputs!$B$44-B155)-((R128-1)*IF(Inputs!$B$39="pvp",15,MAX(0.1,Skills!D9-IF(Skills!E9=TRUE,Inputs!$B$33,0))))))/Skills!H9,1)))/Inputs!$B$44),G128*Q128))*IF(Inputs!$B$39="pvp",1,(1+(Inputs!$B$22+Skills!Q9+((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MIN(Skills!R9,Inputs!$B$38))),0)</f>
        <v/>
      </c>
    </row>
    <row r="129">
      <c r="A129">
        <f>Skills!A10</f>
        <v/>
      </c>
      <c r="B129">
        <f>Skills!B10</f>
        <v/>
      </c>
      <c r="C129">
        <f>Inputs!$B$3&gt;=110</f>
        <v/>
      </c>
      <c r="D129">
        <f>IF(Skills!C10=1,60+Inputs!$B$26+Inputs!$B$30,IF(Skills!C10=2,90+Inputs!$B$27+Inputs!$B$30,IF(Skills!C10=3,120+Inputs!$B$28+Inputs!$B$30,MAX(0,(Inputs!$B$3-100)*3)+Inputs!$B$29+Inputs!$B$30)))</f>
        <v/>
      </c>
      <c r="E129">
        <f>INDEX(FactorTable!$B$2:$Y$301, MATCH(ROUND(MIN(300,MAX(1,D129)),0), FactorTable!$A$2:$A$301,0), Skills!M10+1)</f>
        <v/>
      </c>
      <c r="F129">
        <f>IF(Skills!N10=TRUE,(Skills!L10/10)*(E129/1000),Skills!L10/10)+Skills!O10</f>
        <v/>
      </c>
      <c r="G129">
        <f>Skills!G10*IF(Skills!H10&gt;0,Skills!I10/Skills!H10,1)</f>
        <v/>
      </c>
      <c r="H129">
        <f>1-(1-Skills!J10/100)^Skills!K10</f>
        <v/>
      </c>
      <c r="I129" t="inlineStr">
        <is>
          <t>1</t>
        </is>
      </c>
      <c r="J129">
        <f>((Inputs!$B$6*(1+Inputs!$B$7/100))+(((Inputs!$B$13*(1+Inputs!$B$14/100))-(Inputs!$B$13*(1+Inputs!$B$14/100)))+0.25*((Inputs!$B$15+1)-Inputs!$B$15))*(1+Inputs!$B$7/100))*(F129/100)</f>
        <v/>
      </c>
      <c r="K129">
        <f>J129*(1+(((Inputs!$B$13+IF(Inputs!$B$3&gt;=38,(10*INDEX(FactorTable!$B$2:$Y$301, MATCH(ROUND(MIN(300,MAX(1,Inputs!$B$3)),0), FactorTable!$A$2:$A$301,0), 23)/1000)/100*(Inputs!$B$8*(1+Inputs!$B$9/100)),0))*(1+Inputs!$B$14/100))*0.01+(Inputs!$B$15+1)*0.0025)/100)*(1+Inputs!$B$16/100)*(1+Inputs!$B$17/100)*(5000/(6000+Inputs!$B$43*(1-(Inputs!$B$20+0)/100)))*(1+(Inputs!$B$25+((C144=TRUE)*(F144-Calc!F25))+((C145=TRUE)*(F145-Calc!F26))+B154)/100)*(1+(IF(Skills!A10="DARK_IMPALE",Inputs!$B$18+0,Inputs!$B$19+((C142=TRUE)*(F142-Calc!F23))))/100)*((1+(((C132=TRUE)*F132*IF(AND(Inputs!$B$39&lt;&gt;"pvp",Inputs!$B$44&gt;0),(((R132-1)*(Skills!T13*(1+Inputs!$B$35/100))+MIN((Skills!T13*(1+Inputs!$B$35/100)),MAX(0,Inputs!$B$44-((R132-1)*Skills!D13))))/Inputs!$B$44),IF(Inputs!$B$39="pvp",MIN((Skills!T13*(1+Inputs!$B$35/100)),15)/15,(Skills!T13*(1+Inputs!$B$35/100))/Skills!D13)))+((C133=TRUE)*F133*IF(AND(Inputs!$B$39&lt;&gt;"pvp",Inputs!$B$44&gt;0),(((R133-1)*(Skills!T14*(1+Inputs!$B$35/100))+MIN((Skills!T14*(1+Inputs!$B$35/100)),MAX(0,Inputs!$B$44-((R133-1)*Skills!D14))))/Inputs!$B$44),IF(Inputs!$B$39="pvp",MIN((Skills!T14*(1+Inputs!$B$35/100)),15)/15,(Skills!T14*(1+Inputs!$B$35/100))/Skills!D14)))+((C134=TRUE)*F134*IF(AND(Inputs!$B$39&lt;&gt;"pvp",Inputs!$B$44&gt;0),(((R134-1)*(Skills!T15*(1+Inputs!$B$35/100))+MIN((Skills!T15*(1+Inputs!$B$35/100)),MAX(0,Inputs!$B$44-((R134-1)*Skills!D15))))/Inputs!$B$44),IF(Inputs!$B$39="pvp",MIN((Skills!T15*(1+Inputs!$B$35/100)),15)/15,(Skills!T15*(1+Inputs!$B$35/100))/Skills!D15)))+((C135=TRUE)*F135*IF(AND(Inputs!$B$39&lt;&gt;"pvp",Inputs!$B$44&gt;0),(((R135-1)*(Skills!T16*(1+Inputs!$B$35/100))+MIN((Skills!T16*(1+Inputs!$B$35/100)),MAX(0,Inputs!$B$44-((R135-1)*Skills!D16))))/Inputs!$B$44),IF(Inputs!$B$39="pvp",MIN((Skills!T16*(1+Inputs!$B$35/100)),15)/15,(Skills!T16*(1+Inputs!$B$35/100))/Skills!D16)))+0)/100)*I129)</f>
        <v/>
      </c>
      <c r="L129">
        <f>K129*(MIN(Inputs!$B$23+((C141=TRUE)*(F141-Calc!F22)),Inputs!$B$24+((C143=TRUE)*(F143-Calc!F24)))/100+(Inputs!$B$24+((C143=TRUE)*(F143-Calc!F24)))/100)/2</f>
        <v/>
      </c>
      <c r="M129">
        <f>L129*(1+(Inputs!$B$11+0+B153)/100)</f>
        <v/>
      </c>
      <c r="N129">
        <f>L129*(1-MIN((Inputs!$B$10+0+B148),100)/100)+M129*(MIN((Inputs!$B$10+0+B148),100)/100)</f>
        <v/>
      </c>
      <c r="O129">
        <f>(1-Summary!$B$55)*T129+Summary!$B$55*V129</f>
        <v/>
      </c>
      <c r="P129">
        <f>IF(B158=0,0,O129/B158)</f>
        <v/>
      </c>
      <c r="Q129">
        <f>IFERROR(1/IF(Inputs!$B$39="pvp",15,MAX(0.1,Skills!D10-IF(Skills!E10=TRUE,Inputs!$B$33,0))),0)</f>
        <v/>
      </c>
      <c r="R129">
        <f>IF(AND(Inputs!$B$39&lt;&gt;"pvp",Inputs!$B$44&gt;0),IF(MAX(0,Inputs!$B$44-B155)&lt;=0,0,(INT(MAX(0,Inputs!$B$44-B155)/IF(Inputs!$B$39="pvp",15,MAX(0.1,Skills!D10-IF(Skills!E10=TRUE,Inputs!$B$33,0))))+1)),0)</f>
        <v/>
      </c>
      <c r="S129">
        <f>IFERROR(O129/N129,0)</f>
        <v/>
      </c>
      <c r="T129">
        <f>IF(C129,(H129*N129*IF(AND(Inputs!$B$39&lt;&gt;"pvp",Inputs!$B$44&gt;0),((Skills!G10*((R129-1)*IF(Skills!H10&gt;0,Skills!I10/Skills!H10,1)+IF(Skills!H10&gt;0,MIN(Skills!I10,MAX(0,MAX(0,Inputs!$B$44-B155)-((R129-1)*IF(Inputs!$B$39="pvp",15,MAX(0.1,Skills!D10-IF(Skills!E10=TRUE,Inputs!$B$33,0))))))/Skills!H10,1)))/Inputs!$B$44),G129*Q129))*IF(Inputs!$B$39="pvp",1,1+(Inputs!$B$21+0+Skills!P10+((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0)</f>
        <v/>
      </c>
      <c r="V129">
        <f>IF(C129,(H129*N129*IF(AND(Inputs!$B$39&lt;&gt;"pvp",Inputs!$B$44&gt;0),((Skills!G10*((R129-1)*IF(Skills!H10&gt;0,Skills!I10/Skills!H10,1)+IF(Skills!H10&gt;0,MIN(Skills!I10,MAX(0,MAX(0,Inputs!$B$44-B155)-((R129-1)*IF(Inputs!$B$39="pvp",15,MAX(0.1,Skills!D10-IF(Skills!E10=TRUE,Inputs!$B$33,0))))))/Skills!H10,1)))/Inputs!$B$44),G129*Q129))*IF(Inputs!$B$39="pvp",1,(1+(Inputs!$B$22+Skills!Q10+((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MIN(Skills!R10,Inputs!$B$38))),0)</f>
        <v/>
      </c>
    </row>
    <row r="130">
      <c r="A130">
        <f>Skills!A11</f>
        <v/>
      </c>
      <c r="B130">
        <f>Skills!B11</f>
        <v/>
      </c>
      <c r="C130">
        <f>Inputs!$B$3&gt;=100</f>
        <v/>
      </c>
      <c r="D130">
        <f>IF(Skills!C11=1,60+Inputs!$B$26+Inputs!$B$30,IF(Skills!C11=2,90+Inputs!$B$27+Inputs!$B$30,IF(Skills!C11=3,120+Inputs!$B$28+Inputs!$B$30,MAX(0,(Inputs!$B$3-100)*3)+Inputs!$B$29+Inputs!$B$30)))</f>
        <v/>
      </c>
      <c r="E130">
        <f>INDEX(FactorTable!$B$2:$Y$301, MATCH(ROUND(MIN(300,MAX(1,D130)),0), FactorTable!$A$2:$A$301,0), Skills!M11+1)</f>
        <v/>
      </c>
      <c r="F130">
        <f>IF(Skills!N11=TRUE,(Skills!L11/10)*(E130/1000),Skills!L11/10)+Skills!O11</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Skills!A12</f>
        <v/>
      </c>
      <c r="B131">
        <f>Skills!B12</f>
        <v/>
      </c>
      <c r="C131">
        <f>Inputs!$B$3&gt;=63</f>
        <v/>
      </c>
      <c r="D131">
        <f>IF(Skills!C12=1,60+Inputs!$B$26+Inputs!$B$30,IF(Skills!C12=2,90+Inputs!$B$27+Inputs!$B$30,IF(Skills!C12=3,120+Inputs!$B$28+Inputs!$B$30,MAX(0,(Inputs!$B$3-100)*3)+Inputs!$B$29+Inputs!$B$30)))</f>
        <v/>
      </c>
      <c r="E131">
        <f>INDEX(FactorTable!$B$2:$Y$301, MATCH(ROUND(MIN(300,MAX(1,D131)),0), FactorTable!$A$2:$A$301,0), Skills!M12+1)</f>
        <v/>
      </c>
      <c r="F131">
        <f>IF(Skills!N12=TRUE,(Skills!L12/10)*(E131/1000),Skills!L12/10)+Skills!O12</f>
        <v/>
      </c>
      <c r="G131">
        <f>Skills!G12*IF(Skills!H12&gt;0,Skills!I12/Skills!H12,1)</f>
        <v/>
      </c>
      <c r="H131">
        <f>1-(1-Skills!J12/100)^Skills!K12</f>
        <v/>
      </c>
      <c r="I131" t="inlineStr">
        <is>
          <t>1</t>
        </is>
      </c>
      <c r="J131">
        <f>((Inputs!$B$6*(1+Inputs!$B$7/100))+(((Inputs!$B$13*(1+Inputs!$B$14/100))-(Inputs!$B$13*(1+Inputs!$B$14/100)))+0.25*((Inputs!$B$15+1)-Inputs!$B$15))*(1+Inputs!$B$7/100))*(F131/100)</f>
        <v/>
      </c>
      <c r="K131">
        <f>J131*(1+(((Inputs!$B$13+IF(Inputs!$B$3&gt;=38,(10*INDEX(FactorTable!$B$2:$Y$301, MATCH(ROUND(MIN(300,MAX(1,Inputs!$B$3)),0), FactorTable!$A$2:$A$301,0), 23)/1000)/100*(Inputs!$B$8*(1+Inputs!$B$9/100)),0))*(1+Inputs!$B$14/100))*0.01+(Inputs!$B$15+1)*0.0025)/100)*(1+Inputs!$B$16/100)*(1+Inputs!$B$17/100)*(5000/(6000+Inputs!$B$43*(1-(Inputs!$B$20+0)/100)))*(1+(Inputs!$B$25+((C144=TRUE)*(F144-Calc!F25))+((C145=TRUE)*(F145-Calc!F26))+B154)/100)*(1+0.75*IF(C130=TRUE,F130,0)/100)*(1+(IF(Skills!A12="DARK_IMPALE",Inputs!$B$18+0,Inputs!$B$19+((C142=TRUE)*(F142-Calc!F23))))/100)*((1+(((C132=TRUE)*F132*IF(AND(Inputs!$B$39&lt;&gt;"pvp",Inputs!$B$44&gt;0),(((R132-1)*(Skills!T13*(1+Inputs!$B$35/100))+MIN((Skills!T13*(1+Inputs!$B$35/100)),MAX(0,Inputs!$B$44-((R132-1)*Skills!D13))))/Inputs!$B$44),IF(Inputs!$B$39="pvp",MIN((Skills!T13*(1+Inputs!$B$35/100)),15)/15,(Skills!T13*(1+Inputs!$B$35/100))/Skills!D13)))+((C133=TRUE)*F133*IF(AND(Inputs!$B$39&lt;&gt;"pvp",Inputs!$B$44&gt;0),(((R133-1)*(Skills!T14*(1+Inputs!$B$35/100))+MIN((Skills!T14*(1+Inputs!$B$35/100)),MAX(0,Inputs!$B$44-((R133-1)*Skills!D14))))/Inputs!$B$44),IF(Inputs!$B$39="pvp",MIN((Skills!T14*(1+Inputs!$B$35/100)),15)/15,(Skills!T14*(1+Inputs!$B$35/100))/Skills!D14)))+((C134=TRUE)*F134*IF(AND(Inputs!$B$39&lt;&gt;"pvp",Inputs!$B$44&gt;0),(((R134-1)*(Skills!T15*(1+Inputs!$B$35/100))+MIN((Skills!T15*(1+Inputs!$B$35/100)),MAX(0,Inputs!$B$44-((R134-1)*Skills!D15))))/Inputs!$B$44),IF(Inputs!$B$39="pvp",MIN((Skills!T15*(1+Inputs!$B$35/100)),15)/15,(Skills!T15*(1+Inputs!$B$35/100))/Skills!D15)))+((C135=TRUE)*F135*IF(AND(Inputs!$B$39&lt;&gt;"pvp",Inputs!$B$44&gt;0),(((R135-1)*(Skills!T16*(1+Inputs!$B$35/100))+MIN((Skills!T16*(1+Inputs!$B$35/100)),MAX(0,Inputs!$B$44-((R135-1)*Skills!D16))))/Inputs!$B$44),IF(Inputs!$B$39="pvp",MIN((Skills!T16*(1+Inputs!$B$35/100)),15)/15,(Skills!T16*(1+Inputs!$B$35/100))/Skills!D16)))+0)/100)*I131)</f>
        <v/>
      </c>
      <c r="L131">
        <f>K131*(MIN(Inputs!$B$23+((C141=TRUE)*(F141-Calc!F22)),Inputs!$B$24+((C143=TRUE)*(F143-Calc!F24)))/100+(Inputs!$B$24+((C143=TRUE)*(F143-Calc!F24)))/100)/2</f>
        <v/>
      </c>
      <c r="M131">
        <f>L131*(1+(Inputs!$B$11+0+B153)/100)</f>
        <v/>
      </c>
      <c r="N131">
        <f>L131*(1-MIN((Inputs!$B$10+0+B148),100)/100)+M131*(MIN((Inputs!$B$10+0+B148),100)/100)</f>
        <v/>
      </c>
      <c r="O131">
        <f>(1-Summary!$B$55)*T131+Summary!$B$55*V131</f>
        <v/>
      </c>
      <c r="P131">
        <f>IF(B158=0,0,O131/B158)</f>
        <v/>
      </c>
      <c r="Q131">
        <f>IFERROR(1/IF(Inputs!$B$39="pvp",15,MAX(0.1,Skills!D12-IF(Skills!E12=TRUE,Inputs!$B$33,0))),0)</f>
        <v/>
      </c>
      <c r="R131">
        <f>IF(AND(Inputs!$B$39&lt;&gt;"pvp",Inputs!$B$44&gt;0),IF(MAX(0,Inputs!$B$44-B155)&lt;=0,0,(INT(MAX(0,Inputs!$B$44-B155)/IF(Inputs!$B$39="pvp",15,MAX(0.1,Skills!D12-IF(Skills!E12=TRUE,Inputs!$B$33,0))))+1)),0)</f>
        <v/>
      </c>
      <c r="S131">
        <f>IFERROR(O131/N131,0)</f>
        <v/>
      </c>
      <c r="T131">
        <f>IF(C131,(H131*N131*IF(AND(Inputs!$B$39&lt;&gt;"pvp",Inputs!$B$44&gt;0),((Skills!G12*((R131-1)*IF(Skills!H12&gt;0,Skills!I12/Skills!H12,1)+IF(Skills!H12&gt;0,MIN(Skills!I12,MAX(0,MAX(0,Inputs!$B$44-B155)-((R131-1)*IF(Inputs!$B$39="pvp",15,MAX(0.1,Skills!D12-IF(Skills!E12=TRUE,Inputs!$B$33,0))))))/Skills!H12,1)))/Inputs!$B$44),G131*Q131))*IF(Inputs!$B$39="pvp",1,1+(Inputs!$B$21+0+Skills!P12+((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0)</f>
        <v/>
      </c>
      <c r="V131">
        <f>IF(C131,(H131*N131*IF(AND(Inputs!$B$39&lt;&gt;"pvp",Inputs!$B$44&gt;0),((Skills!G12*((R131-1)*IF(Skills!H12&gt;0,Skills!I12/Skills!H12,1)+IF(Skills!H12&gt;0,MIN(Skills!I12,MAX(0,MAX(0,Inputs!$B$44-B155)-((R131-1)*IF(Inputs!$B$39="pvp",15,MAX(0.1,Skills!D12-IF(Skills!E12=TRUE,Inputs!$B$33,0))))))/Skills!H12,1)))/Inputs!$B$44),G131*Q131))*IF(Inputs!$B$39="pvp",1,(1+(Inputs!$B$22+Skills!Q12+((C136=TRUE)*F136*IF(AND(Inputs!$B$39&lt;&gt;"pvp",Inputs!$B$44&gt;0),(((R136-1)*(Skills!T17*(1+Inputs!$B$35/100))+MIN((Skills!T17*(1+Inputs!$B$35/100)),MAX(0,Inputs!$B$44-((R136-1)*Skills!D17))))/Inputs!$B$44),IF(Inputs!$B$39="pvp",MIN((Skills!T17*(1+Inputs!$B$35/100)),15)/15,(Skills!T17*(1+Inputs!$B$35/100))/Skills!D17)))+((C133=TRUE)*IF(Inputs!$B$39="pvp",20,(1-Summary!$B$55)*(20)+Summary!$B$55*(0))*IF(AND(Inputs!$B$39&lt;&gt;"pvp",Inputs!$B$44&gt;0),(((R133-1)*(Skills!T14*(1+Inputs!$B$35/100))+MIN((Skills!T14*(1+Inputs!$B$35/100)),MAX(0,Inputs!$B$44-((R133-1)*Skills!D14))))/Inputs!$B$44),IF(Inputs!$B$39="pvp",MIN((Skills!T14*(1+Inputs!$B$35/100)),15)/15,(Skills!T14*(1+Inputs!$B$35/100))/Skills!D14))))/100)*(MIN(Skills!R12,Inputs!$B$38))),0)</f>
        <v/>
      </c>
    </row>
    <row r="132">
      <c r="A132">
        <f>Skills!A13</f>
        <v/>
      </c>
      <c r="B132">
        <f>Skills!B13</f>
        <v/>
      </c>
      <c r="C132">
        <f>Inputs!$B$3&gt;=69</f>
        <v/>
      </c>
      <c r="D132">
        <f>IF(Skills!C13=1,60+Inputs!$B$26+Inputs!$B$30,IF(Skills!C13=2,90+Inputs!$B$27+Inputs!$B$30,IF(Skills!C13=3,120+Inputs!$B$28+Inputs!$B$30,MAX(0,(Inputs!$B$3-100)*3)+Inputs!$B$29+Inputs!$B$30)))</f>
        <v/>
      </c>
      <c r="E132">
        <f>INDEX(FactorTable!$B$2:$Y$301, MATCH(ROUND(MIN(300,MAX(1,D132)),0), FactorTable!$A$2:$A$301,0), Skills!M13+1)</f>
        <v/>
      </c>
      <c r="F132">
        <f>IF(Skills!N13=TRUE,(Skills!L13/10)*(E132/1000),Skills!L13/10)+Skills!O13</f>
        <v/>
      </c>
      <c r="G132">
        <f>Skills!G13*IF(Skills!H13&gt;0,Skills!I13/Skills!H13,1)</f>
        <v/>
      </c>
      <c r="H132">
        <f>1-(1-Skills!J13/100)^Skills!K13</f>
        <v/>
      </c>
      <c r="I132" t="inlineStr">
        <is>
          <t>1</t>
        </is>
      </c>
      <c r="J132" t="inlineStr"/>
      <c r="K132" t="inlineStr"/>
      <c r="L132" t="inlineStr"/>
      <c r="M132" t="inlineStr"/>
      <c r="N132" t="inlineStr"/>
      <c r="O132">
        <f>(1-Summary!$B$55)*T132+Summary!$B$55*V132</f>
        <v/>
      </c>
      <c r="P132">
        <f>IF(B158=0,0,O132/B158)</f>
        <v/>
      </c>
      <c r="Q132">
        <f>IFERROR(1/IF(Inputs!$B$39="pvp",15,MAX(0.1,Skills!D13-IF(Skills!E13=TRUE,Inputs!$B$33,0))),0)</f>
        <v/>
      </c>
      <c r="R132">
        <f>IF(AND(Inputs!$B$39&lt;&gt;"pvp",Inputs!$B$44&gt;0),IF(Inputs!$B$44&lt;=0,0,(INT(Inputs!$B$44/IF(Inputs!$B$39="pvp",15,MAX(0.1,Skills!D13-IF(Skills!E13=TRUE,Inputs!$B$33,0))))+1)),0)</f>
        <v/>
      </c>
      <c r="S132">
        <f>IFERROR(O132/N132,0)</f>
        <v/>
      </c>
      <c r="T132" t="n">
        <v>0</v>
      </c>
      <c r="V132" t="n">
        <v>0</v>
      </c>
    </row>
    <row r="133">
      <c r="A133">
        <f>Skills!A14</f>
        <v/>
      </c>
      <c r="B133">
        <f>Skills!B14</f>
        <v/>
      </c>
      <c r="C133">
        <f>Inputs!$B$3&gt;=115</f>
        <v/>
      </c>
      <c r="D133">
        <f>IF(Skills!C14=1,60+Inputs!$B$26+Inputs!$B$30,IF(Skills!C14=2,90+Inputs!$B$27+Inputs!$B$30,IF(Skills!C14=3,120+Inputs!$B$28+Inputs!$B$30,MAX(0,(Inputs!$B$3-100)*3)+Inputs!$B$29+Inputs!$B$30)))</f>
        <v/>
      </c>
      <c r="E133">
        <f>INDEX(FactorTable!$B$2:$Y$301, MATCH(ROUND(MIN(300,MAX(1,D133)),0), FactorTable!$A$2:$A$301,0), Skills!M14+1)</f>
        <v/>
      </c>
      <c r="F133">
        <f>IF(Skills!N14=TRUE,(Skills!L14/10)*(E133/1000),Skills!L14/10)+Skills!O14</f>
        <v/>
      </c>
      <c r="G133">
        <f>Skills!G14*IF(Skills!H14&gt;0,Skills!I14/Skills!H14,1)</f>
        <v/>
      </c>
      <c r="H133">
        <f>1-(1-Skills!J14/100)^Skills!K14</f>
        <v/>
      </c>
      <c r="I133" t="inlineStr">
        <is>
          <t>1</t>
        </is>
      </c>
      <c r="J133" t="inlineStr"/>
      <c r="K133" t="inlineStr"/>
      <c r="L133" t="inlineStr"/>
      <c r="M133" t="inlineStr"/>
      <c r="N133" t="inlineStr"/>
      <c r="O133">
        <f>(1-Summary!$B$55)*T133+Summary!$B$55*V133</f>
        <v/>
      </c>
      <c r="P133">
        <f>IF(B158=0,0,O133/B158)</f>
        <v/>
      </c>
      <c r="Q133">
        <f>IFERROR(1/IF(Inputs!$B$39="pvp",15,MAX(0.1,Skills!D14-IF(Skills!E14=TRUE,Inputs!$B$33,0))),0)</f>
        <v/>
      </c>
      <c r="R133">
        <f>IF(AND(Inputs!$B$39&lt;&gt;"pvp",Inputs!$B$44&gt;0),IF(Inputs!$B$44&lt;=0,0,(INT(Inputs!$B$44/IF(Inputs!$B$39="pvp",15,MAX(0.1,Skills!D14-IF(Skills!E14=TRUE,Inputs!$B$33,0))))+1)),0)</f>
        <v/>
      </c>
      <c r="S133">
        <f>IFERROR(O133/N133,0)</f>
        <v/>
      </c>
      <c r="T133" t="n">
        <v>0</v>
      </c>
      <c r="V133" t="n">
        <v>0</v>
      </c>
    </row>
    <row r="134">
      <c r="A134">
        <f>Skills!A15</f>
        <v/>
      </c>
      <c r="B134">
        <f>Skills!B15</f>
        <v/>
      </c>
      <c r="C134">
        <f>Inputs!$B$3&gt;=66</f>
        <v/>
      </c>
      <c r="D134">
        <f>IF(Skills!C15=1,60+Inputs!$B$26+Inputs!$B$30,IF(Skills!C15=2,90+Inputs!$B$27+Inputs!$B$30,IF(Skills!C15=3,120+Inputs!$B$28+Inputs!$B$30,MAX(0,(Inputs!$B$3-100)*3)+Inputs!$B$29+Inputs!$B$30)))</f>
        <v/>
      </c>
      <c r="E134">
        <f>INDEX(FactorTable!$B$2:$Y$301, MATCH(ROUND(MIN(300,MAX(1,D134)),0), FactorTable!$A$2:$A$301,0), Skills!M15+1)</f>
        <v/>
      </c>
      <c r="F134">
        <f>IF(Skills!N15=TRUE,(Skills!L15/10)*(E134/1000),Skills!L15/10)+Skills!O15</f>
        <v/>
      </c>
      <c r="G134">
        <f>Skills!G15*IF(Skills!H15&gt;0,Skills!I15/Skills!H15,1)</f>
        <v/>
      </c>
      <c r="H134">
        <f>1-(1-Skills!J15/100)^Skills!K15</f>
        <v/>
      </c>
      <c r="I134" t="inlineStr">
        <is>
          <t>1</t>
        </is>
      </c>
      <c r="J134" t="inlineStr"/>
      <c r="K134" t="inlineStr"/>
      <c r="L134" t="inlineStr"/>
      <c r="M134" t="inlineStr"/>
      <c r="N134" t="inlineStr"/>
      <c r="O134">
        <f>(1-Summary!$B$55)*T134+Summary!$B$55*V134</f>
        <v/>
      </c>
      <c r="P134">
        <f>IF(B158=0,0,O134/B158)</f>
        <v/>
      </c>
      <c r="Q134">
        <f>IFERROR(1/IF(Inputs!$B$39="pvp",15,MAX(0.1,Skills!D15-IF(Skills!E15=TRUE,Inputs!$B$33,0))),0)</f>
        <v/>
      </c>
      <c r="R134">
        <f>IF(AND(Inputs!$B$39&lt;&gt;"pvp",Inputs!$B$44&gt;0),IF(Inputs!$B$44&lt;=0,0,(INT(Inputs!$B$44/IF(Inputs!$B$39="pvp",15,MAX(0.1,Skills!D15-IF(Skills!E15=TRUE,Inputs!$B$33,0))))+1)),0)</f>
        <v/>
      </c>
      <c r="S134">
        <f>IFERROR(O134/N134,0)</f>
        <v/>
      </c>
      <c r="T134" t="n">
        <v>0</v>
      </c>
      <c r="V134" t="n">
        <v>0</v>
      </c>
    </row>
    <row r="135">
      <c r="A135">
        <f>Skills!A16</f>
        <v/>
      </c>
      <c r="B135">
        <f>Skills!B16</f>
        <v/>
      </c>
      <c r="C135">
        <f>Inputs!$B$3&gt;=45</f>
        <v/>
      </c>
      <c r="D135">
        <f>IF(Skills!C16=1,60+Inputs!$B$26+Inputs!$B$30,IF(Skills!C16=2,90+Inputs!$B$27+Inputs!$B$30,IF(Skills!C16=3,120+Inputs!$B$28+Inputs!$B$30,MAX(0,(Inputs!$B$3-100)*3)+Inputs!$B$29+Inputs!$B$30)))</f>
        <v/>
      </c>
      <c r="E135">
        <f>INDEX(FactorTable!$B$2:$Y$301, MATCH(ROUND(MIN(300,MAX(1,D135)),0), FactorTable!$A$2:$A$301,0), Skills!M16+1)</f>
        <v/>
      </c>
      <c r="F135">
        <f>IF(Skills!N16=TRUE,(Skills!L16/10)*(E135/1000),Skills!L16/10)+Skills!O16</f>
        <v/>
      </c>
      <c r="G135">
        <f>Skills!G16*IF(Skills!H16&gt;0,Skills!I16/Skills!H16,1)</f>
        <v/>
      </c>
      <c r="H135">
        <f>1-(1-Skills!J16/100)^Skills!K16</f>
        <v/>
      </c>
      <c r="I135" t="inlineStr">
        <is>
          <t>1</t>
        </is>
      </c>
      <c r="J135" t="inlineStr"/>
      <c r="K135" t="inlineStr"/>
      <c r="L135" t="inlineStr"/>
      <c r="M135" t="inlineStr"/>
      <c r="N135" t="inlineStr"/>
      <c r="O135">
        <f>(1-Summary!$B$55)*T135+Summary!$B$55*V135</f>
        <v/>
      </c>
      <c r="P135">
        <f>IF(B158=0,0,O135/B158)</f>
        <v/>
      </c>
      <c r="Q135">
        <f>IFERROR(1/IF(Inputs!$B$39="pvp",15,MAX(0.1,Skills!D16-IF(Skills!E16=TRUE,Inputs!$B$33,0))),0)</f>
        <v/>
      </c>
      <c r="R135">
        <f>IF(AND(Inputs!$B$39&lt;&gt;"pvp",Inputs!$B$44&gt;0),IF(Inputs!$B$44&lt;=0,0,(INT(Inputs!$B$44/IF(Inputs!$B$39="pvp",15,MAX(0.1,Skills!D16-IF(Skills!E16=TRUE,Inputs!$B$33,0))))+1)),0)</f>
        <v/>
      </c>
      <c r="S135">
        <f>IFERROR(O135/N135,0)</f>
        <v/>
      </c>
      <c r="T135" t="n">
        <v>0</v>
      </c>
      <c r="V135" t="n">
        <v>0</v>
      </c>
    </row>
    <row r="136">
      <c r="A136">
        <f>Skills!A17</f>
        <v/>
      </c>
      <c r="B136">
        <f>Skills!B17</f>
        <v/>
      </c>
      <c r="C136">
        <f>Inputs!$B$3&gt;=35</f>
        <v/>
      </c>
      <c r="D136">
        <f>IF(Skills!C17=1,60+Inputs!$B$26+Inputs!$B$30,IF(Skills!C17=2,90+Inputs!$B$27+Inputs!$B$30,IF(Skills!C17=3,120+Inputs!$B$28+Inputs!$B$30,MAX(0,(Inputs!$B$3-100)*3)+Inputs!$B$29+Inputs!$B$30)))</f>
        <v/>
      </c>
      <c r="E136">
        <f>INDEX(FactorTable!$B$2:$Y$301, MATCH(ROUND(MIN(300,MAX(1,D136)),0), FactorTable!$A$2:$A$301,0), Skills!M17+1)</f>
        <v/>
      </c>
      <c r="F136">
        <f>IF(Skills!N17=TRUE,(Skills!L17/10)*(E136/1000),Skills!L17/10)+Skills!O17</f>
        <v/>
      </c>
      <c r="G136">
        <f>Skills!G17*IF(Skills!H17&gt;0,Skills!I17/Skills!H17,1)</f>
        <v/>
      </c>
      <c r="H136">
        <f>1-(1-Skills!J17/100)^Skills!K17</f>
        <v/>
      </c>
      <c r="I136" t="inlineStr">
        <is>
          <t>1</t>
        </is>
      </c>
      <c r="J136" t="inlineStr"/>
      <c r="K136" t="inlineStr"/>
      <c r="L136" t="inlineStr"/>
      <c r="M136" t="inlineStr"/>
      <c r="N136" t="inlineStr"/>
      <c r="O136">
        <f>(1-Summary!$B$55)*T136+Summary!$B$55*V136</f>
        <v/>
      </c>
      <c r="P136">
        <f>IF(B158=0,0,O136/B158)</f>
        <v/>
      </c>
      <c r="Q136">
        <f>IFERROR(1/IF(Inputs!$B$39="pvp",15,MAX(0.1,Skills!D17-IF(Skills!E17=TRUE,Inputs!$B$33,0))),0)</f>
        <v/>
      </c>
      <c r="R136">
        <f>IF(AND(Inputs!$B$39&lt;&gt;"pvp",Inputs!$B$44&gt;0),IF(Inputs!$B$44&lt;=0,0,(INT(Inputs!$B$44/IF(Inputs!$B$39="pvp",15,MAX(0.1,Skills!D17-IF(Skills!E17=TRUE,Inputs!$B$33,0))))+1)),0)</f>
        <v/>
      </c>
      <c r="S136">
        <f>IFERROR(O136/N136,0)</f>
        <v/>
      </c>
      <c r="T136" t="n">
        <v>0</v>
      </c>
      <c r="V136" t="n">
        <v>0</v>
      </c>
    </row>
    <row r="137">
      <c r="A137">
        <f>Skills!A18</f>
        <v/>
      </c>
      <c r="B137">
        <f>Skills!B18</f>
        <v/>
      </c>
      <c r="C137">
        <f>Inputs!$B$3&gt;=72</f>
        <v/>
      </c>
      <c r="D137">
        <f>IF(Skills!C18=1,60+Inputs!$B$26+Inputs!$B$30,IF(Skills!C18=2,90+Inputs!$B$27+Inputs!$B$30,IF(Skills!C18=3,120+Inputs!$B$28+Inputs!$B$30,MAX(0,(Inputs!$B$3-100)*3)+Inputs!$B$29+Inputs!$B$30)))</f>
        <v/>
      </c>
      <c r="E137">
        <f>INDEX(FactorTable!$B$2:$Y$301, MATCH(ROUND(MIN(300,MAX(1,D137)),0), FactorTable!$A$2:$A$301,0), Skills!M18+1)</f>
        <v/>
      </c>
      <c r="F137">
        <f>IF(Skills!N18=TRUE,(Skills!L18/10)*(E137/1000),Skills!L18/10)+Skills!O18</f>
        <v/>
      </c>
      <c r="G137">
        <f>Skills!G18*IF(Skills!H18&gt;0,Skills!I18/Skills!H18,1)</f>
        <v/>
      </c>
      <c r="H137">
        <f>1-(1-Skills!J18/100)^Skills!K18</f>
        <v/>
      </c>
      <c r="I137" t="inlineStr">
        <is>
          <t>1</t>
        </is>
      </c>
      <c r="J137" t="inlineStr"/>
      <c r="K137" t="inlineStr"/>
      <c r="L137" t="inlineStr"/>
      <c r="M137" t="inlineStr"/>
      <c r="N137" t="inlineStr"/>
      <c r="O137">
        <f>(1-Summary!$B$55)*T137+Summary!$B$55*V137</f>
        <v/>
      </c>
      <c r="P137">
        <f>IF(B158=0,0,O137/B158)</f>
        <v/>
      </c>
      <c r="Q137">
        <f>IFERROR(1/IF(Inputs!$B$39="pvp",15,MAX(0.1,Skills!D18-IF(Skills!E18=TRUE,Inputs!$B$33,0))),0)</f>
        <v/>
      </c>
      <c r="R137">
        <f>IF(AND(Inputs!$B$39&lt;&gt;"pvp",Inputs!$B$44&gt;0),IF(Inputs!$B$44&lt;=0,0,(INT(Inputs!$B$44/IF(Inputs!$B$39="pvp",15,MAX(0.1,Skills!D18-IF(Skills!E18=TRUE,Inputs!$B$33,0))))+1)),0)</f>
        <v/>
      </c>
      <c r="S137">
        <f>IFERROR(O137/N137,0)</f>
        <v/>
      </c>
      <c r="T137" t="n">
        <v>0</v>
      </c>
      <c r="V137" t="n">
        <v>0</v>
      </c>
    </row>
    <row r="138">
      <c r="A138">
        <f>Skills!A19</f>
        <v/>
      </c>
      <c r="B138">
        <f>Skills!B19</f>
        <v/>
      </c>
      <c r="C138">
        <f>Inputs!$B$3&gt;=72</f>
        <v/>
      </c>
      <c r="D138">
        <f>IF(Skills!C19=1,60+Inputs!$B$26+Inputs!$B$30,IF(Skills!C19=2,90+Inputs!$B$27+Inputs!$B$30,IF(Skills!C19=3,120+Inputs!$B$28+Inputs!$B$30,MAX(0,(Inputs!$B$3-100)*3)+Inputs!$B$29+Inputs!$B$30)))</f>
        <v/>
      </c>
      <c r="E138">
        <f>INDEX(FactorTable!$B$2:$Y$301, MATCH(ROUND(MIN(300,MAX(1,D138)),0), FactorTable!$A$2:$A$301,0), Skills!M19+1)</f>
        <v/>
      </c>
      <c r="F138">
        <f>IF(Skills!N19=TRUE,(Skills!L19/10)*(E138/1000),Skills!L19/10)+Skills!O19</f>
        <v/>
      </c>
      <c r="G138">
        <f>Skills!G19*IF(Skills!H19&gt;0,Skills!I19/Skills!H19,1)</f>
        <v/>
      </c>
      <c r="H138">
        <f>1-(1-Skills!J19/100)^Skills!K19</f>
        <v/>
      </c>
      <c r="I138" t="inlineStr">
        <is>
          <t>1</t>
        </is>
      </c>
      <c r="J138" t="inlineStr"/>
      <c r="K138" t="inlineStr"/>
      <c r="L138" t="inlineStr"/>
      <c r="M138" t="inlineStr"/>
      <c r="N138" t="inlineStr"/>
      <c r="O138">
        <f>(1-Summary!$B$55)*T138+Summary!$B$55*V138</f>
        <v/>
      </c>
      <c r="P138">
        <f>IF(B158=0,0,O138/B158)</f>
        <v/>
      </c>
      <c r="Q138">
        <f>IFERROR(1/IF(Inputs!$B$39="pvp",15,MAX(0.1,Skills!D19-IF(Skills!E19=TRUE,Inputs!$B$33,0))),0)</f>
        <v/>
      </c>
      <c r="R138">
        <f>IF(AND(Inputs!$B$39&lt;&gt;"pvp",Inputs!$B$44&gt;0),IF(Inputs!$B$44&lt;=0,0,(INT(Inputs!$B$44/IF(Inputs!$B$39="pvp",15,MAX(0.1,Skills!D19-IF(Skills!E19=TRUE,Inputs!$B$33,0))))+1)),0)</f>
        <v/>
      </c>
      <c r="S138">
        <f>IFERROR(O138/N138,0)</f>
        <v/>
      </c>
      <c r="T138" t="n">
        <v>0</v>
      </c>
      <c r="V138" t="n">
        <v>0</v>
      </c>
    </row>
    <row r="139">
      <c r="A139">
        <f>Skills!A20</f>
        <v/>
      </c>
      <c r="B139">
        <f>Skills!B20</f>
        <v/>
      </c>
      <c r="C139">
        <f>TRUE</f>
        <v/>
      </c>
      <c r="D139">
        <f>IF(Skills!C20=1,60+Inputs!$B$26+Inputs!$B$30,IF(Skills!C20=2,90+Inputs!$B$27+Inputs!$B$30,IF(Skills!C20=3,120+Inputs!$B$28+Inputs!$B$30,MAX(0,(Inputs!$B$3-100)*3)+Inputs!$B$29+Inputs!$B$30)))</f>
        <v/>
      </c>
      <c r="E139">
        <f>INDEX(FactorTable!$B$2:$Y$301, MATCH(ROUND(MIN(300,MAX(1,D139)),0), FactorTable!$A$2:$A$301,0), Skills!M20+1)</f>
        <v/>
      </c>
      <c r="F139">
        <f>IF(Skills!N20=TRUE,(Skills!L20/10)*(E139/1000),Skills!L20/10)+Skills!O20</f>
        <v/>
      </c>
      <c r="G139">
        <f>Skills!G20*IF(Skills!H20&gt;0,Skills!I20/Skills!H20,1)</f>
        <v/>
      </c>
      <c r="H139">
        <f>1-(1-Skills!J20/100)^Skills!K20</f>
        <v/>
      </c>
      <c r="I139" t="inlineStr">
        <is>
          <t>1</t>
        </is>
      </c>
      <c r="J139" t="inlineStr"/>
      <c r="K139" t="inlineStr"/>
      <c r="L139" t="inlineStr"/>
      <c r="M139" t="inlineStr"/>
      <c r="N139" t="inlineStr"/>
      <c r="O139">
        <f>(1-Summary!$B$55)*T139+Summary!$B$55*V139</f>
        <v/>
      </c>
      <c r="P139">
        <f>IF(B158=0,0,O139/B158)</f>
        <v/>
      </c>
      <c r="Q139">
        <f>IFERROR(1/IF(Inputs!$B$39="pvp",15,MAX(0.1,Skills!D20-IF(Skills!E20=TRUE,Inputs!$B$33,0))),0)</f>
        <v/>
      </c>
      <c r="R139">
        <f>IF(AND(Inputs!$B$39&lt;&gt;"pvp",Inputs!$B$44&gt;0),IF(Inputs!$B$44&lt;=0,0,(INT(Inputs!$B$44/IF(Inputs!$B$39="pvp",15,MAX(0.1,Skills!D20-IF(Skills!E20=TRUE,Inputs!$B$33,0))))+1)),0)</f>
        <v/>
      </c>
      <c r="S139">
        <f>IFERROR(O139/N139,0)</f>
        <v/>
      </c>
      <c r="T139" t="n">
        <v>0</v>
      </c>
      <c r="V139" t="n">
        <v>0</v>
      </c>
    </row>
    <row r="140">
      <c r="A140">
        <f>Skills!A21</f>
        <v/>
      </c>
      <c r="B140">
        <f>Skills!B21</f>
        <v/>
      </c>
      <c r="C140">
        <f>Inputs!$B$3&gt;=33</f>
        <v/>
      </c>
      <c r="D140">
        <f>IF(Skills!C21=1,60+Inputs!$B$26+Inputs!$B$30,IF(Skills!C21=2,90+Inputs!$B$27+Inputs!$B$30,IF(Skills!C21=3,120+Inputs!$B$28+Inputs!$B$30,MAX(0,(Inputs!$B$3-100)*3)+Inputs!$B$29+Inputs!$B$30)))</f>
        <v/>
      </c>
      <c r="E140">
        <f>INDEX(FactorTable!$B$2:$Y$301, MATCH(ROUND(MIN(300,MAX(1,D140)),0), FactorTable!$A$2:$A$301,0), Skills!M21+1)</f>
        <v/>
      </c>
      <c r="F140">
        <f>IF(Skills!N21=TRUE,(Skills!L21/10)*(E140/1000),Skills!L21/10)+Skills!O21</f>
        <v/>
      </c>
      <c r="G140">
        <f>Skills!G21*IF(Skills!H21&gt;0,Skills!I21/Skills!H21,1)</f>
        <v/>
      </c>
      <c r="H140">
        <f>1-(1-Skills!J21/100)^Skills!K21</f>
        <v/>
      </c>
      <c r="I140" t="inlineStr">
        <is>
          <t>1</t>
        </is>
      </c>
      <c r="J140" t="inlineStr"/>
      <c r="K140" t="inlineStr"/>
      <c r="L140" t="inlineStr"/>
      <c r="M140" t="inlineStr"/>
      <c r="N140" t="inlineStr"/>
      <c r="O140">
        <f>(1-Summary!$B$55)*T140+Summary!$B$55*V140</f>
        <v/>
      </c>
      <c r="P140">
        <f>IF(B158=0,0,O140/B158)</f>
        <v/>
      </c>
      <c r="Q140" t="n">
        <v>0</v>
      </c>
      <c r="R140" t="n">
        <v>0</v>
      </c>
      <c r="S140">
        <f>IFERROR(O140/N140,0)</f>
        <v/>
      </c>
      <c r="T140" t="n">
        <v>0</v>
      </c>
      <c r="V140" t="n">
        <v>0</v>
      </c>
    </row>
    <row r="141">
      <c r="A141">
        <f>Skills!A22</f>
        <v/>
      </c>
      <c r="B141">
        <f>Skills!B22</f>
        <v/>
      </c>
      <c r="C141">
        <f>Inputs!$B$3&gt;=43</f>
        <v/>
      </c>
      <c r="D141">
        <f>IF(Skills!C22=1,60+Inputs!$B$26+Inputs!$B$30,IF(Skills!C22=2,90+Inputs!$B$27+Inputs!$B$30,IF(Skills!C22=3,120+Inputs!$B$28+Inputs!$B$30,MAX(0,(Inputs!$B$3-100)*3)+Inputs!$B$29+Inputs!$B$30)))</f>
        <v/>
      </c>
      <c r="E141">
        <f>INDEX(FactorTable!$B$2:$Y$301, MATCH(ROUND(MIN(300,MAX(1,D141)),0), FactorTable!$A$2:$A$301,0), Skills!M22+1)</f>
        <v/>
      </c>
      <c r="F141">
        <f>IF(Skills!N22=TRUE,(Skills!L22/10)*(E141/1000),Skills!L22/10)+Skills!O22</f>
        <v/>
      </c>
      <c r="G141">
        <f>Skills!G22*IF(Skills!H22&gt;0,Skills!I22/Skills!H22,1)</f>
        <v/>
      </c>
      <c r="H141">
        <f>1-(1-Skills!J22/100)^Skills!K22</f>
        <v/>
      </c>
      <c r="I141" t="inlineStr">
        <is>
          <t>1</t>
        </is>
      </c>
      <c r="J141" t="inlineStr"/>
      <c r="K141" t="inlineStr"/>
      <c r="L141" t="inlineStr"/>
      <c r="M141" t="inlineStr"/>
      <c r="N141" t="inlineStr"/>
      <c r="O141">
        <f>(1-Summary!$B$55)*T141+Summary!$B$55*V141</f>
        <v/>
      </c>
      <c r="P141">
        <f>IF(B158=0,0,O141/B158)</f>
        <v/>
      </c>
      <c r="Q141" t="n">
        <v>0</v>
      </c>
      <c r="R141" t="n">
        <v>0</v>
      </c>
      <c r="S141">
        <f>IFERROR(O141/N141,0)</f>
        <v/>
      </c>
      <c r="T141" t="n">
        <v>0</v>
      </c>
      <c r="V141" t="n">
        <v>0</v>
      </c>
    </row>
    <row r="142">
      <c r="A142">
        <f>Skills!A23</f>
        <v/>
      </c>
      <c r="B142">
        <f>Skills!B23</f>
        <v/>
      </c>
      <c r="C142">
        <f>Inputs!$B$3&gt;=120</f>
        <v/>
      </c>
      <c r="D142">
        <f>IF(Skills!C23=1,60+Inputs!$B$26+Inputs!$B$30,IF(Skills!C23=2,90+Inputs!$B$27+Inputs!$B$30,IF(Skills!C23=3,120+Inputs!$B$28+Inputs!$B$30,MAX(0,(Inputs!$B$3-100)*3)+Inputs!$B$29+Inputs!$B$30)))</f>
        <v/>
      </c>
      <c r="E142">
        <f>INDEX(FactorTable!$B$2:$Y$301, MATCH(ROUND(MIN(300,MAX(1,D142)),0), FactorTable!$A$2:$A$301,0), Skills!M23+1)</f>
        <v/>
      </c>
      <c r="F142">
        <f>IF(Skills!N23=TRUE,(Skills!L23/10)*(E142/1000),Skills!L23/10)+Skills!O23</f>
        <v/>
      </c>
      <c r="G142">
        <f>Skills!G23*IF(Skills!H23&gt;0,Skills!I23/Skills!H23,1)</f>
        <v/>
      </c>
      <c r="H142">
        <f>1-(1-Skills!J23/100)^Skills!K23</f>
        <v/>
      </c>
      <c r="I142" t="inlineStr">
        <is>
          <t>1</t>
        </is>
      </c>
      <c r="J142" t="inlineStr"/>
      <c r="K142" t="inlineStr"/>
      <c r="L142" t="inlineStr"/>
      <c r="M142" t="inlineStr"/>
      <c r="N142" t="inlineStr"/>
      <c r="O142">
        <f>(1-Summary!$B$55)*T142+Summary!$B$55*V142</f>
        <v/>
      </c>
      <c r="P142">
        <f>IF(B158=0,0,O142/B158)</f>
        <v/>
      </c>
      <c r="Q142" t="n">
        <v>0</v>
      </c>
      <c r="R142" t="n">
        <v>0</v>
      </c>
      <c r="S142">
        <f>IFERROR(O142/N142,0)</f>
        <v/>
      </c>
      <c r="T142" t="n">
        <v>0</v>
      </c>
      <c r="V142" t="n">
        <v>0</v>
      </c>
    </row>
    <row r="143">
      <c r="A143">
        <f>Skills!A24</f>
        <v/>
      </c>
      <c r="B143">
        <f>Skills!B24</f>
        <v/>
      </c>
      <c r="C143">
        <f>Inputs!$B$3&gt;=120</f>
        <v/>
      </c>
      <c r="D143">
        <f>IF(Skills!C24=1,60+Inputs!$B$26+Inputs!$B$30,IF(Skills!C24=2,90+Inputs!$B$27+Inputs!$B$30,IF(Skills!C24=3,120+Inputs!$B$28+Inputs!$B$30,MAX(0,(Inputs!$B$3-100)*3)+Inputs!$B$29+Inputs!$B$30)))</f>
        <v/>
      </c>
      <c r="E143">
        <f>INDEX(FactorTable!$B$2:$Y$301, MATCH(ROUND(MIN(300,MAX(1,D143)),0), FactorTable!$A$2:$A$301,0), Skills!M24+1)</f>
        <v/>
      </c>
      <c r="F143">
        <f>IF(Skills!N24=TRUE,(Skills!L24/10)*(E143/1000),Skills!L24/10)+Skills!O24</f>
        <v/>
      </c>
      <c r="G143">
        <f>Skills!G24*IF(Skills!H24&gt;0,Skills!I24/Skills!H24,1)</f>
        <v/>
      </c>
      <c r="H143">
        <f>1-(1-Skills!J24/100)^Skills!K24</f>
        <v/>
      </c>
      <c r="I143" t="inlineStr">
        <is>
          <t>1</t>
        </is>
      </c>
      <c r="J143" t="inlineStr"/>
      <c r="K143" t="inlineStr"/>
      <c r="L143" t="inlineStr"/>
      <c r="M143" t="inlineStr"/>
      <c r="N143" t="inlineStr"/>
      <c r="O143">
        <f>(1-Summary!$B$55)*T143+Summary!$B$55*V143</f>
        <v/>
      </c>
      <c r="P143">
        <f>IF(B158=0,0,O143/B158)</f>
        <v/>
      </c>
      <c r="Q143" t="n">
        <v>0</v>
      </c>
      <c r="R143" t="n">
        <v>0</v>
      </c>
      <c r="S143">
        <f>IFERROR(O143/N143,0)</f>
        <v/>
      </c>
      <c r="T143" t="n">
        <v>0</v>
      </c>
      <c r="V143" t="n">
        <v>0</v>
      </c>
    </row>
    <row r="144">
      <c r="A144">
        <f>Skills!A25</f>
        <v/>
      </c>
      <c r="B144">
        <f>Skills!B25</f>
        <v/>
      </c>
      <c r="C144">
        <f>Inputs!$B$3&gt;=125</f>
        <v/>
      </c>
      <c r="D144">
        <f>IF(Skills!C25=1,60+Inputs!$B$26+Inputs!$B$30,IF(Skills!C25=2,90+Inputs!$B$27+Inputs!$B$30,IF(Skills!C25=3,120+Inputs!$B$28+Inputs!$B$30,MAX(0,(Inputs!$B$3-100)*3)+Inputs!$B$29+Inputs!$B$30)))</f>
        <v/>
      </c>
      <c r="E144">
        <f>INDEX(FactorTable!$B$2:$Y$301, MATCH(ROUND(MIN(300,MAX(1,D144)),0), FactorTable!$A$2:$A$301,0), Skills!M25+1)</f>
        <v/>
      </c>
      <c r="F144">
        <f>IF(Skills!N25=TRUE,(Skills!L25/10)*(E144/1000),Skills!L25/10)+Skills!O25</f>
        <v/>
      </c>
      <c r="G144">
        <f>Skills!G25*IF(Skills!H25&gt;0,Skills!I25/Skills!H25,1)</f>
        <v/>
      </c>
      <c r="H144">
        <f>1-(1-Skills!J25/100)^Skills!K25</f>
        <v/>
      </c>
      <c r="I144" t="inlineStr">
        <is>
          <t>1</t>
        </is>
      </c>
      <c r="J144" t="inlineStr"/>
      <c r="K144" t="inlineStr"/>
      <c r="L144" t="inlineStr"/>
      <c r="M144" t="inlineStr"/>
      <c r="N144" t="inlineStr"/>
      <c r="O144">
        <f>(1-Summary!$B$55)*T144+Summary!$B$55*V144</f>
        <v/>
      </c>
      <c r="P144">
        <f>IF(B158=0,0,O144/B158)</f>
        <v/>
      </c>
      <c r="Q144" t="n">
        <v>0</v>
      </c>
      <c r="R144" t="n">
        <v>0</v>
      </c>
      <c r="S144">
        <f>IFERROR(O144/N144,0)</f>
        <v/>
      </c>
      <c r="T144" t="n">
        <v>0</v>
      </c>
      <c r="V144" t="n">
        <v>0</v>
      </c>
    </row>
    <row r="145">
      <c r="A145">
        <f>Skills!A26</f>
        <v/>
      </c>
      <c r="B145">
        <f>Skills!B26</f>
        <v/>
      </c>
      <c r="C145">
        <f>Inputs!$B$3&gt;=107</f>
        <v/>
      </c>
      <c r="D145">
        <f>IF(Skills!C26=1,60+Inputs!$B$26+Inputs!$B$30,IF(Skills!C26=2,90+Inputs!$B$27+Inputs!$B$30,IF(Skills!C26=3,120+Inputs!$B$28+Inputs!$B$30,MAX(0,(Inputs!$B$3-100)*3)+Inputs!$B$29+Inputs!$B$30)))</f>
        <v/>
      </c>
      <c r="E145">
        <f>INDEX(FactorTable!$B$2:$Y$301, MATCH(ROUND(MIN(300,MAX(1,D145)),0), FactorTable!$A$2:$A$301,0), Skills!M26+1)</f>
        <v/>
      </c>
      <c r="F145">
        <f>IF(Skills!N26=TRUE,(Skills!L26/10)*(E145/1000),Skills!L26/10)+Skills!O26</f>
        <v/>
      </c>
      <c r="G145">
        <f>Skills!G26*IF(Skills!H26&gt;0,Skills!I26/Skills!H26,1)</f>
        <v/>
      </c>
      <c r="H145">
        <f>1-(1-Skills!J26/100)^Skills!K26</f>
        <v/>
      </c>
      <c r="I145" t="inlineStr">
        <is>
          <t>1</t>
        </is>
      </c>
      <c r="J145" t="inlineStr"/>
      <c r="K145" t="inlineStr"/>
      <c r="L145" t="inlineStr"/>
      <c r="M145" t="inlineStr"/>
      <c r="N145" t="inlineStr"/>
      <c r="O145">
        <f>(1-Summary!$B$55)*T145+Summary!$B$55*V145</f>
        <v/>
      </c>
      <c r="P145">
        <f>IF(B158=0,0,O145/B158)</f>
        <v/>
      </c>
      <c r="Q145" t="n">
        <v>0</v>
      </c>
      <c r="R145" t="n">
        <v>0</v>
      </c>
      <c r="S145">
        <f>IFERROR(O145/N145,0)</f>
        <v/>
      </c>
      <c r="T145" t="n">
        <v>0</v>
      </c>
      <c r="V145" t="n">
        <v>0</v>
      </c>
    </row>
    <row r="147">
      <c r="A147" t="inlineStr">
        <is>
          <t>Attack% Bucket Multiplier</t>
        </is>
      </c>
      <c r="B147">
        <f>(1+(((C132=TRUE)*F132*IF(AND(Inputs!$B$39&lt;&gt;"pvp",Inputs!$B$44&gt;0),(((R132-1)*(Skills!T13*(1+Inputs!$B$35/100))+MIN((Skills!T13*(1+Inputs!$B$35/100)),MAX(0,Inputs!$B$44-((R132-1)*Skills!D13))))/Inputs!$B$44),IF(Inputs!$B$39="pvp",MIN((Skills!T13*(1+Inputs!$B$35/100)),15)/15,(Skills!T13*(1+Inputs!$B$35/100))/Skills!D13)))+((C133=TRUE)*F133*IF(AND(Inputs!$B$39&lt;&gt;"pvp",Inputs!$B$44&gt;0),(((R133-1)*(Skills!T14*(1+Inputs!$B$35/100))+MIN((Skills!T14*(1+Inputs!$B$35/100)),MAX(0,Inputs!$B$44-((R133-1)*Skills!D14))))/Inputs!$B$44),IF(Inputs!$B$39="pvp",MIN((Skills!T14*(1+Inputs!$B$35/100)),15)/15,(Skills!T14*(1+Inputs!$B$35/100))/Skills!D14)))+((C134=TRUE)*F134*IF(AND(Inputs!$B$39&lt;&gt;"pvp",Inputs!$B$44&gt;0),(((R134-1)*(Skills!T15*(1+Inputs!$B$35/100))+MIN((Skills!T15*(1+Inputs!$B$35/100)),MAX(0,Inputs!$B$44-((R134-1)*Skills!D15))))/Inputs!$B$44),IF(Inputs!$B$39="pvp",MIN((Skills!T15*(1+Inputs!$B$35/100)),15)/15,(Skills!T15*(1+Inputs!$B$35/100))/Skills!D15)))+((C135=TRUE)*F135*IF(AND(Inputs!$B$39&lt;&gt;"pvp",Inputs!$B$44&gt;0),(((R135-1)*(Skills!T16*(1+Inputs!$B$35/100))+MIN((Skills!T16*(1+Inputs!$B$35/100)),MAX(0,Inputs!$B$44-((R135-1)*Skills!D16))))/Inputs!$B$44),IF(Inputs!$B$39="pvp",MIN((Skills!T16*(1+Inputs!$B$35/100)),15)/15,(Skills!T16*(1+Inputs!$B$35/100))/Skills!D16)))+0)/100)</f>
        <v/>
      </c>
    </row>
    <row r="148">
      <c r="A148" t="inlineStr">
        <is>
          <t>Global Crit Rate Bonus % (Lord of Darkness)</t>
        </is>
      </c>
      <c r="B148">
        <f>((C137=TRUE)*F137*(Skills!J18/100)*IF(AND(Inputs!$B$39&lt;&gt;"pvp",Inputs!$B$44&gt;0),(((R137-1)*(Skills!T18*(1+Inputs!$B$35/100))+MIN((Skills!T18*(1+Inputs!$B$35/100)),MAX(0,Inputs!$B$44-((R137-1)*Skills!D18))))/Inputs!$B$44),IF(Inputs!$B$39="pvp",MIN((Skills!T18*(1+Inputs!$B$35/100)),15)/15,(Skills!T18*(1+Inputs!$B$35/100))/Skills!D18)))</f>
        <v/>
      </c>
    </row>
    <row r="149">
      <c r="A149" t="inlineStr">
        <is>
          <t>Attack Speed Buff Bonus %</t>
        </is>
      </c>
      <c r="B149">
        <f>((C139=TRUE)*F139*IF(AND(Inputs!$B$39&lt;&gt;"pvp",Inputs!$B$44&gt;0),(((R139-1)*(Skills!T20*(1+Inputs!$B$35/100))+MIN((Skills!T20*(1+Inputs!$B$35/100)),MAX(0,Inputs!$B$44-((R139-1)*Skills!D20))))/Inputs!$B$44),IF(Inputs!$B$39="pvp",MIN((Skills!T20*(1+Inputs!$B$35/100)),15)/15,(Skills!T20*(1+Inputs!$B$35/100))/Skills!D20)))</f>
        <v/>
      </c>
    </row>
    <row r="150">
      <c r="A150" t="inlineStr">
        <is>
          <t>Actions Per Second</t>
        </is>
      </c>
      <c r="B150">
        <f>1+MIN(150,150*(1-(1-(Inputs!$B$12+((C140=TRUE)*(F140-Calc!F21)))/150)*(1-B149/150)))/100</f>
        <v/>
      </c>
    </row>
    <row r="151">
      <c r="A151" t="inlineStr">
        <is>
          <t>Skill + Buff Cast Rate</t>
        </is>
      </c>
      <c r="B151">
        <f>IF(AND(Inputs!$B$39&lt;&gt;"pvp",Inputs!$B$44&gt;0),SUMPRODUCT((Skills!E2:E26=TRUE)*(C121:C145=TRUE)*R121:R145*Skills!F2:F26)/Inputs!$B$44,SUMPRODUCT((Skills!E2:E26=TRUE)*(C121:C145=TRUE)*Q121:Q145*Skills!F2:F26))</f>
        <v/>
      </c>
    </row>
    <row r="152">
      <c r="A152" t="inlineStr">
        <is>
          <t>Dark Impale Casts Per Second</t>
        </is>
      </c>
      <c r="B152">
        <f>MAX(0,B150-B151)</f>
        <v/>
      </c>
    </row>
    <row r="153">
      <c r="A153" t="inlineStr">
        <is>
          <t>Global Critical Damage Bonus % (Lord of Darkness)</t>
        </is>
      </c>
      <c r="B153">
        <f>((C138=TRUE)*F138*(Skills!J19/100)*IF(AND(Inputs!$B$39&lt;&gt;"pvp",Inputs!$B$44&gt;0),(((R138-1)*(Skills!T19*(1+Inputs!$B$35/100))+MIN((Skills!T19*(1+Inputs!$B$35/100)),MAX(0,Inputs!$B$44-((R138-1)*Skills!D19))))/Inputs!$B$44),IF(Inputs!$B$39="pvp",MIN((Skills!T19*(1+Inputs!$B$35/100)),15)/15,(Skills!T19*(1+Inputs!$B$35/100))/Skills!D19)))</f>
        <v/>
      </c>
    </row>
    <row r="154">
      <c r="A154" t="inlineStr">
        <is>
          <t>Global Final Damage Bonus % (unused)</t>
        </is>
      </c>
      <c r="B154" t="n">
        <v>0</v>
      </c>
    </row>
    <row r="155">
      <c r="A155" t="inlineStr">
        <is>
          <t>Buff-Casting Startup Delay (s, fixed-duration only)</t>
        </is>
      </c>
      <c r="B155">
        <f>IF(AND(Inputs!$B$39&lt;&gt;"pvp",Inputs!$B$44&gt;0),SUMPRODUCT((Skills!T2:T26&gt;0)*(Skills!E2:E26=TRUE)*(C121:C145=TRUE))/B150,0)</f>
        <v/>
      </c>
    </row>
    <row r="156">
      <c r="A156" t="inlineStr">
        <is>
          <t>Boss-Only Total DPS (this block's swept value)</t>
        </is>
      </c>
      <c r="B156">
        <f>SUM(T121:T145)</f>
        <v/>
      </c>
    </row>
    <row r="157">
      <c r="A157" t="inlineStr">
        <is>
          <t>Normal-Only Total DPS (this block's swept value)</t>
        </is>
      </c>
      <c r="B157">
        <f>SUM(V121:V145)</f>
        <v/>
      </c>
    </row>
    <row r="158">
      <c r="A158" s="5" t="inlineStr">
        <is>
          <t>TOTAL DPS</t>
        </is>
      </c>
      <c r="B158" s="5">
        <f>SUM(O121:O145)</f>
        <v/>
      </c>
    </row>
    <row r="161">
      <c r="A161" s="5" t="inlineStr">
        <is>
          <t>Stat: Defense (flat) — Iron Wall converts a level-scaling % (10%+) into STR</t>
        </is>
      </c>
    </row>
    <row r="162">
      <c r="A162" s="9" t="inlineStr">
        <is>
          <t>Key</t>
        </is>
      </c>
      <c r="B162" s="9" t="inlineStr">
        <is>
          <t>Name</t>
        </is>
      </c>
      <c r="C162" s="9" t="inlineStr">
        <is>
          <t>Unlocked</t>
        </is>
      </c>
      <c r="D162" s="9" t="inlineStr">
        <is>
          <t>InputLevel</t>
        </is>
      </c>
      <c r="E162" s="9" t="inlineStr">
        <is>
          <t>Factor</t>
        </is>
      </c>
      <c r="F162" s="9" t="inlineStr">
        <is>
          <t>CoefficientPercent</t>
        </is>
      </c>
      <c r="G162" s="9" t="inlineStr">
        <is>
          <t>EffectiveHits</t>
        </is>
      </c>
      <c r="H162" s="9" t="inlineStr">
        <is>
          <t>ProcProbability</t>
        </is>
      </c>
      <c r="I162" s="9" t="inlineStr">
        <is>
          <t>MapleHeroMultiplier</t>
        </is>
      </c>
      <c r="J162" s="9" t="inlineStr">
        <is>
          <t>BaseDamage</t>
        </is>
      </c>
      <c r="K162" s="9" t="inlineStr">
        <is>
          <t>BaseHitDamage</t>
        </is>
      </c>
      <c r="L162" s="9" t="inlineStr">
        <is>
          <t>NonCritAvg</t>
        </is>
      </c>
      <c r="M162" s="9" t="inlineStr">
        <is>
          <t>CritAvg</t>
        </is>
      </c>
      <c r="N162" s="9" t="inlineStr">
        <is>
          <t>ExpectedDamage(perHit)</t>
        </is>
      </c>
      <c r="O162" s="9" t="inlineStr">
        <is>
          <t>DPS</t>
        </is>
      </c>
      <c r="P162" s="9" t="inlineStr">
        <is>
          <t>% of Total</t>
        </is>
      </c>
      <c r="Q162" s="9" t="inlineStr">
        <is>
          <t>InvCooldown</t>
        </is>
      </c>
      <c r="R162" s="9" t="inlineStr">
        <is>
          <t>CastsInFight</t>
        </is>
      </c>
      <c r="S162" s="9" t="inlineStr">
        <is>
          <t>HitRate(perSec)</t>
        </is>
      </c>
      <c r="U162" t="inlineStr">
        <is>
          <t>helpers</t>
        </is>
      </c>
    </row>
    <row r="163">
      <c r="A163">
        <f>Skills!A2</f>
        <v/>
      </c>
      <c r="B163">
        <f>Skills!B2</f>
        <v/>
      </c>
      <c r="C163">
        <f>Inputs!$B$3&gt;=100</f>
        <v/>
      </c>
      <c r="D163" t="inlineStr"/>
      <c r="E163" t="inlineStr"/>
      <c r="F163">
        <f>U165+Skills!O2</f>
        <v/>
      </c>
      <c r="G163">
        <f>Skills!G2*IF(Skills!H2&gt;0,Skills!I2/Skills!H2,1)</f>
        <v/>
      </c>
      <c r="H163">
        <f>1-(1-Skills!J2/100)^Skills!K2</f>
        <v/>
      </c>
      <c r="I163" t="inlineStr">
        <is>
          <t>1</t>
        </is>
      </c>
      <c r="J163">
        <f>((Inputs!$B$6*(1+Inputs!$B$7/100))+(((Inputs!$B$13*(1+Inputs!$B$14/100))-(Inputs!$B$13*(1+Inputs!$B$14/100)))+0.25*(Inputs!$B$15-Inputs!$B$15))*(1+Inputs!$B$7/100))*(F163/100)</f>
        <v/>
      </c>
      <c r="K163">
        <f>J163*(1+(((Inputs!$B$13+IF(Inputs!$B$3&gt;=38,(10*INDEX(FactorTable!$B$2:$Y$301, MATCH(ROUND(MIN(300,MAX(1,Inputs!$B$3)),0), FactorTable!$A$2:$A$301,0), 23)/1000)/100*((Inputs!$B$8+1)*(1+Inputs!$B$9/100)),0))*(1+Inputs!$B$14/100))*0.01+Inputs!$B$15*0.0025)/100)*(1+Inputs!$B$16/100)*(1+Inputs!$B$17/100)*(5000/(6000+Inputs!$B$43*(1-(Inputs!$B$20+0)/100)))*(1+(Inputs!$B$25+((C186=TRUE)*(F186-Calc!F25))+((C187=TRUE)*(F187-Calc!F26))+B196)/100)*(1+(IF(Skills!A2="DARK_IMPALE",Inputs!$B$18+0,Inputs!$B$19+((C184=TRUE)*(F184-Calc!F23))))/100)*((1+(((C174=TRUE)*F174*IF(AND(Inputs!$B$39&lt;&gt;"pvp",Inputs!$B$44&gt;0),(((R174-1)*(Skills!T13*(1+Inputs!$B$35/100))+MIN((Skills!T13*(1+Inputs!$B$35/100)),MAX(0,Inputs!$B$44-((R174-1)*Skills!D13))))/Inputs!$B$44),IF(Inputs!$B$39="pvp",MIN((Skills!T13*(1+Inputs!$B$35/100)),15)/15,(Skills!T13*(1+Inputs!$B$35/100))/Skills!D13)))+((C175=TRUE)*F175*IF(AND(Inputs!$B$39&lt;&gt;"pvp",Inputs!$B$44&gt;0),(((R175-1)*(Skills!T14*(1+Inputs!$B$35/100))+MIN((Skills!T14*(1+Inputs!$B$35/100)),MAX(0,Inputs!$B$44-((R175-1)*Skills!D14))))/Inputs!$B$44),IF(Inputs!$B$39="pvp",MIN((Skills!T14*(1+Inputs!$B$35/100)),15)/15,(Skills!T14*(1+Inputs!$B$35/100))/Skills!D14)))+((C176=TRUE)*F176*IF(AND(Inputs!$B$39&lt;&gt;"pvp",Inputs!$B$44&gt;0),(((R176-1)*(Skills!T15*(1+Inputs!$B$35/100))+MIN((Skills!T15*(1+Inputs!$B$35/100)),MAX(0,Inputs!$B$44-((R176-1)*Skills!D15))))/Inputs!$B$44),IF(Inputs!$B$39="pvp",MIN((Skills!T15*(1+Inputs!$B$35/100)),15)/15,(Skills!T15*(1+Inputs!$B$35/100))/Skills!D15)))+((C177=TRUE)*F177*IF(AND(Inputs!$B$39&lt;&gt;"pvp",Inputs!$B$44&gt;0),(((R177-1)*(Skills!T16*(1+Inputs!$B$35/100))+MIN((Skills!T16*(1+Inputs!$B$35/100)),MAX(0,Inputs!$B$44-((R177-1)*Skills!D16))))/Inputs!$B$44),IF(Inputs!$B$39="pvp",MIN((Skills!T16*(1+Inputs!$B$35/100)),15)/15,(Skills!T16*(1+Inputs!$B$35/100))/Skills!D16)))+0)/100)*I163)</f>
        <v/>
      </c>
      <c r="L163">
        <f>K163*(MIN(Inputs!$B$23+((C183=TRUE)*(F183-Calc!F22)),Inputs!$B$24+((C185=TRUE)*(F185-Calc!F24)))/100+(Inputs!$B$24+((C185=TRUE)*(F185-Calc!F24)))/100)/2</f>
        <v/>
      </c>
      <c r="M163">
        <f>L163*(1+(Inputs!$B$11+0+B195)/100)</f>
        <v/>
      </c>
      <c r="N163">
        <f>L163*(1-MIN((Inputs!$B$10+0+B190),100)/100)+M163*(MIN((Inputs!$B$10+0+B190),100)/100)</f>
        <v/>
      </c>
      <c r="O163">
        <f>(1-Summary!$B$55)*T163+Summary!$B$55*V163</f>
        <v/>
      </c>
      <c r="P163">
        <f>IF(B200=0,0,O163/B200)</f>
        <v/>
      </c>
      <c r="Q163" t="n">
        <v>0</v>
      </c>
      <c r="R163" t="n">
        <v>0</v>
      </c>
      <c r="S163">
        <f>IFERROR(O163/N163,0)</f>
        <v/>
      </c>
      <c r="T163">
        <f>IF(C163,(Skills!G2*N163*B194)*IF(Inputs!$B$39="pvp",1,1+(Inputs!$B$21+0+Skills!P2+((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0)</f>
        <v/>
      </c>
      <c r="U163">
        <f>MAX(0,(Inputs!$B$3-100)*3)+Inputs!$B$29+Inputs!$B$30</f>
        <v/>
      </c>
      <c r="V163">
        <f>IF(C163,(Skills!G2*N163*B194)*IF(Inputs!$B$39="pvp",1,(1+(Inputs!$B$22+Skills!Q2+((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MIN((6+Inputs!$B$34),Inputs!$B$38))),0)</f>
        <v/>
      </c>
    </row>
    <row r="164">
      <c r="A164">
        <f>Skills!A3</f>
        <v/>
      </c>
      <c r="B164">
        <f>Skills!B3</f>
        <v/>
      </c>
      <c r="C164">
        <f>Inputs!$B$3&gt;=50</f>
        <v/>
      </c>
      <c r="D164">
        <f>IF(Skills!C3=1,60+Inputs!$B$26+Inputs!$B$30,IF(Skills!C3=2,90+Inputs!$B$27+Inputs!$B$30,IF(Skills!C3=3,120+Inputs!$B$28+Inputs!$B$30,MAX(0,(Inputs!$B$3-100)*3)+Inputs!$B$29+Inputs!$B$30)))</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U164">
        <f>INDEX(FactorTable!$B$2:$Y$301, MATCH(ROUND(MIN(300,MAX(1,U163)),0), FactorTable!$A$2:$A$301,0), 22)</f>
        <v/>
      </c>
    </row>
    <row r="165">
      <c r="A165">
        <f>Skills!A4</f>
        <v/>
      </c>
      <c r="B165">
        <f>Skills!B4</f>
        <v/>
      </c>
      <c r="C165">
        <f>Inputs!$B$3&gt;=105</f>
        <v/>
      </c>
      <c r="D165">
        <f>IF(Skills!C4=1,60+Inputs!$B$26+Inputs!$B$30,IF(Skills!C4=2,90+Inputs!$B$27+Inputs!$B$30,IF(Skills!C4=3,120+Inputs!$B$28+Inputs!$B$30,MAX(0,(Inputs!$B$3-100)*3)+Inputs!$B$29+Inputs!$B$30)))</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U165">
        <f>290*U164/1000</f>
        <v/>
      </c>
    </row>
    <row r="166">
      <c r="A166">
        <f>Skills!A5</f>
        <v/>
      </c>
      <c r="B166">
        <f>Skills!B5</f>
        <v/>
      </c>
      <c r="C166">
        <f>Inputs!$B$3&gt;=117</f>
        <v/>
      </c>
      <c r="D166">
        <f>IF(Skills!C5=1,60+Inputs!$B$26+Inputs!$B$30,IF(Skills!C5=2,90+Inputs!$B$27+Inputs!$B$30,IF(Skills!C5=3,120+Inputs!$B$28+Inputs!$B$30,MAX(0,(Inputs!$B$3-100)*3)+Inputs!$B$29+Inputs!$B$30)))</f>
        <v/>
      </c>
      <c r="E166">
        <f>INDEX(FactorTable!$B$2:$Y$301, MATCH(ROUND(MIN(300,MAX(1,D166)),0), FactorTable!$A$2:$A$301,0), Skills!M5+1)</f>
        <v/>
      </c>
      <c r="F166">
        <f>IF(Skills!N5=TRUE,(Skills!L5/10)*(E166/1000),Skills!L5/10)+Skills!O5</f>
        <v/>
      </c>
      <c r="G166">
        <f>Skills!G5*IF(Skills!H5&gt;0,Skills!I5/Skills!H5,1)</f>
        <v/>
      </c>
      <c r="H166">
        <f>1-(1-Skills!J5/100)^Skills!K5</f>
        <v/>
      </c>
      <c r="I166" t="inlineStr">
        <is>
          <t>1</t>
        </is>
      </c>
      <c r="J166">
        <f>((Inputs!$B$6*(1+Inputs!$B$7/100))+(((Inputs!$B$13*(1+Inputs!$B$14/100))-(Inputs!$B$13*(1+Inputs!$B$14/100)))+0.25*(Inputs!$B$15-Inputs!$B$15))*(1+Inputs!$B$7/100))*(F166/100)</f>
        <v/>
      </c>
      <c r="K166">
        <f>J166*(1+(((Inputs!$B$13+IF(Inputs!$B$3&gt;=38,(10*INDEX(FactorTable!$B$2:$Y$301, MATCH(ROUND(MIN(300,MAX(1,Inputs!$B$3)),0), FactorTable!$A$2:$A$301,0), 23)/1000)/100*((Inputs!$B$8+1)*(1+Inputs!$B$9/100)),0))*(1+Inputs!$B$14/100))*0.01+Inputs!$B$15*0.0025)/100)*(1+Inputs!$B$16/100)*(1+Inputs!$B$17/100)*(5000/(6000+Inputs!$B$43*(1-(Inputs!$B$20+0)/100)))*(1+(Inputs!$B$25+((C186=TRUE)*(F186-Calc!F25))+((C187=TRUE)*(F187-Calc!F26))+B196)/100)*(1+(IF(Skills!A5="DARK_IMPALE",Inputs!$B$18+0,Inputs!$B$19+((C184=TRUE)*(F184-Calc!F23))))/100)*((1+(((C174=TRUE)*F174*IF(AND(Inputs!$B$39&lt;&gt;"pvp",Inputs!$B$44&gt;0),(((R174-1)*(Skills!T13*(1+Inputs!$B$35/100))+MIN((Skills!T13*(1+Inputs!$B$35/100)),MAX(0,Inputs!$B$44-((R174-1)*Skills!D13))))/Inputs!$B$44),IF(Inputs!$B$39="pvp",MIN((Skills!T13*(1+Inputs!$B$35/100)),15)/15,(Skills!T13*(1+Inputs!$B$35/100))/Skills!D13)))+((C175=TRUE)*F175*IF(AND(Inputs!$B$39&lt;&gt;"pvp",Inputs!$B$44&gt;0),(((R175-1)*(Skills!T14*(1+Inputs!$B$35/100))+MIN((Skills!T14*(1+Inputs!$B$35/100)),MAX(0,Inputs!$B$44-((R175-1)*Skills!D14))))/Inputs!$B$44),IF(Inputs!$B$39="pvp",MIN((Skills!T14*(1+Inputs!$B$35/100)),15)/15,(Skills!T14*(1+Inputs!$B$35/100))/Skills!D14)))+((C176=TRUE)*F176*IF(AND(Inputs!$B$39&lt;&gt;"pvp",Inputs!$B$44&gt;0),(((R176-1)*(Skills!T15*(1+Inputs!$B$35/100))+MIN((Skills!T15*(1+Inputs!$B$35/100)),MAX(0,Inputs!$B$44-((R176-1)*Skills!D15))))/Inputs!$B$44),IF(Inputs!$B$39="pvp",MIN((Skills!T15*(1+Inputs!$B$35/100)),15)/15,(Skills!T15*(1+Inputs!$B$35/100))/Skills!D15)))+((C177=TRUE)*F177*IF(AND(Inputs!$B$39&lt;&gt;"pvp",Inputs!$B$44&gt;0),(((R177-1)*(Skills!T16*(1+Inputs!$B$35/100))+MIN((Skills!T16*(1+Inputs!$B$35/100)),MAX(0,Inputs!$B$44-((R177-1)*Skills!D16))))/Inputs!$B$44),IF(Inputs!$B$39="pvp",MIN((Skills!T16*(1+Inputs!$B$35/100)),15)/15,(Skills!T16*(1+Inputs!$B$35/100))/Skills!D16)))+0)/100)*I166)</f>
        <v/>
      </c>
      <c r="L166">
        <f>K166*(MIN(Inputs!$B$23+((C183=TRUE)*(F183-Calc!F22)),Inputs!$B$24+((C185=TRUE)*(F185-Calc!F24)))/100+(Inputs!$B$24+((C185=TRUE)*(F185-Calc!F24)))/100)/2</f>
        <v/>
      </c>
      <c r="M166">
        <f>L166*(1+(Inputs!$B$11+0+B195)/100)</f>
        <v/>
      </c>
      <c r="N166">
        <f>L166*(1-MIN((Inputs!$B$10+0+B190),100)/100)+M166*(MIN((Inputs!$B$10+0+B190),100)/100)</f>
        <v/>
      </c>
      <c r="O166">
        <f>(1-Summary!$B$55)*T166+Summary!$B$55*V166</f>
        <v/>
      </c>
      <c r="P166">
        <f>IF(B200=0,0,O166/B200)</f>
        <v/>
      </c>
      <c r="Q166">
        <f>IFERROR(1/IF(Inputs!$B$39="pvp",15,MAX(0.1,Skills!D5-IF(Skills!E5=TRUE,Inputs!$B$33,0))),0)</f>
        <v/>
      </c>
      <c r="R166">
        <f>IF(AND(Inputs!$B$39&lt;&gt;"pvp",Inputs!$B$44&gt;0),IF(MAX(0,Inputs!$B$44-B197)&lt;=0,0,(INT(MAX(0,Inputs!$B$44-B197)/IF(Inputs!$B$39="pvp",15,MAX(0.1,Skills!D5-IF(Skills!E5=TRUE,Inputs!$B$33,0))))+1)),0)</f>
        <v/>
      </c>
      <c r="S166">
        <f>IFERROR(O166/N166,0)</f>
        <v/>
      </c>
      <c r="T166">
        <f>IF(C166,(H166*N166*IF(AND(Inputs!$B$39&lt;&gt;"pvp",Inputs!$B$44&gt;0),((Skills!G5*((R166-1)*IF(Skills!H5&gt;0,Skills!I5/Skills!H5,1)+IF(Skills!H5&gt;0,MIN(Skills!I5,MAX(0,MAX(0,Inputs!$B$44-B197)-((R166-1)*IF(Inputs!$B$39="pvp",15,MAX(0.1,Skills!D5-IF(Skills!E5=TRUE,Inputs!$B$33,0))))))/Skills!H5,1)))/Inputs!$B$44),G166*Q166))*IF(Inputs!$B$39="pvp",1,1+(Inputs!$B$21+0+Skills!P5+((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0)</f>
        <v/>
      </c>
      <c r="V166">
        <f>IF(C166,(H166*N166*IF(AND(Inputs!$B$39&lt;&gt;"pvp",Inputs!$B$44&gt;0),((Skills!G5*((R166-1)*IF(Skills!H5&gt;0,Skills!I5/Skills!H5,1)+IF(Skills!H5&gt;0,MIN(Skills!I5,MAX(0,MAX(0,Inputs!$B$44-B197)-((R166-1)*IF(Inputs!$B$39="pvp",15,MAX(0.1,Skills!D5-IF(Skills!E5=TRUE,Inputs!$B$33,0))))))/Skills!H5,1)))/Inputs!$B$44),G166*Q166))*IF(Inputs!$B$39="pvp",1,(1+(Inputs!$B$22+Skills!Q5+((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MIN(Skills!R5,Inputs!$B$38))),0)</f>
        <v/>
      </c>
    </row>
    <row r="167">
      <c r="A167">
        <f>Skills!A6</f>
        <v/>
      </c>
      <c r="B167">
        <f>Skills!B6</f>
        <v/>
      </c>
      <c r="C167">
        <f>Inputs!$B$3&gt;=103</f>
        <v/>
      </c>
      <c r="D167">
        <f>IF(Skills!C6=1,60+Inputs!$B$26+Inputs!$B$30,IF(Skills!C6=2,90+Inputs!$B$27+Inputs!$B$30,IF(Skills!C6=3,120+Inputs!$B$28+Inputs!$B$30,MAX(0,(Inputs!$B$3-100)*3)+Inputs!$B$29+Inputs!$B$30)))</f>
        <v/>
      </c>
      <c r="E167">
        <f>INDEX(FactorTable!$B$2:$Y$301, MATCH(ROUND(MIN(300,MAX(1,D167)),0), FactorTable!$A$2:$A$301,0), Skills!M6+1)</f>
        <v/>
      </c>
      <c r="F167">
        <f>IF(Skills!N6=TRUE,(Skills!L6/10)*(E167/1000),Skills!L6/10)+Skills!O6</f>
        <v/>
      </c>
      <c r="G167">
        <f>Skills!G6*IF(Skills!H6&gt;0,Skills!I6/Skills!H6,1)</f>
        <v/>
      </c>
      <c r="H167">
        <f>1-(1-Skills!J6/100)^Skills!K6</f>
        <v/>
      </c>
      <c r="I167" t="inlineStr">
        <is>
          <t>1</t>
        </is>
      </c>
      <c r="J167">
        <f>((Inputs!$B$6*(1+Inputs!$B$7/100))+(((Inputs!$B$13*(1+Inputs!$B$14/100))-(Inputs!$B$13*(1+Inputs!$B$14/100)))+0.25*(Inputs!$B$15-Inputs!$B$15))*(1+Inputs!$B$7/100))*(F167/100)</f>
        <v/>
      </c>
      <c r="K167">
        <f>J167*(1+(((Inputs!$B$13+IF(Inputs!$B$3&gt;=38,(10*INDEX(FactorTable!$B$2:$Y$301, MATCH(ROUND(MIN(300,MAX(1,Inputs!$B$3)),0), FactorTable!$A$2:$A$301,0), 23)/1000)/100*((Inputs!$B$8+1)*(1+Inputs!$B$9/100)),0))*(1+Inputs!$B$14/100))*0.01+Inputs!$B$15*0.0025)/100)*(1+Inputs!$B$16/100)*(1+Inputs!$B$17/100)*(5000/(6000+Inputs!$B$43*(1-(Inputs!$B$20+0)/100)))*(1+(Inputs!$B$25+((C186=TRUE)*(F186-Calc!F25))+((C187=TRUE)*(F187-Calc!F26))+B196)/100)*(1+(IF(Skills!A6="DARK_IMPALE",Inputs!$B$18+0,Inputs!$B$19+((C184=TRUE)*(F184-Calc!F23))))/100)*((1+(((C174=TRUE)*F174*IF(AND(Inputs!$B$39&lt;&gt;"pvp",Inputs!$B$44&gt;0),(((R174-1)*(Skills!T13*(1+Inputs!$B$35/100))+MIN((Skills!T13*(1+Inputs!$B$35/100)),MAX(0,Inputs!$B$44-((R174-1)*Skills!D13))))/Inputs!$B$44),IF(Inputs!$B$39="pvp",MIN((Skills!T13*(1+Inputs!$B$35/100)),15)/15,(Skills!T13*(1+Inputs!$B$35/100))/Skills!D13)))+((C175=TRUE)*F175*IF(AND(Inputs!$B$39&lt;&gt;"pvp",Inputs!$B$44&gt;0),(((R175-1)*(Skills!T14*(1+Inputs!$B$35/100))+MIN((Skills!T14*(1+Inputs!$B$35/100)),MAX(0,Inputs!$B$44-((R175-1)*Skills!D14))))/Inputs!$B$44),IF(Inputs!$B$39="pvp",MIN((Skills!T14*(1+Inputs!$B$35/100)),15)/15,(Skills!T14*(1+Inputs!$B$35/100))/Skills!D14)))+((C176=TRUE)*F176*IF(AND(Inputs!$B$39&lt;&gt;"pvp",Inputs!$B$44&gt;0),(((R176-1)*(Skills!T15*(1+Inputs!$B$35/100))+MIN((Skills!T15*(1+Inputs!$B$35/100)),MAX(0,Inputs!$B$44-((R176-1)*Skills!D15))))/Inputs!$B$44),IF(Inputs!$B$39="pvp",MIN((Skills!T15*(1+Inputs!$B$35/100)),15)/15,(Skills!T15*(1+Inputs!$B$35/100))/Skills!D15)))+((C177=TRUE)*F177*IF(AND(Inputs!$B$39&lt;&gt;"pvp",Inputs!$B$44&gt;0),(((R177-1)*(Skills!T16*(1+Inputs!$B$35/100))+MIN((Skills!T16*(1+Inputs!$B$35/100)),MAX(0,Inputs!$B$44-((R177-1)*Skills!D16))))/Inputs!$B$44),IF(Inputs!$B$39="pvp",MIN((Skills!T16*(1+Inputs!$B$35/100)),15)/15,(Skills!T16*(1+Inputs!$B$35/100))/Skills!D16)))+0)/100)*I167)</f>
        <v/>
      </c>
      <c r="L167">
        <f>K167*(MIN(Inputs!$B$23+((C183=TRUE)*(F183-Calc!F22)),Inputs!$B$24+((C185=TRUE)*(F185-Calc!F24)))/100+(Inputs!$B$24+((C185=TRUE)*(F185-Calc!F24)))/100)/2</f>
        <v/>
      </c>
      <c r="M167">
        <f>L167*(1+(Inputs!$B$11+0+B195)/100)</f>
        <v/>
      </c>
      <c r="N167">
        <f>L167*(1-MIN((Inputs!$B$10+0+B190),100)/100)+M167*(MIN((Inputs!$B$10+0+B190),100)/100)</f>
        <v/>
      </c>
      <c r="O167">
        <f>(1-Summary!$B$55)*T167+Summary!$B$55*V167</f>
        <v/>
      </c>
      <c r="P167">
        <f>IF(B200=0,0,O167/B200)</f>
        <v/>
      </c>
      <c r="Q167">
        <f>IFERROR(1/IF(Inputs!$B$39="pvp",15,MAX(0.1,Skills!D6-IF(Skills!E6=TRUE,Inputs!$B$33,0))),0)</f>
        <v/>
      </c>
      <c r="R167">
        <f>IF(AND(Inputs!$B$39&lt;&gt;"pvp",Inputs!$B$44&gt;0),IF(MAX(0,Inputs!$B$44-B197)&lt;=0,0,(INT(MAX(0,Inputs!$B$44-B197)/IF(Inputs!$B$39="pvp",15,MAX(0.1,Skills!D6-IF(Skills!E6=TRUE,Inputs!$B$33,0))))+1)),0)</f>
        <v/>
      </c>
      <c r="S167">
        <f>IFERROR(O167/N167,0)</f>
        <v/>
      </c>
      <c r="T167">
        <f>IF(C167,(H167*N167*IF(AND(Inputs!$B$39&lt;&gt;"pvp",Inputs!$B$44&gt;0),((Skills!G6*((R167-1)*IF(Skills!H6&gt;0,Skills!I6/Skills!H6,1)+IF(Skills!H6&gt;0,MIN(Skills!I6,MAX(0,MAX(0,Inputs!$B$44-B197)-((R167-1)*IF(Inputs!$B$39="pvp",15,MAX(0.1,Skills!D6-IF(Skills!E6=TRUE,Inputs!$B$33,0))))))/Skills!H6,1)))/Inputs!$B$44),G167*Q167))*IF(Inputs!$B$39="pvp",1,1+(Inputs!$B$21+0+Skills!P6+((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0)</f>
        <v/>
      </c>
      <c r="V167">
        <f>IF(C167,(H167*N167*IF(AND(Inputs!$B$39&lt;&gt;"pvp",Inputs!$B$44&gt;0),((Skills!G6*((R167-1)*IF(Skills!H6&gt;0,Skills!I6/Skills!H6,1)+IF(Skills!H6&gt;0,MIN(Skills!I6,MAX(0,MAX(0,Inputs!$B$44-B197)-((R167-1)*IF(Inputs!$B$39="pvp",15,MAX(0.1,Skills!D6-IF(Skills!E6=TRUE,Inputs!$B$33,0))))))/Skills!H6,1)))/Inputs!$B$44),G167*Q167))*IF(Inputs!$B$39="pvp",1,(1+(Inputs!$B$22+Skills!Q6+((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MIN(Skills!R6,Inputs!$B$38))),0)</f>
        <v/>
      </c>
    </row>
    <row r="168">
      <c r="A168">
        <f>Skills!A7</f>
        <v/>
      </c>
      <c r="B168">
        <f>Skills!B7</f>
        <v/>
      </c>
      <c r="C168">
        <f>Inputs!$B$3&gt;=40</f>
        <v/>
      </c>
      <c r="D168">
        <f>IF(Skills!C7=1,60+Inputs!$B$26+Inputs!$B$30,IF(Skills!C7=2,90+Inputs!$B$27+Inputs!$B$30,IF(Skills!C7=3,120+Inputs!$B$28+Inputs!$B$30,MAX(0,(Inputs!$B$3-100)*3)+Inputs!$B$29+Inputs!$B$30)))</f>
        <v/>
      </c>
      <c r="E168">
        <f>INDEX(FactorTable!$B$2:$Y$301, MATCH(ROUND(MIN(300,MAX(1,D168)),0), FactorTable!$A$2:$A$301,0), Skills!M7+1)</f>
        <v/>
      </c>
      <c r="F168">
        <f>IF(Skills!N7=TRUE,(Skills!L7/10)*(E168/1000),Skills!L7/10)+Skills!O7</f>
        <v/>
      </c>
      <c r="G168">
        <f>Skills!G7*IF(Skills!H7&gt;0,Skills!I7/Skills!H7,1)</f>
        <v/>
      </c>
      <c r="H168">
        <f>1-(1-Skills!J7/100)^Skills!K7</f>
        <v/>
      </c>
      <c r="I168" t="inlineStr">
        <is>
          <t>1</t>
        </is>
      </c>
      <c r="J168">
        <f>((Inputs!$B$6*(1+Inputs!$B$7/100))+(((Inputs!$B$13*(1+Inputs!$B$14/100))-(Inputs!$B$13*(1+Inputs!$B$14/100)))+0.25*(Inputs!$B$15-Inputs!$B$15))*(1+Inputs!$B$7/100))*(F168/100)</f>
        <v/>
      </c>
      <c r="K168">
        <f>J168*(1+(((Inputs!$B$13+IF(Inputs!$B$3&gt;=38,(10*INDEX(FactorTable!$B$2:$Y$301, MATCH(ROUND(MIN(300,MAX(1,Inputs!$B$3)),0), FactorTable!$A$2:$A$301,0), 23)/1000)/100*((Inputs!$B$8+1)*(1+Inputs!$B$9/100)),0))*(1+Inputs!$B$14/100))*0.01+Inputs!$B$15*0.0025)/100)*(1+Inputs!$B$16/100)*(1+Inputs!$B$17/100)*(5000/(6000+Inputs!$B$43*(1-(Inputs!$B$20+0)/100)))*(1+(Inputs!$B$25+((C186=TRUE)*(F186-Calc!F25))+((C187=TRUE)*(F187-Calc!F26))+B196)/100)*(1+0.75*IF(C172=TRUE,F172,0)/100)*(1+(IF(Skills!A7="DARK_IMPALE",Inputs!$B$18+0,Inputs!$B$19+((C184=TRUE)*(F184-Calc!F23))))/100)*((1+(((C174=TRUE)*F174*IF(AND(Inputs!$B$39&lt;&gt;"pvp",Inputs!$B$44&gt;0),(((R174-1)*(Skills!T13*(1+Inputs!$B$35/100))+MIN((Skills!T13*(1+Inputs!$B$35/100)),MAX(0,Inputs!$B$44-((R174-1)*Skills!D13))))/Inputs!$B$44),IF(Inputs!$B$39="pvp",MIN((Skills!T13*(1+Inputs!$B$35/100)),15)/15,(Skills!T13*(1+Inputs!$B$35/100))/Skills!D13)))+((C175=TRUE)*F175*IF(AND(Inputs!$B$39&lt;&gt;"pvp",Inputs!$B$44&gt;0),(((R175-1)*(Skills!T14*(1+Inputs!$B$35/100))+MIN((Skills!T14*(1+Inputs!$B$35/100)),MAX(0,Inputs!$B$44-((R175-1)*Skills!D14))))/Inputs!$B$44),IF(Inputs!$B$39="pvp",MIN((Skills!T14*(1+Inputs!$B$35/100)),15)/15,(Skills!T14*(1+Inputs!$B$35/100))/Skills!D14)))+((C176=TRUE)*F176*IF(AND(Inputs!$B$39&lt;&gt;"pvp",Inputs!$B$44&gt;0),(((R176-1)*(Skills!T15*(1+Inputs!$B$35/100))+MIN((Skills!T15*(1+Inputs!$B$35/100)),MAX(0,Inputs!$B$44-((R176-1)*Skills!D15))))/Inputs!$B$44),IF(Inputs!$B$39="pvp",MIN((Skills!T15*(1+Inputs!$B$35/100)),15)/15,(Skills!T15*(1+Inputs!$B$35/100))/Skills!D15)))+((C177=TRUE)*F177*IF(AND(Inputs!$B$39&lt;&gt;"pvp",Inputs!$B$44&gt;0),(((R177-1)*(Skills!T16*(1+Inputs!$B$35/100))+MIN((Skills!T16*(1+Inputs!$B$35/100)),MAX(0,Inputs!$B$44-((R177-1)*Skills!D16))))/Inputs!$B$44),IF(Inputs!$B$39="pvp",MIN((Skills!T16*(1+Inputs!$B$35/100)),15)/15,(Skills!T16*(1+Inputs!$B$35/100))/Skills!D16)))+0)/100)*I168)</f>
        <v/>
      </c>
      <c r="L168">
        <f>K168*(MIN(Inputs!$B$23+((C183=TRUE)*(F183-Calc!F22)),Inputs!$B$24+((C185=TRUE)*(F185-Calc!F24)))/100+(Inputs!$B$24+((C185=TRUE)*(F185-Calc!F24)))/100)/2</f>
        <v/>
      </c>
      <c r="M168">
        <f>L168*(1+(Inputs!$B$11+0+B195)/100)</f>
        <v/>
      </c>
      <c r="N168">
        <f>L168*(1-MIN((Inputs!$B$10+0+B190),100)/100)+M168*(MIN((Inputs!$B$10+0+B190),100)/100)</f>
        <v/>
      </c>
      <c r="O168">
        <f>(1-Summary!$B$55)*T168+Summary!$B$55*V168</f>
        <v/>
      </c>
      <c r="P168">
        <f>IF(B200=0,0,O168/B200)</f>
        <v/>
      </c>
      <c r="Q168">
        <f>IFERROR(1/IF(Inputs!$B$39="pvp",15,MAX(0.1,Skills!D7-IF(Skills!E7=TRUE,Inputs!$B$33,0))),0)</f>
        <v/>
      </c>
      <c r="R168">
        <f>IF(AND(Inputs!$B$39&lt;&gt;"pvp",Inputs!$B$44&gt;0),IF(MAX(0,Inputs!$B$44-B197)&lt;=0,0,(INT(MAX(0,Inputs!$B$44-B197)/IF(Inputs!$B$39="pvp",15,MAX(0.1,Skills!D7-IF(Skills!E7=TRUE,Inputs!$B$33,0))))+1)),0)</f>
        <v/>
      </c>
      <c r="S168">
        <f>IFERROR(O168/N168,0)</f>
        <v/>
      </c>
      <c r="T168">
        <f>IF(C168,(H168*N168*IF(AND(Inputs!$B$39&lt;&gt;"pvp",Inputs!$B$44&gt;0),((Skills!G7*((R168-1)*IF(Skills!H7&gt;0,Skills!I7/Skills!H7,1)+IF(Skills!H7&gt;0,MIN(Skills!I7,MAX(0,MAX(0,Inputs!$B$44-B197)-((R168-1)*IF(Inputs!$B$39="pvp",15,MAX(0.1,Skills!D7-IF(Skills!E7=TRUE,Inputs!$B$33,0))))))/Skills!H7,1)))/Inputs!$B$44),G168*Q168))*IF(Inputs!$B$39="pvp",1,1+(Inputs!$B$21+0+Skills!P7+((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0)</f>
        <v/>
      </c>
      <c r="V168">
        <f>IF(C168,(H168*N168*IF(AND(Inputs!$B$39&lt;&gt;"pvp",Inputs!$B$44&gt;0),((Skills!G7*((R168-1)*IF(Skills!H7&gt;0,Skills!I7/Skills!H7,1)+IF(Skills!H7&gt;0,MIN(Skills!I7,MAX(0,MAX(0,Inputs!$B$44-B197)-((R168-1)*IF(Inputs!$B$39="pvp",15,MAX(0.1,Skills!D7-IF(Skills!E7=TRUE,Inputs!$B$33,0))))))/Skills!H7,1)))/Inputs!$B$44),G168*Q168))*IF(Inputs!$B$39="pvp",1,(1+(Inputs!$B$22+Skills!Q7+((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MIN(Skills!R7,Inputs!$B$38))),0)</f>
        <v/>
      </c>
    </row>
    <row r="169">
      <c r="A169">
        <f>Skills!A8</f>
        <v/>
      </c>
      <c r="B169">
        <f>Skills!B8</f>
        <v/>
      </c>
      <c r="C169">
        <f>Inputs!$B$3&gt;=75</f>
        <v/>
      </c>
      <c r="D169">
        <f>IF(Skills!C8=1,60+Inputs!$B$26+Inputs!$B$30,IF(Skills!C8=2,90+Inputs!$B$27+Inputs!$B$30,IF(Skills!C8=3,120+Inputs!$B$28+Inputs!$B$30,MAX(0,(Inputs!$B$3-100)*3)+Inputs!$B$29+Inputs!$B$30)))</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row>
    <row r="170">
      <c r="A170">
        <f>Skills!A9</f>
        <v/>
      </c>
      <c r="B170">
        <f>Skills!B9</f>
        <v/>
      </c>
      <c r="C170">
        <f>Inputs!$B$3&gt;=60</f>
        <v/>
      </c>
      <c r="D170">
        <f>IF(Skills!C9=1,60+Inputs!$B$26+Inputs!$B$30,IF(Skills!C9=2,90+Inputs!$B$27+Inputs!$B$30,IF(Skills!C9=3,120+Inputs!$B$28+Inputs!$B$30,MAX(0,(Inputs!$B$3-100)*3)+Inputs!$B$29+Inputs!$B$30)))</f>
        <v/>
      </c>
      <c r="E170">
        <f>INDEX(FactorTable!$B$2:$Y$301, MATCH(ROUND(MIN(300,MAX(1,D170)),0), FactorTable!$A$2:$A$301,0), Skills!M9+1)</f>
        <v/>
      </c>
      <c r="F170">
        <f>IF(Skills!N9=TRUE,(Skills!L9/10)*(E170/1000),Skills!L9/10)+Skills!O9</f>
        <v/>
      </c>
      <c r="G170">
        <f>Skills!G9*IF(Skills!H9&gt;0,Skills!I9/Skills!H9,1)</f>
        <v/>
      </c>
      <c r="H170">
        <f>1-(1-Skills!J9/100)^Skills!K9</f>
        <v/>
      </c>
      <c r="I170" t="inlineStr">
        <is>
          <t>1</t>
        </is>
      </c>
      <c r="J170">
        <f>((Inputs!$B$6*(1+Inputs!$B$7/100))+(((Inputs!$B$13*(1+Inputs!$B$14/100))-(Inputs!$B$13*(1+Inputs!$B$14/100)))+0.25*(Inputs!$B$15-Inputs!$B$15))*(1+Inputs!$B$7/100))*(F170/100)</f>
        <v/>
      </c>
      <c r="K170">
        <f>J170*(1+(((Inputs!$B$13+IF(Inputs!$B$3&gt;=38,(10*INDEX(FactorTable!$B$2:$Y$301, MATCH(ROUND(MIN(300,MAX(1,Inputs!$B$3)),0), FactorTable!$A$2:$A$301,0), 23)/1000)/100*((Inputs!$B$8+1)*(1+Inputs!$B$9/100)),0))*(1+Inputs!$B$14/100))*0.01+Inputs!$B$15*0.0025)/100)*(1+Inputs!$B$16/100)*(1+Inputs!$B$17/100)*(5000/(6000+Inputs!$B$43*(1-(Inputs!$B$20+0)/100)))*(1+(Inputs!$B$25+((C186=TRUE)*(F186-Calc!F25))+((C187=TRUE)*(F187-Calc!F26))+B196)/100)*(1+1.0*IF(C172=TRUE,F172,0)/100)*(1+(IF(Skills!A9="DARK_IMPALE",Inputs!$B$18+0,Inputs!$B$19+((C184=TRUE)*(F184-Calc!F23))))/100)*((1+(((C174=TRUE)*F174*IF(AND(Inputs!$B$39&lt;&gt;"pvp",Inputs!$B$44&gt;0),(((R174-1)*(Skills!T13*(1+Inputs!$B$35/100))+MIN((Skills!T13*(1+Inputs!$B$35/100)),MAX(0,Inputs!$B$44-((R174-1)*Skills!D13))))/Inputs!$B$44),IF(Inputs!$B$39="pvp",MIN((Skills!T13*(1+Inputs!$B$35/100)),15)/15,(Skills!T13*(1+Inputs!$B$35/100))/Skills!D13)))+((C175=TRUE)*F175*IF(AND(Inputs!$B$39&lt;&gt;"pvp",Inputs!$B$44&gt;0),(((R175-1)*(Skills!T14*(1+Inputs!$B$35/100))+MIN((Skills!T14*(1+Inputs!$B$35/100)),MAX(0,Inputs!$B$44-((R175-1)*Skills!D14))))/Inputs!$B$44),IF(Inputs!$B$39="pvp",MIN((Skills!T14*(1+Inputs!$B$35/100)),15)/15,(Skills!T14*(1+Inputs!$B$35/100))/Skills!D14)))+((C176=TRUE)*F176*IF(AND(Inputs!$B$39&lt;&gt;"pvp",Inputs!$B$44&gt;0),(((R176-1)*(Skills!T15*(1+Inputs!$B$35/100))+MIN((Skills!T15*(1+Inputs!$B$35/100)),MAX(0,Inputs!$B$44-((R176-1)*Skills!D15))))/Inputs!$B$44),IF(Inputs!$B$39="pvp",MIN((Skills!T15*(1+Inputs!$B$35/100)),15)/15,(Skills!T15*(1+Inputs!$B$35/100))/Skills!D15)))+((C177=TRUE)*F177*IF(AND(Inputs!$B$39&lt;&gt;"pvp",Inputs!$B$44&gt;0),(((R177-1)*(Skills!T16*(1+Inputs!$B$35/100))+MIN((Skills!T16*(1+Inputs!$B$35/100)),MAX(0,Inputs!$B$44-((R177-1)*Skills!D16))))/Inputs!$B$44),IF(Inputs!$B$39="pvp",MIN((Skills!T16*(1+Inputs!$B$35/100)),15)/15,(Skills!T16*(1+Inputs!$B$35/100))/Skills!D16)))+0)/100)*I170)</f>
        <v/>
      </c>
      <c r="L170">
        <f>K170*(MIN(Inputs!$B$23+((C183=TRUE)*(F183-Calc!F22)),Inputs!$B$24+((C185=TRUE)*(F185-Calc!F24)))/100+(Inputs!$B$24+((C185=TRUE)*(F185-Calc!F24)))/100)/2</f>
        <v/>
      </c>
      <c r="M170">
        <f>L170*(1+(Inputs!$B$11+0+B195)/100)</f>
        <v/>
      </c>
      <c r="N170">
        <f>L170*(1-MIN((Inputs!$B$10+0+B190),100)/100)+M170*(MIN((Inputs!$B$10+0+B190),100)/100)</f>
        <v/>
      </c>
      <c r="O170">
        <f>(1-Summary!$B$55)*T170+Summary!$B$55*V170</f>
        <v/>
      </c>
      <c r="P170">
        <f>IF(B200=0,0,O170/B200)</f>
        <v/>
      </c>
      <c r="Q170">
        <f>IFERROR(1/IF(Inputs!$B$39="pvp",15,MAX(0.1,Skills!D9-IF(Skills!E9=TRUE,Inputs!$B$33,0))),0)</f>
        <v/>
      </c>
      <c r="R170">
        <f>IF(AND(Inputs!$B$39&lt;&gt;"pvp",Inputs!$B$44&gt;0),IF(MAX(0,Inputs!$B$44-B197)&lt;=0,0,(INT(MAX(0,Inputs!$B$44-B197)/IF(Inputs!$B$39="pvp",15,MAX(0.1,Skills!D9-IF(Skills!E9=TRUE,Inputs!$B$33,0))))+1)),0)</f>
        <v/>
      </c>
      <c r="S170">
        <f>IFERROR(O170/N170,0)</f>
        <v/>
      </c>
      <c r="T170">
        <f>IF(C170,(H170*N170*IF(AND(Inputs!$B$39&lt;&gt;"pvp",Inputs!$B$44&gt;0),((Skills!G9*((R170-1)*IF(Skills!H9&gt;0,Skills!I9/Skills!H9,1)+IF(Skills!H9&gt;0,MIN(Skills!I9,MAX(0,MAX(0,Inputs!$B$44-B197)-((R170-1)*IF(Inputs!$B$39="pvp",15,MAX(0.1,Skills!D9-IF(Skills!E9=TRUE,Inputs!$B$33,0))))))/Skills!H9,1)))/Inputs!$B$44),G170*Q170))*IF(Inputs!$B$39="pvp",1,1+(Inputs!$B$21+0+Skills!P9+((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0)</f>
        <v/>
      </c>
      <c r="V170">
        <f>IF(C170,(H170*N170*IF(AND(Inputs!$B$39&lt;&gt;"pvp",Inputs!$B$44&gt;0),((Skills!G9*((R170-1)*IF(Skills!H9&gt;0,Skills!I9/Skills!H9,1)+IF(Skills!H9&gt;0,MIN(Skills!I9,MAX(0,MAX(0,Inputs!$B$44-B197)-((R170-1)*IF(Inputs!$B$39="pvp",15,MAX(0.1,Skills!D9-IF(Skills!E9=TRUE,Inputs!$B$33,0))))))/Skills!H9,1)))/Inputs!$B$44),G170*Q170))*IF(Inputs!$B$39="pvp",1,(1+(Inputs!$B$22+Skills!Q9+((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MIN(Skills!R9,Inputs!$B$38))),0)</f>
        <v/>
      </c>
    </row>
    <row r="171">
      <c r="A171">
        <f>Skills!A10</f>
        <v/>
      </c>
      <c r="B171">
        <f>Skills!B10</f>
        <v/>
      </c>
      <c r="C171">
        <f>Inputs!$B$3&gt;=110</f>
        <v/>
      </c>
      <c r="D171">
        <f>IF(Skills!C10=1,60+Inputs!$B$26+Inputs!$B$30,IF(Skills!C10=2,90+Inputs!$B$27+Inputs!$B$30,IF(Skills!C10=3,120+Inputs!$B$28+Inputs!$B$30,MAX(0,(Inputs!$B$3-100)*3)+Inputs!$B$29+Inputs!$B$30)))</f>
        <v/>
      </c>
      <c r="E171">
        <f>INDEX(FactorTable!$B$2:$Y$301, MATCH(ROUND(MIN(300,MAX(1,D171)),0), FactorTable!$A$2:$A$301,0), Skills!M10+1)</f>
        <v/>
      </c>
      <c r="F171">
        <f>IF(Skills!N10=TRUE,(Skills!L10/10)*(E171/1000),Skills!L10/10)+Skills!O10</f>
        <v/>
      </c>
      <c r="G171">
        <f>Skills!G10*IF(Skills!H10&gt;0,Skills!I10/Skills!H10,1)</f>
        <v/>
      </c>
      <c r="H171">
        <f>1-(1-Skills!J10/100)^Skills!K10</f>
        <v/>
      </c>
      <c r="I171" t="inlineStr">
        <is>
          <t>1</t>
        </is>
      </c>
      <c r="J171">
        <f>((Inputs!$B$6*(1+Inputs!$B$7/100))+(((Inputs!$B$13*(1+Inputs!$B$14/100))-(Inputs!$B$13*(1+Inputs!$B$14/100)))+0.25*(Inputs!$B$15-Inputs!$B$15))*(1+Inputs!$B$7/100))*(F171/100)</f>
        <v/>
      </c>
      <c r="K171">
        <f>J171*(1+(((Inputs!$B$13+IF(Inputs!$B$3&gt;=38,(10*INDEX(FactorTable!$B$2:$Y$301, MATCH(ROUND(MIN(300,MAX(1,Inputs!$B$3)),0), FactorTable!$A$2:$A$301,0), 23)/1000)/100*((Inputs!$B$8+1)*(1+Inputs!$B$9/100)),0))*(1+Inputs!$B$14/100))*0.01+Inputs!$B$15*0.0025)/100)*(1+Inputs!$B$16/100)*(1+Inputs!$B$17/100)*(5000/(6000+Inputs!$B$43*(1-(Inputs!$B$20+0)/100)))*(1+(Inputs!$B$25+((C186=TRUE)*(F186-Calc!F25))+((C187=TRUE)*(F187-Calc!F26))+B196)/100)*(1+(IF(Skills!A10="DARK_IMPALE",Inputs!$B$18+0,Inputs!$B$19+((C184=TRUE)*(F184-Calc!F23))))/100)*((1+(((C174=TRUE)*F174*IF(AND(Inputs!$B$39&lt;&gt;"pvp",Inputs!$B$44&gt;0),(((R174-1)*(Skills!T13*(1+Inputs!$B$35/100))+MIN((Skills!T13*(1+Inputs!$B$35/100)),MAX(0,Inputs!$B$44-((R174-1)*Skills!D13))))/Inputs!$B$44),IF(Inputs!$B$39="pvp",MIN((Skills!T13*(1+Inputs!$B$35/100)),15)/15,(Skills!T13*(1+Inputs!$B$35/100))/Skills!D13)))+((C175=TRUE)*F175*IF(AND(Inputs!$B$39&lt;&gt;"pvp",Inputs!$B$44&gt;0),(((R175-1)*(Skills!T14*(1+Inputs!$B$35/100))+MIN((Skills!T14*(1+Inputs!$B$35/100)),MAX(0,Inputs!$B$44-((R175-1)*Skills!D14))))/Inputs!$B$44),IF(Inputs!$B$39="pvp",MIN((Skills!T14*(1+Inputs!$B$35/100)),15)/15,(Skills!T14*(1+Inputs!$B$35/100))/Skills!D14)))+((C176=TRUE)*F176*IF(AND(Inputs!$B$39&lt;&gt;"pvp",Inputs!$B$44&gt;0),(((R176-1)*(Skills!T15*(1+Inputs!$B$35/100))+MIN((Skills!T15*(1+Inputs!$B$35/100)),MAX(0,Inputs!$B$44-((R176-1)*Skills!D15))))/Inputs!$B$44),IF(Inputs!$B$39="pvp",MIN((Skills!T15*(1+Inputs!$B$35/100)),15)/15,(Skills!T15*(1+Inputs!$B$35/100))/Skills!D15)))+((C177=TRUE)*F177*IF(AND(Inputs!$B$39&lt;&gt;"pvp",Inputs!$B$44&gt;0),(((R177-1)*(Skills!T16*(1+Inputs!$B$35/100))+MIN((Skills!T16*(1+Inputs!$B$35/100)),MAX(0,Inputs!$B$44-((R177-1)*Skills!D16))))/Inputs!$B$44),IF(Inputs!$B$39="pvp",MIN((Skills!T16*(1+Inputs!$B$35/100)),15)/15,(Skills!T16*(1+Inputs!$B$35/100))/Skills!D16)))+0)/100)*I171)</f>
        <v/>
      </c>
      <c r="L171">
        <f>K171*(MIN(Inputs!$B$23+((C183=TRUE)*(F183-Calc!F22)),Inputs!$B$24+((C185=TRUE)*(F185-Calc!F24)))/100+(Inputs!$B$24+((C185=TRUE)*(F185-Calc!F24)))/100)/2</f>
        <v/>
      </c>
      <c r="M171">
        <f>L171*(1+(Inputs!$B$11+0+B195)/100)</f>
        <v/>
      </c>
      <c r="N171">
        <f>L171*(1-MIN((Inputs!$B$10+0+B190),100)/100)+M171*(MIN((Inputs!$B$10+0+B190),100)/100)</f>
        <v/>
      </c>
      <c r="O171">
        <f>(1-Summary!$B$55)*T171+Summary!$B$55*V171</f>
        <v/>
      </c>
      <c r="P171">
        <f>IF(B200=0,0,O171/B200)</f>
        <v/>
      </c>
      <c r="Q171">
        <f>IFERROR(1/IF(Inputs!$B$39="pvp",15,MAX(0.1,Skills!D10-IF(Skills!E10=TRUE,Inputs!$B$33,0))),0)</f>
        <v/>
      </c>
      <c r="R171">
        <f>IF(AND(Inputs!$B$39&lt;&gt;"pvp",Inputs!$B$44&gt;0),IF(MAX(0,Inputs!$B$44-B197)&lt;=0,0,(INT(MAX(0,Inputs!$B$44-B197)/IF(Inputs!$B$39="pvp",15,MAX(0.1,Skills!D10-IF(Skills!E10=TRUE,Inputs!$B$33,0))))+1)),0)</f>
        <v/>
      </c>
      <c r="S171">
        <f>IFERROR(O171/N171,0)</f>
        <v/>
      </c>
      <c r="T171">
        <f>IF(C171,(H171*N171*IF(AND(Inputs!$B$39&lt;&gt;"pvp",Inputs!$B$44&gt;0),((Skills!G10*((R171-1)*IF(Skills!H10&gt;0,Skills!I10/Skills!H10,1)+IF(Skills!H10&gt;0,MIN(Skills!I10,MAX(0,MAX(0,Inputs!$B$44-B197)-((R171-1)*IF(Inputs!$B$39="pvp",15,MAX(0.1,Skills!D10-IF(Skills!E10=TRUE,Inputs!$B$33,0))))))/Skills!H10,1)))/Inputs!$B$44),G171*Q171))*IF(Inputs!$B$39="pvp",1,1+(Inputs!$B$21+0+Skills!P10+((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0)</f>
        <v/>
      </c>
      <c r="V171">
        <f>IF(C171,(H171*N171*IF(AND(Inputs!$B$39&lt;&gt;"pvp",Inputs!$B$44&gt;0),((Skills!G10*((R171-1)*IF(Skills!H10&gt;0,Skills!I10/Skills!H10,1)+IF(Skills!H10&gt;0,MIN(Skills!I10,MAX(0,MAX(0,Inputs!$B$44-B197)-((R171-1)*IF(Inputs!$B$39="pvp",15,MAX(0.1,Skills!D10-IF(Skills!E10=TRUE,Inputs!$B$33,0))))))/Skills!H10,1)))/Inputs!$B$44),G171*Q171))*IF(Inputs!$B$39="pvp",1,(1+(Inputs!$B$22+Skills!Q10+((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MIN(Skills!R10,Inputs!$B$38))),0)</f>
        <v/>
      </c>
    </row>
    <row r="172">
      <c r="A172">
        <f>Skills!A11</f>
        <v/>
      </c>
      <c r="B172">
        <f>Skills!B11</f>
        <v/>
      </c>
      <c r="C172">
        <f>Inputs!$B$3&gt;=100</f>
        <v/>
      </c>
      <c r="D172">
        <f>IF(Skills!C11=1,60+Inputs!$B$26+Inputs!$B$30,IF(Skills!C11=2,90+Inputs!$B$27+Inputs!$B$30,IF(Skills!C11=3,120+Inputs!$B$28+Inputs!$B$30,MAX(0,(Inputs!$B$3-100)*3)+Inputs!$B$29+Inputs!$B$30)))</f>
        <v/>
      </c>
      <c r="E172">
        <f>INDEX(FactorTable!$B$2:$Y$301, MATCH(ROUND(MIN(300,MAX(1,D172)),0), FactorTable!$A$2:$A$301,0), Skills!M11+1)</f>
        <v/>
      </c>
      <c r="F172">
        <f>IF(Skills!N11=TRUE,(Skills!L11/10)*(E172/1000),Skills!L11/10)+Skills!O11</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Skills!A12</f>
        <v/>
      </c>
      <c r="B173">
        <f>Skills!B12</f>
        <v/>
      </c>
      <c r="C173">
        <f>Inputs!$B$3&gt;=63</f>
        <v/>
      </c>
      <c r="D173">
        <f>IF(Skills!C12=1,60+Inputs!$B$26+Inputs!$B$30,IF(Skills!C12=2,90+Inputs!$B$27+Inputs!$B$30,IF(Skills!C12=3,120+Inputs!$B$28+Inputs!$B$30,MAX(0,(Inputs!$B$3-100)*3)+Inputs!$B$29+Inputs!$B$30)))</f>
        <v/>
      </c>
      <c r="E173">
        <f>INDEX(FactorTable!$B$2:$Y$301, MATCH(ROUND(MIN(300,MAX(1,D173)),0), FactorTable!$A$2:$A$301,0), Skills!M12+1)</f>
        <v/>
      </c>
      <c r="F173">
        <f>IF(Skills!N12=TRUE,(Skills!L12/10)*(E173/1000),Skills!L12/10)+Skills!O12</f>
        <v/>
      </c>
      <c r="G173">
        <f>Skills!G12*IF(Skills!H12&gt;0,Skills!I12/Skills!H12,1)</f>
        <v/>
      </c>
      <c r="H173">
        <f>1-(1-Skills!J12/100)^Skills!K12</f>
        <v/>
      </c>
      <c r="I173" t="inlineStr">
        <is>
          <t>1</t>
        </is>
      </c>
      <c r="J173">
        <f>((Inputs!$B$6*(1+Inputs!$B$7/100))+(((Inputs!$B$13*(1+Inputs!$B$14/100))-(Inputs!$B$13*(1+Inputs!$B$14/100)))+0.25*(Inputs!$B$15-Inputs!$B$15))*(1+Inputs!$B$7/100))*(F173/100)</f>
        <v/>
      </c>
      <c r="K173">
        <f>J173*(1+(((Inputs!$B$13+IF(Inputs!$B$3&gt;=38,(10*INDEX(FactorTable!$B$2:$Y$301, MATCH(ROUND(MIN(300,MAX(1,Inputs!$B$3)),0), FactorTable!$A$2:$A$301,0), 23)/1000)/100*((Inputs!$B$8+1)*(1+Inputs!$B$9/100)),0))*(1+Inputs!$B$14/100))*0.01+Inputs!$B$15*0.0025)/100)*(1+Inputs!$B$16/100)*(1+Inputs!$B$17/100)*(5000/(6000+Inputs!$B$43*(1-(Inputs!$B$20+0)/100)))*(1+(Inputs!$B$25+((C186=TRUE)*(F186-Calc!F25))+((C187=TRUE)*(F187-Calc!F26))+B196)/100)*(1+0.75*IF(C172=TRUE,F172,0)/100)*(1+(IF(Skills!A12="DARK_IMPALE",Inputs!$B$18+0,Inputs!$B$19+((C184=TRUE)*(F184-Calc!F23))))/100)*((1+(((C174=TRUE)*F174*IF(AND(Inputs!$B$39&lt;&gt;"pvp",Inputs!$B$44&gt;0),(((R174-1)*(Skills!T13*(1+Inputs!$B$35/100))+MIN((Skills!T13*(1+Inputs!$B$35/100)),MAX(0,Inputs!$B$44-((R174-1)*Skills!D13))))/Inputs!$B$44),IF(Inputs!$B$39="pvp",MIN((Skills!T13*(1+Inputs!$B$35/100)),15)/15,(Skills!T13*(1+Inputs!$B$35/100))/Skills!D13)))+((C175=TRUE)*F175*IF(AND(Inputs!$B$39&lt;&gt;"pvp",Inputs!$B$44&gt;0),(((R175-1)*(Skills!T14*(1+Inputs!$B$35/100))+MIN((Skills!T14*(1+Inputs!$B$35/100)),MAX(0,Inputs!$B$44-((R175-1)*Skills!D14))))/Inputs!$B$44),IF(Inputs!$B$39="pvp",MIN((Skills!T14*(1+Inputs!$B$35/100)),15)/15,(Skills!T14*(1+Inputs!$B$35/100))/Skills!D14)))+((C176=TRUE)*F176*IF(AND(Inputs!$B$39&lt;&gt;"pvp",Inputs!$B$44&gt;0),(((R176-1)*(Skills!T15*(1+Inputs!$B$35/100))+MIN((Skills!T15*(1+Inputs!$B$35/100)),MAX(0,Inputs!$B$44-((R176-1)*Skills!D15))))/Inputs!$B$44),IF(Inputs!$B$39="pvp",MIN((Skills!T15*(1+Inputs!$B$35/100)),15)/15,(Skills!T15*(1+Inputs!$B$35/100))/Skills!D15)))+((C177=TRUE)*F177*IF(AND(Inputs!$B$39&lt;&gt;"pvp",Inputs!$B$44&gt;0),(((R177-1)*(Skills!T16*(1+Inputs!$B$35/100))+MIN((Skills!T16*(1+Inputs!$B$35/100)),MAX(0,Inputs!$B$44-((R177-1)*Skills!D16))))/Inputs!$B$44),IF(Inputs!$B$39="pvp",MIN((Skills!T16*(1+Inputs!$B$35/100)),15)/15,(Skills!T16*(1+Inputs!$B$35/100))/Skills!D16)))+0)/100)*I173)</f>
        <v/>
      </c>
      <c r="L173">
        <f>K173*(MIN(Inputs!$B$23+((C183=TRUE)*(F183-Calc!F22)),Inputs!$B$24+((C185=TRUE)*(F185-Calc!F24)))/100+(Inputs!$B$24+((C185=TRUE)*(F185-Calc!F24)))/100)/2</f>
        <v/>
      </c>
      <c r="M173">
        <f>L173*(1+(Inputs!$B$11+0+B195)/100)</f>
        <v/>
      </c>
      <c r="N173">
        <f>L173*(1-MIN((Inputs!$B$10+0+B190),100)/100)+M173*(MIN((Inputs!$B$10+0+B190),100)/100)</f>
        <v/>
      </c>
      <c r="O173">
        <f>(1-Summary!$B$55)*T173+Summary!$B$55*V173</f>
        <v/>
      </c>
      <c r="P173">
        <f>IF(B200=0,0,O173/B200)</f>
        <v/>
      </c>
      <c r="Q173">
        <f>IFERROR(1/IF(Inputs!$B$39="pvp",15,MAX(0.1,Skills!D12-IF(Skills!E12=TRUE,Inputs!$B$33,0))),0)</f>
        <v/>
      </c>
      <c r="R173">
        <f>IF(AND(Inputs!$B$39&lt;&gt;"pvp",Inputs!$B$44&gt;0),IF(MAX(0,Inputs!$B$44-B197)&lt;=0,0,(INT(MAX(0,Inputs!$B$44-B197)/IF(Inputs!$B$39="pvp",15,MAX(0.1,Skills!D12-IF(Skills!E12=TRUE,Inputs!$B$33,0))))+1)),0)</f>
        <v/>
      </c>
      <c r="S173">
        <f>IFERROR(O173/N173,0)</f>
        <v/>
      </c>
      <c r="T173">
        <f>IF(C173,(H173*N173*IF(AND(Inputs!$B$39&lt;&gt;"pvp",Inputs!$B$44&gt;0),((Skills!G12*((R173-1)*IF(Skills!H12&gt;0,Skills!I12/Skills!H12,1)+IF(Skills!H12&gt;0,MIN(Skills!I12,MAX(0,MAX(0,Inputs!$B$44-B197)-((R173-1)*IF(Inputs!$B$39="pvp",15,MAX(0.1,Skills!D12-IF(Skills!E12=TRUE,Inputs!$B$33,0))))))/Skills!H12,1)))/Inputs!$B$44),G173*Q173))*IF(Inputs!$B$39="pvp",1,1+(Inputs!$B$21+0+Skills!P12+((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0)</f>
        <v/>
      </c>
      <c r="V173">
        <f>IF(C173,(H173*N173*IF(AND(Inputs!$B$39&lt;&gt;"pvp",Inputs!$B$44&gt;0),((Skills!G12*((R173-1)*IF(Skills!H12&gt;0,Skills!I12/Skills!H12,1)+IF(Skills!H12&gt;0,MIN(Skills!I12,MAX(0,MAX(0,Inputs!$B$44-B197)-((R173-1)*IF(Inputs!$B$39="pvp",15,MAX(0.1,Skills!D12-IF(Skills!E12=TRUE,Inputs!$B$33,0))))))/Skills!H12,1)))/Inputs!$B$44),G173*Q173))*IF(Inputs!$B$39="pvp",1,(1+(Inputs!$B$22+Skills!Q12+((C178=TRUE)*F178*IF(AND(Inputs!$B$39&lt;&gt;"pvp",Inputs!$B$44&gt;0),(((R178-1)*(Skills!T17*(1+Inputs!$B$35/100))+MIN((Skills!T17*(1+Inputs!$B$35/100)),MAX(0,Inputs!$B$44-((R178-1)*Skills!D17))))/Inputs!$B$44),IF(Inputs!$B$39="pvp",MIN((Skills!T17*(1+Inputs!$B$35/100)),15)/15,(Skills!T17*(1+Inputs!$B$35/100))/Skills!D17)))+((C175=TRUE)*IF(Inputs!$B$39="pvp",20,(1-Summary!$B$55)*(20)+Summary!$B$55*(0))*IF(AND(Inputs!$B$39&lt;&gt;"pvp",Inputs!$B$44&gt;0),(((R175-1)*(Skills!T14*(1+Inputs!$B$35/100))+MIN((Skills!T14*(1+Inputs!$B$35/100)),MAX(0,Inputs!$B$44-((R175-1)*Skills!D14))))/Inputs!$B$44),IF(Inputs!$B$39="pvp",MIN((Skills!T14*(1+Inputs!$B$35/100)),15)/15,(Skills!T14*(1+Inputs!$B$35/100))/Skills!D14))))/100)*(MIN(Skills!R12,Inputs!$B$38))),0)</f>
        <v/>
      </c>
    </row>
    <row r="174">
      <c r="A174">
        <f>Skills!A13</f>
        <v/>
      </c>
      <c r="B174">
        <f>Skills!B13</f>
        <v/>
      </c>
      <c r="C174">
        <f>Inputs!$B$3&gt;=69</f>
        <v/>
      </c>
      <c r="D174">
        <f>IF(Skills!C13=1,60+Inputs!$B$26+Inputs!$B$30,IF(Skills!C13=2,90+Inputs!$B$27+Inputs!$B$30,IF(Skills!C13=3,120+Inputs!$B$28+Inputs!$B$30,MAX(0,(Inputs!$B$3-100)*3)+Inputs!$B$29+Inputs!$B$30)))</f>
        <v/>
      </c>
      <c r="E174">
        <f>INDEX(FactorTable!$B$2:$Y$301, MATCH(ROUND(MIN(300,MAX(1,D174)),0), FactorTable!$A$2:$A$301,0), Skills!M13+1)</f>
        <v/>
      </c>
      <c r="F174">
        <f>IF(Skills!N13=TRUE,(Skills!L13/10)*(E174/1000),Skills!L13/10)+Skills!O13</f>
        <v/>
      </c>
      <c r="G174">
        <f>Skills!G13*IF(Skills!H13&gt;0,Skills!I13/Skills!H13,1)</f>
        <v/>
      </c>
      <c r="H174">
        <f>1-(1-Skills!J13/100)^Skills!K13</f>
        <v/>
      </c>
      <c r="I174" t="inlineStr">
        <is>
          <t>1</t>
        </is>
      </c>
      <c r="J174" t="inlineStr"/>
      <c r="K174" t="inlineStr"/>
      <c r="L174" t="inlineStr"/>
      <c r="M174" t="inlineStr"/>
      <c r="N174" t="inlineStr"/>
      <c r="O174">
        <f>(1-Summary!$B$55)*T174+Summary!$B$55*V174</f>
        <v/>
      </c>
      <c r="P174">
        <f>IF(B200=0,0,O174/B200)</f>
        <v/>
      </c>
      <c r="Q174">
        <f>IFERROR(1/IF(Inputs!$B$39="pvp",15,MAX(0.1,Skills!D13-IF(Skills!E13=TRUE,Inputs!$B$33,0))),0)</f>
        <v/>
      </c>
      <c r="R174">
        <f>IF(AND(Inputs!$B$39&lt;&gt;"pvp",Inputs!$B$44&gt;0),IF(Inputs!$B$44&lt;=0,0,(INT(Inputs!$B$44/IF(Inputs!$B$39="pvp",15,MAX(0.1,Skills!D13-IF(Skills!E13=TRUE,Inputs!$B$33,0))))+1)),0)</f>
        <v/>
      </c>
      <c r="S174">
        <f>IFERROR(O174/N174,0)</f>
        <v/>
      </c>
      <c r="T174" t="n">
        <v>0</v>
      </c>
      <c r="V174" t="n">
        <v>0</v>
      </c>
    </row>
    <row r="175">
      <c r="A175">
        <f>Skills!A14</f>
        <v/>
      </c>
      <c r="B175">
        <f>Skills!B14</f>
        <v/>
      </c>
      <c r="C175">
        <f>Inputs!$B$3&gt;=115</f>
        <v/>
      </c>
      <c r="D175">
        <f>IF(Skills!C14=1,60+Inputs!$B$26+Inputs!$B$30,IF(Skills!C14=2,90+Inputs!$B$27+Inputs!$B$30,IF(Skills!C14=3,120+Inputs!$B$28+Inputs!$B$30,MAX(0,(Inputs!$B$3-100)*3)+Inputs!$B$29+Inputs!$B$30)))</f>
        <v/>
      </c>
      <c r="E175">
        <f>INDEX(FactorTable!$B$2:$Y$301, MATCH(ROUND(MIN(300,MAX(1,D175)),0), FactorTable!$A$2:$A$301,0), Skills!M14+1)</f>
        <v/>
      </c>
      <c r="F175">
        <f>IF(Skills!N14=TRUE,(Skills!L14/10)*(E175/1000),Skills!L14/10)+Skills!O14</f>
        <v/>
      </c>
      <c r="G175">
        <f>Skills!G14*IF(Skills!H14&gt;0,Skills!I14/Skills!H14,1)</f>
        <v/>
      </c>
      <c r="H175">
        <f>1-(1-Skills!J14/100)^Skills!K14</f>
        <v/>
      </c>
      <c r="I175" t="inlineStr">
        <is>
          <t>1</t>
        </is>
      </c>
      <c r="J175" t="inlineStr"/>
      <c r="K175" t="inlineStr"/>
      <c r="L175" t="inlineStr"/>
      <c r="M175" t="inlineStr"/>
      <c r="N175" t="inlineStr"/>
      <c r="O175">
        <f>(1-Summary!$B$55)*T175+Summary!$B$55*V175</f>
        <v/>
      </c>
      <c r="P175">
        <f>IF(B200=0,0,O175/B200)</f>
        <v/>
      </c>
      <c r="Q175">
        <f>IFERROR(1/IF(Inputs!$B$39="pvp",15,MAX(0.1,Skills!D14-IF(Skills!E14=TRUE,Inputs!$B$33,0))),0)</f>
        <v/>
      </c>
      <c r="R175">
        <f>IF(AND(Inputs!$B$39&lt;&gt;"pvp",Inputs!$B$44&gt;0),IF(Inputs!$B$44&lt;=0,0,(INT(Inputs!$B$44/IF(Inputs!$B$39="pvp",15,MAX(0.1,Skills!D14-IF(Skills!E14=TRUE,Inputs!$B$33,0))))+1)),0)</f>
        <v/>
      </c>
      <c r="S175">
        <f>IFERROR(O175/N175,0)</f>
        <v/>
      </c>
      <c r="T175" t="n">
        <v>0</v>
      </c>
      <c r="V175" t="n">
        <v>0</v>
      </c>
    </row>
    <row r="176">
      <c r="A176">
        <f>Skills!A15</f>
        <v/>
      </c>
      <c r="B176">
        <f>Skills!B15</f>
        <v/>
      </c>
      <c r="C176">
        <f>Inputs!$B$3&gt;=66</f>
        <v/>
      </c>
      <c r="D176">
        <f>IF(Skills!C15=1,60+Inputs!$B$26+Inputs!$B$30,IF(Skills!C15=2,90+Inputs!$B$27+Inputs!$B$30,IF(Skills!C15=3,120+Inputs!$B$28+Inputs!$B$30,MAX(0,(Inputs!$B$3-100)*3)+Inputs!$B$29+Inputs!$B$30)))</f>
        <v/>
      </c>
      <c r="E176">
        <f>INDEX(FactorTable!$B$2:$Y$301, MATCH(ROUND(MIN(300,MAX(1,D176)),0), FactorTable!$A$2:$A$301,0), Skills!M15+1)</f>
        <v/>
      </c>
      <c r="F176">
        <f>IF(Skills!N15=TRUE,(Skills!L15/10)*(E176/1000),Skills!L15/10)+Skills!O15</f>
        <v/>
      </c>
      <c r="G176">
        <f>Skills!G15*IF(Skills!H15&gt;0,Skills!I15/Skills!H15,1)</f>
        <v/>
      </c>
      <c r="H176">
        <f>1-(1-Skills!J15/100)^Skills!K15</f>
        <v/>
      </c>
      <c r="I176" t="inlineStr">
        <is>
          <t>1</t>
        </is>
      </c>
      <c r="J176" t="inlineStr"/>
      <c r="K176" t="inlineStr"/>
      <c r="L176" t="inlineStr"/>
      <c r="M176" t="inlineStr"/>
      <c r="N176" t="inlineStr"/>
      <c r="O176">
        <f>(1-Summary!$B$55)*T176+Summary!$B$55*V176</f>
        <v/>
      </c>
      <c r="P176">
        <f>IF(B200=0,0,O176/B200)</f>
        <v/>
      </c>
      <c r="Q176">
        <f>IFERROR(1/IF(Inputs!$B$39="pvp",15,MAX(0.1,Skills!D15-IF(Skills!E15=TRUE,Inputs!$B$33,0))),0)</f>
        <v/>
      </c>
      <c r="R176">
        <f>IF(AND(Inputs!$B$39&lt;&gt;"pvp",Inputs!$B$44&gt;0),IF(Inputs!$B$44&lt;=0,0,(INT(Inputs!$B$44/IF(Inputs!$B$39="pvp",15,MAX(0.1,Skills!D15-IF(Skills!E15=TRUE,Inputs!$B$33,0))))+1)),0)</f>
        <v/>
      </c>
      <c r="S176">
        <f>IFERROR(O176/N176,0)</f>
        <v/>
      </c>
      <c r="T176" t="n">
        <v>0</v>
      </c>
      <c r="V176" t="n">
        <v>0</v>
      </c>
    </row>
    <row r="177">
      <c r="A177">
        <f>Skills!A16</f>
        <v/>
      </c>
      <c r="B177">
        <f>Skills!B16</f>
        <v/>
      </c>
      <c r="C177">
        <f>Inputs!$B$3&gt;=45</f>
        <v/>
      </c>
      <c r="D177">
        <f>IF(Skills!C16=1,60+Inputs!$B$26+Inputs!$B$30,IF(Skills!C16=2,90+Inputs!$B$27+Inputs!$B$30,IF(Skills!C16=3,120+Inputs!$B$28+Inputs!$B$30,MAX(0,(Inputs!$B$3-100)*3)+Inputs!$B$29+Inputs!$B$30)))</f>
        <v/>
      </c>
      <c r="E177">
        <f>INDEX(FactorTable!$B$2:$Y$301, MATCH(ROUND(MIN(300,MAX(1,D177)),0), FactorTable!$A$2:$A$301,0), Skills!M16+1)</f>
        <v/>
      </c>
      <c r="F177">
        <f>IF(Skills!N16=TRUE,(Skills!L16/10)*(E177/1000),Skills!L16/10)+Skills!O16</f>
        <v/>
      </c>
      <c r="G177">
        <f>Skills!G16*IF(Skills!H16&gt;0,Skills!I16/Skills!H16,1)</f>
        <v/>
      </c>
      <c r="H177">
        <f>1-(1-Skills!J16/100)^Skills!K16</f>
        <v/>
      </c>
      <c r="I177" t="inlineStr">
        <is>
          <t>1</t>
        </is>
      </c>
      <c r="J177" t="inlineStr"/>
      <c r="K177" t="inlineStr"/>
      <c r="L177" t="inlineStr"/>
      <c r="M177" t="inlineStr"/>
      <c r="N177" t="inlineStr"/>
      <c r="O177">
        <f>(1-Summary!$B$55)*T177+Summary!$B$55*V177</f>
        <v/>
      </c>
      <c r="P177">
        <f>IF(B200=0,0,O177/B200)</f>
        <v/>
      </c>
      <c r="Q177">
        <f>IFERROR(1/IF(Inputs!$B$39="pvp",15,MAX(0.1,Skills!D16-IF(Skills!E16=TRUE,Inputs!$B$33,0))),0)</f>
        <v/>
      </c>
      <c r="R177">
        <f>IF(AND(Inputs!$B$39&lt;&gt;"pvp",Inputs!$B$44&gt;0),IF(Inputs!$B$44&lt;=0,0,(INT(Inputs!$B$44/IF(Inputs!$B$39="pvp",15,MAX(0.1,Skills!D16-IF(Skills!E16=TRUE,Inputs!$B$33,0))))+1)),0)</f>
        <v/>
      </c>
      <c r="S177">
        <f>IFERROR(O177/N177,0)</f>
        <v/>
      </c>
      <c r="T177" t="n">
        <v>0</v>
      </c>
      <c r="V177" t="n">
        <v>0</v>
      </c>
    </row>
    <row r="178">
      <c r="A178">
        <f>Skills!A17</f>
        <v/>
      </c>
      <c r="B178">
        <f>Skills!B17</f>
        <v/>
      </c>
      <c r="C178">
        <f>Inputs!$B$3&gt;=35</f>
        <v/>
      </c>
      <c r="D178">
        <f>IF(Skills!C17=1,60+Inputs!$B$26+Inputs!$B$30,IF(Skills!C17=2,90+Inputs!$B$27+Inputs!$B$30,IF(Skills!C17=3,120+Inputs!$B$28+Inputs!$B$30,MAX(0,(Inputs!$B$3-100)*3)+Inputs!$B$29+Inputs!$B$30)))</f>
        <v/>
      </c>
      <c r="E178">
        <f>INDEX(FactorTable!$B$2:$Y$301, MATCH(ROUND(MIN(300,MAX(1,D178)),0), FactorTable!$A$2:$A$301,0), Skills!M17+1)</f>
        <v/>
      </c>
      <c r="F178">
        <f>IF(Skills!N17=TRUE,(Skills!L17/10)*(E178/1000),Skills!L17/10)+Skills!O17</f>
        <v/>
      </c>
      <c r="G178">
        <f>Skills!G17*IF(Skills!H17&gt;0,Skills!I17/Skills!H17,1)</f>
        <v/>
      </c>
      <c r="H178">
        <f>1-(1-Skills!J17/100)^Skills!K17</f>
        <v/>
      </c>
      <c r="I178" t="inlineStr">
        <is>
          <t>1</t>
        </is>
      </c>
      <c r="J178" t="inlineStr"/>
      <c r="K178" t="inlineStr"/>
      <c r="L178" t="inlineStr"/>
      <c r="M178" t="inlineStr"/>
      <c r="N178" t="inlineStr"/>
      <c r="O178">
        <f>(1-Summary!$B$55)*T178+Summary!$B$55*V178</f>
        <v/>
      </c>
      <c r="P178">
        <f>IF(B200=0,0,O178/B200)</f>
        <v/>
      </c>
      <c r="Q178">
        <f>IFERROR(1/IF(Inputs!$B$39="pvp",15,MAX(0.1,Skills!D17-IF(Skills!E17=TRUE,Inputs!$B$33,0))),0)</f>
        <v/>
      </c>
      <c r="R178">
        <f>IF(AND(Inputs!$B$39&lt;&gt;"pvp",Inputs!$B$44&gt;0),IF(Inputs!$B$44&lt;=0,0,(INT(Inputs!$B$44/IF(Inputs!$B$39="pvp",15,MAX(0.1,Skills!D17-IF(Skills!E17=TRUE,Inputs!$B$33,0))))+1)),0)</f>
        <v/>
      </c>
      <c r="S178">
        <f>IFERROR(O178/N178,0)</f>
        <v/>
      </c>
      <c r="T178" t="n">
        <v>0</v>
      </c>
      <c r="V178" t="n">
        <v>0</v>
      </c>
    </row>
    <row r="179">
      <c r="A179">
        <f>Skills!A18</f>
        <v/>
      </c>
      <c r="B179">
        <f>Skills!B18</f>
        <v/>
      </c>
      <c r="C179">
        <f>Inputs!$B$3&gt;=72</f>
        <v/>
      </c>
      <c r="D179">
        <f>IF(Skills!C18=1,60+Inputs!$B$26+Inputs!$B$30,IF(Skills!C18=2,90+Inputs!$B$27+Inputs!$B$30,IF(Skills!C18=3,120+Inputs!$B$28+Inputs!$B$30,MAX(0,(Inputs!$B$3-100)*3)+Inputs!$B$29+Inputs!$B$30)))</f>
        <v/>
      </c>
      <c r="E179">
        <f>INDEX(FactorTable!$B$2:$Y$301, MATCH(ROUND(MIN(300,MAX(1,D179)),0), FactorTable!$A$2:$A$301,0), Skills!M18+1)</f>
        <v/>
      </c>
      <c r="F179">
        <f>IF(Skills!N18=TRUE,(Skills!L18/10)*(E179/1000),Skills!L18/10)+Skills!O18</f>
        <v/>
      </c>
      <c r="G179">
        <f>Skills!G18*IF(Skills!H18&gt;0,Skills!I18/Skills!H18,1)</f>
        <v/>
      </c>
      <c r="H179">
        <f>1-(1-Skills!J18/100)^Skills!K18</f>
        <v/>
      </c>
      <c r="I179" t="inlineStr">
        <is>
          <t>1</t>
        </is>
      </c>
      <c r="J179" t="inlineStr"/>
      <c r="K179" t="inlineStr"/>
      <c r="L179" t="inlineStr"/>
      <c r="M179" t="inlineStr"/>
      <c r="N179" t="inlineStr"/>
      <c r="O179">
        <f>(1-Summary!$B$55)*T179+Summary!$B$55*V179</f>
        <v/>
      </c>
      <c r="P179">
        <f>IF(B200=0,0,O179/B200)</f>
        <v/>
      </c>
      <c r="Q179">
        <f>IFERROR(1/IF(Inputs!$B$39="pvp",15,MAX(0.1,Skills!D18-IF(Skills!E18=TRUE,Inputs!$B$33,0))),0)</f>
        <v/>
      </c>
      <c r="R179">
        <f>IF(AND(Inputs!$B$39&lt;&gt;"pvp",Inputs!$B$44&gt;0),IF(Inputs!$B$44&lt;=0,0,(INT(Inputs!$B$44/IF(Inputs!$B$39="pvp",15,MAX(0.1,Skills!D18-IF(Skills!E18=TRUE,Inputs!$B$33,0))))+1)),0)</f>
        <v/>
      </c>
      <c r="S179">
        <f>IFERROR(O179/N179,0)</f>
        <v/>
      </c>
      <c r="T179" t="n">
        <v>0</v>
      </c>
      <c r="V179" t="n">
        <v>0</v>
      </c>
    </row>
    <row r="180">
      <c r="A180">
        <f>Skills!A19</f>
        <v/>
      </c>
      <c r="B180">
        <f>Skills!B19</f>
        <v/>
      </c>
      <c r="C180">
        <f>Inputs!$B$3&gt;=72</f>
        <v/>
      </c>
      <c r="D180">
        <f>IF(Skills!C19=1,60+Inputs!$B$26+Inputs!$B$30,IF(Skills!C19=2,90+Inputs!$B$27+Inputs!$B$30,IF(Skills!C19=3,120+Inputs!$B$28+Inputs!$B$30,MAX(0,(Inputs!$B$3-100)*3)+Inputs!$B$29+Inputs!$B$30)))</f>
        <v/>
      </c>
      <c r="E180">
        <f>INDEX(FactorTable!$B$2:$Y$301, MATCH(ROUND(MIN(300,MAX(1,D180)),0), FactorTable!$A$2:$A$301,0), Skills!M19+1)</f>
        <v/>
      </c>
      <c r="F180">
        <f>IF(Skills!N19=TRUE,(Skills!L19/10)*(E180/1000),Skills!L19/10)+Skills!O19</f>
        <v/>
      </c>
      <c r="G180">
        <f>Skills!G19*IF(Skills!H19&gt;0,Skills!I19/Skills!H19,1)</f>
        <v/>
      </c>
      <c r="H180">
        <f>1-(1-Skills!J19/100)^Skills!K19</f>
        <v/>
      </c>
      <c r="I180" t="inlineStr">
        <is>
          <t>1</t>
        </is>
      </c>
      <c r="J180" t="inlineStr"/>
      <c r="K180" t="inlineStr"/>
      <c r="L180" t="inlineStr"/>
      <c r="M180" t="inlineStr"/>
      <c r="N180" t="inlineStr"/>
      <c r="O180">
        <f>(1-Summary!$B$55)*T180+Summary!$B$55*V180</f>
        <v/>
      </c>
      <c r="P180">
        <f>IF(B200=0,0,O180/B200)</f>
        <v/>
      </c>
      <c r="Q180">
        <f>IFERROR(1/IF(Inputs!$B$39="pvp",15,MAX(0.1,Skills!D19-IF(Skills!E19=TRUE,Inputs!$B$33,0))),0)</f>
        <v/>
      </c>
      <c r="R180">
        <f>IF(AND(Inputs!$B$39&lt;&gt;"pvp",Inputs!$B$44&gt;0),IF(Inputs!$B$44&lt;=0,0,(INT(Inputs!$B$44/IF(Inputs!$B$39="pvp",15,MAX(0.1,Skills!D19-IF(Skills!E19=TRUE,Inputs!$B$33,0))))+1)),0)</f>
        <v/>
      </c>
      <c r="S180">
        <f>IFERROR(O180/N180,0)</f>
        <v/>
      </c>
      <c r="T180" t="n">
        <v>0</v>
      </c>
      <c r="V180" t="n">
        <v>0</v>
      </c>
    </row>
    <row r="181">
      <c r="A181">
        <f>Skills!A20</f>
        <v/>
      </c>
      <c r="B181">
        <f>Skills!B20</f>
        <v/>
      </c>
      <c r="C181">
        <f>TRUE</f>
        <v/>
      </c>
      <c r="D181">
        <f>IF(Skills!C20=1,60+Inputs!$B$26+Inputs!$B$30,IF(Skills!C20=2,90+Inputs!$B$27+Inputs!$B$30,IF(Skills!C20=3,120+Inputs!$B$28+Inputs!$B$30,MAX(0,(Inputs!$B$3-100)*3)+Inputs!$B$29+Inputs!$B$30)))</f>
        <v/>
      </c>
      <c r="E181">
        <f>INDEX(FactorTable!$B$2:$Y$301, MATCH(ROUND(MIN(300,MAX(1,D181)),0), FactorTable!$A$2:$A$301,0), Skills!M20+1)</f>
        <v/>
      </c>
      <c r="F181">
        <f>IF(Skills!N20=TRUE,(Skills!L20/10)*(E181/1000),Skills!L20/10)+Skills!O20</f>
        <v/>
      </c>
      <c r="G181">
        <f>Skills!G20*IF(Skills!H20&gt;0,Skills!I20/Skills!H20,1)</f>
        <v/>
      </c>
      <c r="H181">
        <f>1-(1-Skills!J20/100)^Skills!K20</f>
        <v/>
      </c>
      <c r="I181" t="inlineStr">
        <is>
          <t>1</t>
        </is>
      </c>
      <c r="J181" t="inlineStr"/>
      <c r="K181" t="inlineStr"/>
      <c r="L181" t="inlineStr"/>
      <c r="M181" t="inlineStr"/>
      <c r="N181" t="inlineStr"/>
      <c r="O181">
        <f>(1-Summary!$B$55)*T181+Summary!$B$55*V181</f>
        <v/>
      </c>
      <c r="P181">
        <f>IF(B200=0,0,O181/B200)</f>
        <v/>
      </c>
      <c r="Q181">
        <f>IFERROR(1/IF(Inputs!$B$39="pvp",15,MAX(0.1,Skills!D20-IF(Skills!E20=TRUE,Inputs!$B$33,0))),0)</f>
        <v/>
      </c>
      <c r="R181">
        <f>IF(AND(Inputs!$B$39&lt;&gt;"pvp",Inputs!$B$44&gt;0),IF(Inputs!$B$44&lt;=0,0,(INT(Inputs!$B$44/IF(Inputs!$B$39="pvp",15,MAX(0.1,Skills!D20-IF(Skills!E20=TRUE,Inputs!$B$33,0))))+1)),0)</f>
        <v/>
      </c>
      <c r="S181">
        <f>IFERROR(O181/N181,0)</f>
        <v/>
      </c>
      <c r="T181" t="n">
        <v>0</v>
      </c>
      <c r="V181" t="n">
        <v>0</v>
      </c>
    </row>
    <row r="182">
      <c r="A182">
        <f>Skills!A21</f>
        <v/>
      </c>
      <c r="B182">
        <f>Skills!B21</f>
        <v/>
      </c>
      <c r="C182">
        <f>Inputs!$B$3&gt;=33</f>
        <v/>
      </c>
      <c r="D182">
        <f>IF(Skills!C21=1,60+Inputs!$B$26+Inputs!$B$30,IF(Skills!C21=2,90+Inputs!$B$27+Inputs!$B$30,IF(Skills!C21=3,120+Inputs!$B$28+Inputs!$B$30,MAX(0,(Inputs!$B$3-100)*3)+Inputs!$B$29+Inputs!$B$30)))</f>
        <v/>
      </c>
      <c r="E182">
        <f>INDEX(FactorTable!$B$2:$Y$301, MATCH(ROUND(MIN(300,MAX(1,D182)),0), FactorTable!$A$2:$A$301,0), Skills!M21+1)</f>
        <v/>
      </c>
      <c r="F182">
        <f>IF(Skills!N21=TRUE,(Skills!L21/10)*(E182/1000),Skills!L21/10)+Skills!O21</f>
        <v/>
      </c>
      <c r="G182">
        <f>Skills!G21*IF(Skills!H21&gt;0,Skills!I21/Skills!H21,1)</f>
        <v/>
      </c>
      <c r="H182">
        <f>1-(1-Skills!J21/100)^Skills!K21</f>
        <v/>
      </c>
      <c r="I182" t="inlineStr">
        <is>
          <t>1</t>
        </is>
      </c>
      <c r="J182" t="inlineStr"/>
      <c r="K182" t="inlineStr"/>
      <c r="L182" t="inlineStr"/>
      <c r="M182" t="inlineStr"/>
      <c r="N182" t="inlineStr"/>
      <c r="O182">
        <f>(1-Summary!$B$55)*T182+Summary!$B$55*V182</f>
        <v/>
      </c>
      <c r="P182">
        <f>IF(B200=0,0,O182/B200)</f>
        <v/>
      </c>
      <c r="Q182" t="n">
        <v>0</v>
      </c>
      <c r="R182" t="n">
        <v>0</v>
      </c>
      <c r="S182">
        <f>IFERROR(O182/N182,0)</f>
        <v/>
      </c>
      <c r="T182" t="n">
        <v>0</v>
      </c>
      <c r="V182" t="n">
        <v>0</v>
      </c>
    </row>
    <row r="183">
      <c r="A183">
        <f>Skills!A22</f>
        <v/>
      </c>
      <c r="B183">
        <f>Skills!B22</f>
        <v/>
      </c>
      <c r="C183">
        <f>Inputs!$B$3&gt;=43</f>
        <v/>
      </c>
      <c r="D183">
        <f>IF(Skills!C22=1,60+Inputs!$B$26+Inputs!$B$30,IF(Skills!C22=2,90+Inputs!$B$27+Inputs!$B$30,IF(Skills!C22=3,120+Inputs!$B$28+Inputs!$B$30,MAX(0,(Inputs!$B$3-100)*3)+Inputs!$B$29+Inputs!$B$30)))</f>
        <v/>
      </c>
      <c r="E183">
        <f>INDEX(FactorTable!$B$2:$Y$301, MATCH(ROUND(MIN(300,MAX(1,D183)),0), FactorTable!$A$2:$A$301,0), Skills!M22+1)</f>
        <v/>
      </c>
      <c r="F183">
        <f>IF(Skills!N22=TRUE,(Skills!L22/10)*(E183/1000),Skills!L22/10)+Skills!O22</f>
        <v/>
      </c>
      <c r="G183">
        <f>Skills!G22*IF(Skills!H22&gt;0,Skills!I22/Skills!H22,1)</f>
        <v/>
      </c>
      <c r="H183">
        <f>1-(1-Skills!J22/100)^Skills!K22</f>
        <v/>
      </c>
      <c r="I183" t="inlineStr">
        <is>
          <t>1</t>
        </is>
      </c>
      <c r="J183" t="inlineStr"/>
      <c r="K183" t="inlineStr"/>
      <c r="L183" t="inlineStr"/>
      <c r="M183" t="inlineStr"/>
      <c r="N183" t="inlineStr"/>
      <c r="O183">
        <f>(1-Summary!$B$55)*T183+Summary!$B$55*V183</f>
        <v/>
      </c>
      <c r="P183">
        <f>IF(B200=0,0,O183/B200)</f>
        <v/>
      </c>
      <c r="Q183" t="n">
        <v>0</v>
      </c>
      <c r="R183" t="n">
        <v>0</v>
      </c>
      <c r="S183">
        <f>IFERROR(O183/N183,0)</f>
        <v/>
      </c>
      <c r="T183" t="n">
        <v>0</v>
      </c>
      <c r="V183" t="n">
        <v>0</v>
      </c>
    </row>
    <row r="184">
      <c r="A184">
        <f>Skills!A23</f>
        <v/>
      </c>
      <c r="B184">
        <f>Skills!B23</f>
        <v/>
      </c>
      <c r="C184">
        <f>Inputs!$B$3&gt;=120</f>
        <v/>
      </c>
      <c r="D184">
        <f>IF(Skills!C23=1,60+Inputs!$B$26+Inputs!$B$30,IF(Skills!C23=2,90+Inputs!$B$27+Inputs!$B$30,IF(Skills!C23=3,120+Inputs!$B$28+Inputs!$B$30,MAX(0,(Inputs!$B$3-100)*3)+Inputs!$B$29+Inputs!$B$30)))</f>
        <v/>
      </c>
      <c r="E184">
        <f>INDEX(FactorTable!$B$2:$Y$301, MATCH(ROUND(MIN(300,MAX(1,D184)),0), FactorTable!$A$2:$A$301,0), Skills!M23+1)</f>
        <v/>
      </c>
      <c r="F184">
        <f>IF(Skills!N23=TRUE,(Skills!L23/10)*(E184/1000),Skills!L23/10)+Skills!O23</f>
        <v/>
      </c>
      <c r="G184">
        <f>Skills!G23*IF(Skills!H23&gt;0,Skills!I23/Skills!H23,1)</f>
        <v/>
      </c>
      <c r="H184">
        <f>1-(1-Skills!J23/100)^Skills!K23</f>
        <v/>
      </c>
      <c r="I184" t="inlineStr">
        <is>
          <t>1</t>
        </is>
      </c>
      <c r="J184" t="inlineStr"/>
      <c r="K184" t="inlineStr"/>
      <c r="L184" t="inlineStr"/>
      <c r="M184" t="inlineStr"/>
      <c r="N184" t="inlineStr"/>
      <c r="O184">
        <f>(1-Summary!$B$55)*T184+Summary!$B$55*V184</f>
        <v/>
      </c>
      <c r="P184">
        <f>IF(B200=0,0,O184/B200)</f>
        <v/>
      </c>
      <c r="Q184" t="n">
        <v>0</v>
      </c>
      <c r="R184" t="n">
        <v>0</v>
      </c>
      <c r="S184">
        <f>IFERROR(O184/N184,0)</f>
        <v/>
      </c>
      <c r="T184" t="n">
        <v>0</v>
      </c>
      <c r="V184" t="n">
        <v>0</v>
      </c>
    </row>
    <row r="185">
      <c r="A185">
        <f>Skills!A24</f>
        <v/>
      </c>
      <c r="B185">
        <f>Skills!B24</f>
        <v/>
      </c>
      <c r="C185">
        <f>Inputs!$B$3&gt;=120</f>
        <v/>
      </c>
      <c r="D185">
        <f>IF(Skills!C24=1,60+Inputs!$B$26+Inputs!$B$30,IF(Skills!C24=2,90+Inputs!$B$27+Inputs!$B$30,IF(Skills!C24=3,120+Inputs!$B$28+Inputs!$B$30,MAX(0,(Inputs!$B$3-100)*3)+Inputs!$B$29+Inputs!$B$30)))</f>
        <v/>
      </c>
      <c r="E185">
        <f>INDEX(FactorTable!$B$2:$Y$301, MATCH(ROUND(MIN(300,MAX(1,D185)),0), FactorTable!$A$2:$A$301,0), Skills!M24+1)</f>
        <v/>
      </c>
      <c r="F185">
        <f>IF(Skills!N24=TRUE,(Skills!L24/10)*(E185/1000),Skills!L24/10)+Skills!O24</f>
        <v/>
      </c>
      <c r="G185">
        <f>Skills!G24*IF(Skills!H24&gt;0,Skills!I24/Skills!H24,1)</f>
        <v/>
      </c>
      <c r="H185">
        <f>1-(1-Skills!J24/100)^Skills!K24</f>
        <v/>
      </c>
      <c r="I185" t="inlineStr">
        <is>
          <t>1</t>
        </is>
      </c>
      <c r="J185" t="inlineStr"/>
      <c r="K185" t="inlineStr"/>
      <c r="L185" t="inlineStr"/>
      <c r="M185" t="inlineStr"/>
      <c r="N185" t="inlineStr"/>
      <c r="O185">
        <f>(1-Summary!$B$55)*T185+Summary!$B$55*V185</f>
        <v/>
      </c>
      <c r="P185">
        <f>IF(B200=0,0,O185/B200)</f>
        <v/>
      </c>
      <c r="Q185" t="n">
        <v>0</v>
      </c>
      <c r="R185" t="n">
        <v>0</v>
      </c>
      <c r="S185">
        <f>IFERROR(O185/N185,0)</f>
        <v/>
      </c>
      <c r="T185" t="n">
        <v>0</v>
      </c>
      <c r="V185" t="n">
        <v>0</v>
      </c>
    </row>
    <row r="186">
      <c r="A186">
        <f>Skills!A25</f>
        <v/>
      </c>
      <c r="B186">
        <f>Skills!B25</f>
        <v/>
      </c>
      <c r="C186">
        <f>Inputs!$B$3&gt;=125</f>
        <v/>
      </c>
      <c r="D186">
        <f>IF(Skills!C25=1,60+Inputs!$B$26+Inputs!$B$30,IF(Skills!C25=2,90+Inputs!$B$27+Inputs!$B$30,IF(Skills!C25=3,120+Inputs!$B$28+Inputs!$B$30,MAX(0,(Inputs!$B$3-100)*3)+Inputs!$B$29+Inputs!$B$30)))</f>
        <v/>
      </c>
      <c r="E186">
        <f>INDEX(FactorTable!$B$2:$Y$301, MATCH(ROUND(MIN(300,MAX(1,D186)),0), FactorTable!$A$2:$A$301,0), Skills!M25+1)</f>
        <v/>
      </c>
      <c r="F186">
        <f>IF(Skills!N25=TRUE,(Skills!L25/10)*(E186/1000),Skills!L25/10)+Skills!O25</f>
        <v/>
      </c>
      <c r="G186">
        <f>Skills!G25*IF(Skills!H25&gt;0,Skills!I25/Skills!H25,1)</f>
        <v/>
      </c>
      <c r="H186">
        <f>1-(1-Skills!J25/100)^Skills!K25</f>
        <v/>
      </c>
      <c r="I186" t="inlineStr">
        <is>
          <t>1</t>
        </is>
      </c>
      <c r="J186" t="inlineStr"/>
      <c r="K186" t="inlineStr"/>
      <c r="L186" t="inlineStr"/>
      <c r="M186" t="inlineStr"/>
      <c r="N186" t="inlineStr"/>
      <c r="O186">
        <f>(1-Summary!$B$55)*T186+Summary!$B$55*V186</f>
        <v/>
      </c>
      <c r="P186">
        <f>IF(B200=0,0,O186/B200)</f>
        <v/>
      </c>
      <c r="Q186" t="n">
        <v>0</v>
      </c>
      <c r="R186" t="n">
        <v>0</v>
      </c>
      <c r="S186">
        <f>IFERROR(O186/N186,0)</f>
        <v/>
      </c>
      <c r="T186" t="n">
        <v>0</v>
      </c>
      <c r="V186" t="n">
        <v>0</v>
      </c>
    </row>
    <row r="187">
      <c r="A187">
        <f>Skills!A26</f>
        <v/>
      </c>
      <c r="B187">
        <f>Skills!B26</f>
        <v/>
      </c>
      <c r="C187">
        <f>Inputs!$B$3&gt;=107</f>
        <v/>
      </c>
      <c r="D187">
        <f>IF(Skills!C26=1,60+Inputs!$B$26+Inputs!$B$30,IF(Skills!C26=2,90+Inputs!$B$27+Inputs!$B$30,IF(Skills!C26=3,120+Inputs!$B$28+Inputs!$B$30,MAX(0,(Inputs!$B$3-100)*3)+Inputs!$B$29+Inputs!$B$30)))</f>
        <v/>
      </c>
      <c r="E187">
        <f>INDEX(FactorTable!$B$2:$Y$301, MATCH(ROUND(MIN(300,MAX(1,D187)),0), FactorTable!$A$2:$A$301,0), Skills!M26+1)</f>
        <v/>
      </c>
      <c r="F187">
        <f>IF(Skills!N26=TRUE,(Skills!L26/10)*(E187/1000),Skills!L26/10)+Skills!O26</f>
        <v/>
      </c>
      <c r="G187">
        <f>Skills!G26*IF(Skills!H26&gt;0,Skills!I26/Skills!H26,1)</f>
        <v/>
      </c>
      <c r="H187">
        <f>1-(1-Skills!J26/100)^Skills!K26</f>
        <v/>
      </c>
      <c r="I187" t="inlineStr">
        <is>
          <t>1</t>
        </is>
      </c>
      <c r="J187" t="inlineStr"/>
      <c r="K187" t="inlineStr"/>
      <c r="L187" t="inlineStr"/>
      <c r="M187" t="inlineStr"/>
      <c r="N187" t="inlineStr"/>
      <c r="O187">
        <f>(1-Summary!$B$55)*T187+Summary!$B$55*V187</f>
        <v/>
      </c>
      <c r="P187">
        <f>IF(B200=0,0,O187/B200)</f>
        <v/>
      </c>
      <c r="Q187" t="n">
        <v>0</v>
      </c>
      <c r="R187" t="n">
        <v>0</v>
      </c>
      <c r="S187">
        <f>IFERROR(O187/N187,0)</f>
        <v/>
      </c>
      <c r="T187" t="n">
        <v>0</v>
      </c>
      <c r="V187" t="n">
        <v>0</v>
      </c>
    </row>
    <row r="189">
      <c r="A189" t="inlineStr">
        <is>
          <t>Attack% Bucket Multiplier</t>
        </is>
      </c>
      <c r="B189">
        <f>(1+(((C174=TRUE)*F174*IF(AND(Inputs!$B$39&lt;&gt;"pvp",Inputs!$B$44&gt;0),(((R174-1)*(Skills!T13*(1+Inputs!$B$35/100))+MIN((Skills!T13*(1+Inputs!$B$35/100)),MAX(0,Inputs!$B$44-((R174-1)*Skills!D13))))/Inputs!$B$44),IF(Inputs!$B$39="pvp",MIN((Skills!T13*(1+Inputs!$B$35/100)),15)/15,(Skills!T13*(1+Inputs!$B$35/100))/Skills!D13)))+((C175=TRUE)*F175*IF(AND(Inputs!$B$39&lt;&gt;"pvp",Inputs!$B$44&gt;0),(((R175-1)*(Skills!T14*(1+Inputs!$B$35/100))+MIN((Skills!T14*(1+Inputs!$B$35/100)),MAX(0,Inputs!$B$44-((R175-1)*Skills!D14))))/Inputs!$B$44),IF(Inputs!$B$39="pvp",MIN((Skills!T14*(1+Inputs!$B$35/100)),15)/15,(Skills!T14*(1+Inputs!$B$35/100))/Skills!D14)))+((C176=TRUE)*F176*IF(AND(Inputs!$B$39&lt;&gt;"pvp",Inputs!$B$44&gt;0),(((R176-1)*(Skills!T15*(1+Inputs!$B$35/100))+MIN((Skills!T15*(1+Inputs!$B$35/100)),MAX(0,Inputs!$B$44-((R176-1)*Skills!D15))))/Inputs!$B$44),IF(Inputs!$B$39="pvp",MIN((Skills!T15*(1+Inputs!$B$35/100)),15)/15,(Skills!T15*(1+Inputs!$B$35/100))/Skills!D15)))+((C177=TRUE)*F177*IF(AND(Inputs!$B$39&lt;&gt;"pvp",Inputs!$B$44&gt;0),(((R177-1)*(Skills!T16*(1+Inputs!$B$35/100))+MIN((Skills!T16*(1+Inputs!$B$35/100)),MAX(0,Inputs!$B$44-((R177-1)*Skills!D16))))/Inputs!$B$44),IF(Inputs!$B$39="pvp",MIN((Skills!T16*(1+Inputs!$B$35/100)),15)/15,(Skills!T16*(1+Inputs!$B$35/100))/Skills!D16)))+0)/100)</f>
        <v/>
      </c>
    </row>
    <row r="190">
      <c r="A190" t="inlineStr">
        <is>
          <t>Global Crit Rate Bonus % (Lord of Darkness)</t>
        </is>
      </c>
      <c r="B190">
        <f>((C179=TRUE)*F179*(Skills!J18/100)*IF(AND(Inputs!$B$39&lt;&gt;"pvp",Inputs!$B$44&gt;0),(((R179-1)*(Skills!T18*(1+Inputs!$B$35/100))+MIN((Skills!T18*(1+Inputs!$B$35/100)),MAX(0,Inputs!$B$44-((R179-1)*Skills!D18))))/Inputs!$B$44),IF(Inputs!$B$39="pvp",MIN((Skills!T18*(1+Inputs!$B$35/100)),15)/15,(Skills!T18*(1+Inputs!$B$35/100))/Skills!D18)))</f>
        <v/>
      </c>
    </row>
    <row r="191">
      <c r="A191" t="inlineStr">
        <is>
          <t>Attack Speed Buff Bonus %</t>
        </is>
      </c>
      <c r="B191">
        <f>((C181=TRUE)*F181*IF(AND(Inputs!$B$39&lt;&gt;"pvp",Inputs!$B$44&gt;0),(((R181-1)*(Skills!T20*(1+Inputs!$B$35/100))+MIN((Skills!T20*(1+Inputs!$B$35/100)),MAX(0,Inputs!$B$44-((R181-1)*Skills!D20))))/Inputs!$B$44),IF(Inputs!$B$39="pvp",MIN((Skills!T20*(1+Inputs!$B$35/100)),15)/15,(Skills!T20*(1+Inputs!$B$35/100))/Skills!D20)))</f>
        <v/>
      </c>
    </row>
    <row r="192">
      <c r="A192" t="inlineStr">
        <is>
          <t>Actions Per Second</t>
        </is>
      </c>
      <c r="B192">
        <f>1+MIN(150,150*(1-(1-(Inputs!$B$12+((C182=TRUE)*(F182-Calc!F21)))/150)*(1-B191/150)))/100</f>
        <v/>
      </c>
    </row>
    <row r="193">
      <c r="A193" t="inlineStr">
        <is>
          <t>Skill + Buff Cast Rate</t>
        </is>
      </c>
      <c r="B193">
        <f>IF(AND(Inputs!$B$39&lt;&gt;"pvp",Inputs!$B$44&gt;0),SUMPRODUCT((Skills!E2:E26=TRUE)*(C163:C187=TRUE)*R163:R187*Skills!F2:F26)/Inputs!$B$44,SUMPRODUCT((Skills!E2:E26=TRUE)*(C163:C187=TRUE)*Q163:Q187*Skills!F2:F26))</f>
        <v/>
      </c>
    </row>
    <row r="194">
      <c r="A194" t="inlineStr">
        <is>
          <t>Dark Impale Casts Per Second</t>
        </is>
      </c>
      <c r="B194">
        <f>MAX(0,B192-B193)</f>
        <v/>
      </c>
    </row>
    <row r="195">
      <c r="A195" t="inlineStr">
        <is>
          <t>Global Critical Damage Bonus % (Lord of Darkness)</t>
        </is>
      </c>
      <c r="B195">
        <f>((C180=TRUE)*F180*(Skills!J19/100)*IF(AND(Inputs!$B$39&lt;&gt;"pvp",Inputs!$B$44&gt;0),(((R180-1)*(Skills!T19*(1+Inputs!$B$35/100))+MIN((Skills!T19*(1+Inputs!$B$35/100)),MAX(0,Inputs!$B$44-((R180-1)*Skills!D19))))/Inputs!$B$44),IF(Inputs!$B$39="pvp",MIN((Skills!T19*(1+Inputs!$B$35/100)),15)/15,(Skills!T19*(1+Inputs!$B$35/100))/Skills!D19)))</f>
        <v/>
      </c>
    </row>
    <row r="196">
      <c r="A196" t="inlineStr">
        <is>
          <t>Global Final Damage Bonus % (unused)</t>
        </is>
      </c>
      <c r="B196" t="n">
        <v>0</v>
      </c>
    </row>
    <row r="197">
      <c r="A197" t="inlineStr">
        <is>
          <t>Buff-Casting Startup Delay (s, fixed-duration only)</t>
        </is>
      </c>
      <c r="B197">
        <f>IF(AND(Inputs!$B$39&lt;&gt;"pvp",Inputs!$B$44&gt;0),SUMPRODUCT((Skills!T2:T26&gt;0)*(Skills!E2:E26=TRUE)*(C163:C187=TRUE))/B192,0)</f>
        <v/>
      </c>
    </row>
    <row r="198">
      <c r="A198" t="inlineStr">
        <is>
          <t>Boss-Only Total DPS (this block's swept value)</t>
        </is>
      </c>
      <c r="B198">
        <f>SUM(T163:T187)</f>
        <v/>
      </c>
    </row>
    <row r="199">
      <c r="A199" t="inlineStr">
        <is>
          <t>Normal-Only Total DPS (this block's swept value)</t>
        </is>
      </c>
      <c r="B199">
        <f>SUM(V163:V187)</f>
        <v/>
      </c>
    </row>
    <row r="200">
      <c r="A200" s="5" t="inlineStr">
        <is>
          <t>TOTAL DPS</t>
        </is>
      </c>
      <c r="B200" s="5">
        <f>SUM(O163:O187)</f>
        <v/>
      </c>
    </row>
    <row r="203">
      <c r="A203" s="5" t="inlineStr">
        <is>
          <t>Stat: Defense %</t>
        </is>
      </c>
    </row>
    <row r="204">
      <c r="A204" s="9" t="inlineStr">
        <is>
          <t>Key</t>
        </is>
      </c>
      <c r="B204" s="9" t="inlineStr">
        <is>
          <t>Name</t>
        </is>
      </c>
      <c r="C204" s="9" t="inlineStr">
        <is>
          <t>Unlocked</t>
        </is>
      </c>
      <c r="D204" s="9" t="inlineStr">
        <is>
          <t>InputLevel</t>
        </is>
      </c>
      <c r="E204" s="9" t="inlineStr">
        <is>
          <t>Factor</t>
        </is>
      </c>
      <c r="F204" s="9" t="inlineStr">
        <is>
          <t>CoefficientPercent</t>
        </is>
      </c>
      <c r="G204" s="9" t="inlineStr">
        <is>
          <t>EffectiveHits</t>
        </is>
      </c>
      <c r="H204" s="9" t="inlineStr">
        <is>
          <t>ProcProbability</t>
        </is>
      </c>
      <c r="I204" s="9" t="inlineStr">
        <is>
          <t>MapleHeroMultiplier</t>
        </is>
      </c>
      <c r="J204" s="9" t="inlineStr">
        <is>
          <t>BaseDamage</t>
        </is>
      </c>
      <c r="K204" s="9" t="inlineStr">
        <is>
          <t>BaseHitDamage</t>
        </is>
      </c>
      <c r="L204" s="9" t="inlineStr">
        <is>
          <t>NonCritAvg</t>
        </is>
      </c>
      <c r="M204" s="9" t="inlineStr">
        <is>
          <t>CritAvg</t>
        </is>
      </c>
      <c r="N204" s="9" t="inlineStr">
        <is>
          <t>ExpectedDamage(perHit)</t>
        </is>
      </c>
      <c r="O204" s="9" t="inlineStr">
        <is>
          <t>DPS</t>
        </is>
      </c>
      <c r="P204" s="9" t="inlineStr">
        <is>
          <t>% of Total</t>
        </is>
      </c>
      <c r="Q204" s="9" t="inlineStr">
        <is>
          <t>InvCooldown</t>
        </is>
      </c>
      <c r="R204" s="9" t="inlineStr">
        <is>
          <t>CastsInFight</t>
        </is>
      </c>
      <c r="S204" s="9" t="inlineStr">
        <is>
          <t>HitRate(perSec)</t>
        </is>
      </c>
      <c r="U204" t="inlineStr">
        <is>
          <t>helpers</t>
        </is>
      </c>
    </row>
    <row r="205">
      <c r="A205">
        <f>Skills!A2</f>
        <v/>
      </c>
      <c r="B205">
        <f>Skills!B2</f>
        <v/>
      </c>
      <c r="C205">
        <f>Inputs!$B$3&gt;=100</f>
        <v/>
      </c>
      <c r="D205" t="inlineStr"/>
      <c r="E205" t="inlineStr"/>
      <c r="F205">
        <f>U207+Skills!O2</f>
        <v/>
      </c>
      <c r="G205">
        <f>Skills!G2*IF(Skills!H2&gt;0,Skills!I2/Skills!H2,1)</f>
        <v/>
      </c>
      <c r="H205">
        <f>1-(1-Skills!J2/100)^Skills!K2</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Inputs!$B$9+1)/100)),0))*(1+Inputs!$B$14/100))*0.01+Inputs!$B$15*0.0025)/100)*(1+Inputs!$B$16/100)*(1+Inputs!$B$17/100)*(5000/(6000+Inputs!$B$43*(1-(Inputs!$B$20+0)/100)))*(1+(Inputs!$B$25+((C228=TRUE)*(F228-Calc!F25))+((C229=TRUE)*(F229-Calc!F26))+B238)/100)*(1+(IF(Skills!A2="DARK_IMPALE",Inputs!$B$18+0,Inputs!$B$19+((C226=TRUE)*(F226-Calc!F23))))/100)*((1+(((C216=TRUE)*F216*IF(AND(Inputs!$B$39&lt;&gt;"pvp",Inputs!$B$44&gt;0),(((R216-1)*(Skills!T13*(1+Inputs!$B$35/100))+MIN((Skills!T13*(1+Inputs!$B$35/100)),MAX(0,Inputs!$B$44-((R216-1)*Skills!D13))))/Inputs!$B$44),IF(Inputs!$B$39="pvp",MIN((Skills!T13*(1+Inputs!$B$35/100)),15)/15,(Skills!T13*(1+Inputs!$B$35/100))/Skills!D13)))+((C217=TRUE)*F217*IF(AND(Inputs!$B$39&lt;&gt;"pvp",Inputs!$B$44&gt;0),(((R217-1)*(Skills!T14*(1+Inputs!$B$35/100))+MIN((Skills!T14*(1+Inputs!$B$35/100)),MAX(0,Inputs!$B$44-((R217-1)*Skills!D14))))/Inputs!$B$44),IF(Inputs!$B$39="pvp",MIN((Skills!T14*(1+Inputs!$B$35/100)),15)/15,(Skills!T14*(1+Inputs!$B$35/100))/Skills!D14)))+((C218=TRUE)*F218*IF(AND(Inputs!$B$39&lt;&gt;"pvp",Inputs!$B$44&gt;0),(((R218-1)*(Skills!T15*(1+Inputs!$B$35/100))+MIN((Skills!T15*(1+Inputs!$B$35/100)),MAX(0,Inputs!$B$44-((R218-1)*Skills!D15))))/Inputs!$B$44),IF(Inputs!$B$39="pvp",MIN((Skills!T15*(1+Inputs!$B$35/100)),15)/15,(Skills!T15*(1+Inputs!$B$35/100))/Skills!D15)))+((C219=TRUE)*F219*IF(AND(Inputs!$B$39&lt;&gt;"pvp",Inputs!$B$44&gt;0),(((R219-1)*(Skills!T16*(1+Inputs!$B$35/100))+MIN((Skills!T16*(1+Inputs!$B$35/100)),MAX(0,Inputs!$B$44-((R219-1)*Skills!D16))))/Inputs!$B$44),IF(Inputs!$B$39="pvp",MIN((Skills!T16*(1+Inputs!$B$35/100)),15)/15,(Skills!T16*(1+Inputs!$B$35/100))/Skills!D16)))+0)/100)*I205)</f>
        <v/>
      </c>
      <c r="L205">
        <f>K205*(MIN(Inputs!$B$23+((C225=TRUE)*(F225-Calc!F22)),Inputs!$B$24+((C227=TRUE)*(F227-Calc!F24)))/100+(Inputs!$B$24+((C227=TRUE)*(F227-Calc!F24)))/100)/2</f>
        <v/>
      </c>
      <c r="M205">
        <f>L205*(1+(Inputs!$B$11+0+B237)/100)</f>
        <v/>
      </c>
      <c r="N205">
        <f>L205*(1-MIN((Inputs!$B$10+0+B232),100)/100)+M205*(MIN((Inputs!$B$10+0+B232),100)/100)</f>
        <v/>
      </c>
      <c r="O205">
        <f>(1-Summary!$B$55)*T205+Summary!$B$55*V205</f>
        <v/>
      </c>
      <c r="P205">
        <f>IF(B242=0,0,O205/B242)</f>
        <v/>
      </c>
      <c r="Q205" t="n">
        <v>0</v>
      </c>
      <c r="R205" t="n">
        <v>0</v>
      </c>
      <c r="S205">
        <f>IFERROR(O205/N205,0)</f>
        <v/>
      </c>
      <c r="T205">
        <f>IF(C205,(Skills!G2*N205*B236)*IF(Inputs!$B$39="pvp",1,1+(Inputs!$B$21+0+Skills!P2+((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0)</f>
        <v/>
      </c>
      <c r="U205">
        <f>MAX(0,(Inputs!$B$3-100)*3)+Inputs!$B$29+Inputs!$B$30</f>
        <v/>
      </c>
      <c r="V205">
        <f>IF(C205,(Skills!G2*N205*B236)*IF(Inputs!$B$39="pvp",1,(1+(Inputs!$B$22+Skills!Q2+((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MIN((6+Inputs!$B$34),Inputs!$B$38))),0)</f>
        <v/>
      </c>
    </row>
    <row r="206">
      <c r="A206">
        <f>Skills!A3</f>
        <v/>
      </c>
      <c r="B206">
        <f>Skills!B3</f>
        <v/>
      </c>
      <c r="C206">
        <f>Inputs!$B$3&gt;=50</f>
        <v/>
      </c>
      <c r="D206">
        <f>IF(Skills!C3=1,60+Inputs!$B$26+Inputs!$B$30,IF(Skills!C3=2,90+Inputs!$B$27+Inputs!$B$30,IF(Skills!C3=3,120+Inputs!$B$28+Inputs!$B$30,MAX(0,(Inputs!$B$3-100)*3)+Inputs!$B$29+Inputs!$B$30)))</f>
        <v/>
      </c>
      <c r="E206">
        <f>INDEX(FactorTable!$B$2:$Y$301, MATCH(ROUND(MIN(300,MAX(1,D206)),0), FactorTable!$A$2:$A$301,0), Skills!M3+1)</f>
        <v/>
      </c>
      <c r="F206">
        <f>IF(Skills!N3=TRUE,(Skills!L3/10)*(E206/1000),Skills!L3/10)+Skills!O3</f>
        <v/>
      </c>
      <c r="G206" t="inlineStr"/>
      <c r="H206" t="inlineStr"/>
      <c r="I206" t="inlineStr">
        <is>
          <t>1</t>
        </is>
      </c>
      <c r="J206" t="inlineStr"/>
      <c r="K206" t="inlineStr"/>
      <c r="L206" t="inlineStr"/>
      <c r="M206" t="inlineStr"/>
      <c r="N206" t="inlineStr"/>
      <c r="O206" t="inlineStr"/>
      <c r="P206" t="inlineStr"/>
      <c r="Q206" t="inlineStr"/>
      <c r="R206" t="inlineStr"/>
      <c r="S206" t="inlineStr"/>
      <c r="U206">
        <f>INDEX(FactorTable!$B$2:$Y$301, MATCH(ROUND(MIN(300,MAX(1,U205)),0), FactorTable!$A$2:$A$301,0), 22)</f>
        <v/>
      </c>
    </row>
    <row r="207">
      <c r="A207">
        <f>Skills!A4</f>
        <v/>
      </c>
      <c r="B207">
        <f>Skills!B4</f>
        <v/>
      </c>
      <c r="C207">
        <f>Inputs!$B$3&gt;=105</f>
        <v/>
      </c>
      <c r="D207">
        <f>IF(Skills!C4=1,60+Inputs!$B$26+Inputs!$B$30,IF(Skills!C4=2,90+Inputs!$B$27+Inputs!$B$30,IF(Skills!C4=3,120+Inputs!$B$28+Inputs!$B$30,MAX(0,(Inputs!$B$3-100)*3)+Inputs!$B$29+Inputs!$B$30)))</f>
        <v/>
      </c>
      <c r="E207">
        <f>INDEX(FactorTable!$B$2:$Y$301, MATCH(ROUND(MIN(300,MAX(1,D207)),0), FactorTable!$A$2:$A$301,0), Skills!M4+1)</f>
        <v/>
      </c>
      <c r="F207">
        <f>IF(Skills!N4=TRUE,(Skills!L4/10)*(E207/1000),Skills!L4/10)+Skills!O4</f>
        <v/>
      </c>
      <c r="G207" t="inlineStr"/>
      <c r="H207" t="inlineStr"/>
      <c r="I207" t="inlineStr">
        <is>
          <t>1</t>
        </is>
      </c>
      <c r="J207" t="inlineStr"/>
      <c r="K207" t="inlineStr"/>
      <c r="L207" t="inlineStr"/>
      <c r="M207" t="inlineStr"/>
      <c r="N207" t="inlineStr"/>
      <c r="O207" t="inlineStr"/>
      <c r="P207" t="inlineStr"/>
      <c r="Q207" t="inlineStr"/>
      <c r="R207" t="inlineStr"/>
      <c r="S207" t="inlineStr"/>
      <c r="U207">
        <f>290*U206/1000</f>
        <v/>
      </c>
    </row>
    <row r="208">
      <c r="A208">
        <f>Skills!A5</f>
        <v/>
      </c>
      <c r="B208">
        <f>Skills!B5</f>
        <v/>
      </c>
      <c r="C208">
        <f>Inputs!$B$3&gt;=117</f>
        <v/>
      </c>
      <c r="D208">
        <f>IF(Skills!C5=1,60+Inputs!$B$26+Inputs!$B$30,IF(Skills!C5=2,90+Inputs!$B$27+Inputs!$B$30,IF(Skills!C5=3,120+Inputs!$B$28+Inputs!$B$30,MAX(0,(Inputs!$B$3-100)*3)+Inputs!$B$29+Inputs!$B$30)))</f>
        <v/>
      </c>
      <c r="E208">
        <f>INDEX(FactorTable!$B$2:$Y$301, MATCH(ROUND(MIN(300,MAX(1,D208)),0), FactorTable!$A$2:$A$301,0), Skills!M5+1)</f>
        <v/>
      </c>
      <c r="F208">
        <f>IF(Skills!N5=TRUE,(Skills!L5/10)*(E208/1000),Skills!L5/10)+Skills!O5</f>
        <v/>
      </c>
      <c r="G208">
        <f>Skills!G5*IF(Skills!H5&gt;0,Skills!I5/Skills!H5,1)</f>
        <v/>
      </c>
      <c r="H208">
        <f>1-(1-Skills!J5/100)^Skills!K5</f>
        <v/>
      </c>
      <c r="I208" t="inlineStr">
        <is>
          <t>1</t>
        </is>
      </c>
      <c r="J208">
        <f>((Inputs!$B$6*(1+Inputs!$B$7/100))+(((Inputs!$B$13*(1+Inputs!$B$14/100))-(Inputs!$B$13*(1+Inputs!$B$14/100)))+0.25*(Inputs!$B$15-Inputs!$B$15))*(1+Inputs!$B$7/100))*(F208/100)</f>
        <v/>
      </c>
      <c r="K208">
        <f>J208*(1+(((Inputs!$B$13+IF(Inputs!$B$3&gt;=38,(10*INDEX(FactorTable!$B$2:$Y$301, MATCH(ROUND(MIN(300,MAX(1,Inputs!$B$3)),0), FactorTable!$A$2:$A$301,0), 23)/1000)/100*(Inputs!$B$8*(1+(Inputs!$B$9+1)/100)),0))*(1+Inputs!$B$14/100))*0.01+Inputs!$B$15*0.0025)/100)*(1+Inputs!$B$16/100)*(1+Inputs!$B$17/100)*(5000/(6000+Inputs!$B$43*(1-(Inputs!$B$20+0)/100)))*(1+(Inputs!$B$25+((C228=TRUE)*(F228-Calc!F25))+((C229=TRUE)*(F229-Calc!F26))+B238)/100)*(1+(IF(Skills!A5="DARK_IMPALE",Inputs!$B$18+0,Inputs!$B$19+((C226=TRUE)*(F226-Calc!F23))))/100)*((1+(((C216=TRUE)*F216*IF(AND(Inputs!$B$39&lt;&gt;"pvp",Inputs!$B$44&gt;0),(((R216-1)*(Skills!T13*(1+Inputs!$B$35/100))+MIN((Skills!T13*(1+Inputs!$B$35/100)),MAX(0,Inputs!$B$44-((R216-1)*Skills!D13))))/Inputs!$B$44),IF(Inputs!$B$39="pvp",MIN((Skills!T13*(1+Inputs!$B$35/100)),15)/15,(Skills!T13*(1+Inputs!$B$35/100))/Skills!D13)))+((C217=TRUE)*F217*IF(AND(Inputs!$B$39&lt;&gt;"pvp",Inputs!$B$44&gt;0),(((R217-1)*(Skills!T14*(1+Inputs!$B$35/100))+MIN((Skills!T14*(1+Inputs!$B$35/100)),MAX(0,Inputs!$B$44-((R217-1)*Skills!D14))))/Inputs!$B$44),IF(Inputs!$B$39="pvp",MIN((Skills!T14*(1+Inputs!$B$35/100)),15)/15,(Skills!T14*(1+Inputs!$B$35/100))/Skills!D14)))+((C218=TRUE)*F218*IF(AND(Inputs!$B$39&lt;&gt;"pvp",Inputs!$B$44&gt;0),(((R218-1)*(Skills!T15*(1+Inputs!$B$35/100))+MIN((Skills!T15*(1+Inputs!$B$35/100)),MAX(0,Inputs!$B$44-((R218-1)*Skills!D15))))/Inputs!$B$44),IF(Inputs!$B$39="pvp",MIN((Skills!T15*(1+Inputs!$B$35/100)),15)/15,(Skills!T15*(1+Inputs!$B$35/100))/Skills!D15)))+((C219=TRUE)*F219*IF(AND(Inputs!$B$39&lt;&gt;"pvp",Inputs!$B$44&gt;0),(((R219-1)*(Skills!T16*(1+Inputs!$B$35/100))+MIN((Skills!T16*(1+Inputs!$B$35/100)),MAX(0,Inputs!$B$44-((R219-1)*Skills!D16))))/Inputs!$B$44),IF(Inputs!$B$39="pvp",MIN((Skills!T16*(1+Inputs!$B$35/100)),15)/15,(Skills!T16*(1+Inputs!$B$35/100))/Skills!D16)))+0)/100)*I208)</f>
        <v/>
      </c>
      <c r="L208">
        <f>K208*(MIN(Inputs!$B$23+((C225=TRUE)*(F225-Calc!F22)),Inputs!$B$24+((C227=TRUE)*(F227-Calc!F24)))/100+(Inputs!$B$24+((C227=TRUE)*(F227-Calc!F24)))/100)/2</f>
        <v/>
      </c>
      <c r="M208">
        <f>L208*(1+(Inputs!$B$11+0+B237)/100)</f>
        <v/>
      </c>
      <c r="N208">
        <f>L208*(1-MIN((Inputs!$B$10+0+B232),100)/100)+M208*(MIN((Inputs!$B$10+0+B232),100)/100)</f>
        <v/>
      </c>
      <c r="O208">
        <f>(1-Summary!$B$55)*T208+Summary!$B$55*V208</f>
        <v/>
      </c>
      <c r="P208">
        <f>IF(B242=0,0,O208/B242)</f>
        <v/>
      </c>
      <c r="Q208">
        <f>IFERROR(1/IF(Inputs!$B$39="pvp",15,MAX(0.1,Skills!D5-IF(Skills!E5=TRUE,Inputs!$B$33,0))),0)</f>
        <v/>
      </c>
      <c r="R208">
        <f>IF(AND(Inputs!$B$39&lt;&gt;"pvp",Inputs!$B$44&gt;0),IF(MAX(0,Inputs!$B$44-B239)&lt;=0,0,(INT(MAX(0,Inputs!$B$44-B239)/IF(Inputs!$B$39="pvp",15,MAX(0.1,Skills!D5-IF(Skills!E5=TRUE,Inputs!$B$33,0))))+1)),0)</f>
        <v/>
      </c>
      <c r="S208">
        <f>IFERROR(O208/N208,0)</f>
        <v/>
      </c>
      <c r="T208">
        <f>IF(C208,(H208*N208*IF(AND(Inputs!$B$39&lt;&gt;"pvp",Inputs!$B$44&gt;0),((Skills!G5*((R208-1)*IF(Skills!H5&gt;0,Skills!I5/Skills!H5,1)+IF(Skills!H5&gt;0,MIN(Skills!I5,MAX(0,MAX(0,Inputs!$B$44-B239)-((R208-1)*IF(Inputs!$B$39="pvp",15,MAX(0.1,Skills!D5-IF(Skills!E5=TRUE,Inputs!$B$33,0))))))/Skills!H5,1)))/Inputs!$B$44),G208*Q208))*IF(Inputs!$B$39="pvp",1,1+(Inputs!$B$21+0+Skills!P5+((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0)</f>
        <v/>
      </c>
      <c r="V208">
        <f>IF(C208,(H208*N208*IF(AND(Inputs!$B$39&lt;&gt;"pvp",Inputs!$B$44&gt;0),((Skills!G5*((R208-1)*IF(Skills!H5&gt;0,Skills!I5/Skills!H5,1)+IF(Skills!H5&gt;0,MIN(Skills!I5,MAX(0,MAX(0,Inputs!$B$44-B239)-((R208-1)*IF(Inputs!$B$39="pvp",15,MAX(0.1,Skills!D5-IF(Skills!E5=TRUE,Inputs!$B$33,0))))))/Skills!H5,1)))/Inputs!$B$44),G208*Q208))*IF(Inputs!$B$39="pvp",1,(1+(Inputs!$B$22+Skills!Q5+((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MIN(Skills!R5,Inputs!$B$38))),0)</f>
        <v/>
      </c>
    </row>
    <row r="209">
      <c r="A209">
        <f>Skills!A6</f>
        <v/>
      </c>
      <c r="B209">
        <f>Skills!B6</f>
        <v/>
      </c>
      <c r="C209">
        <f>Inputs!$B$3&gt;=103</f>
        <v/>
      </c>
      <c r="D209">
        <f>IF(Skills!C6=1,60+Inputs!$B$26+Inputs!$B$30,IF(Skills!C6=2,90+Inputs!$B$27+Inputs!$B$30,IF(Skills!C6=3,120+Inputs!$B$28+Inputs!$B$30,MAX(0,(Inputs!$B$3-100)*3)+Inputs!$B$29+Inputs!$B$30)))</f>
        <v/>
      </c>
      <c r="E209">
        <f>INDEX(FactorTable!$B$2:$Y$301, MATCH(ROUND(MIN(300,MAX(1,D209)),0), FactorTable!$A$2:$A$301,0), Skills!M6+1)</f>
        <v/>
      </c>
      <c r="F209">
        <f>IF(Skills!N6=TRUE,(Skills!L6/10)*(E209/1000),Skills!L6/10)+Skills!O6</f>
        <v/>
      </c>
      <c r="G209">
        <f>Skills!G6*IF(Skills!H6&gt;0,Skills!I6/Skills!H6,1)</f>
        <v/>
      </c>
      <c r="H209">
        <f>1-(1-Skills!J6/100)^Skills!K6</f>
        <v/>
      </c>
      <c r="I209" t="inlineStr">
        <is>
          <t>1</t>
        </is>
      </c>
      <c r="J209">
        <f>((Inputs!$B$6*(1+Inputs!$B$7/100))+(((Inputs!$B$13*(1+Inputs!$B$14/100))-(Inputs!$B$13*(1+Inputs!$B$14/100)))+0.25*(Inputs!$B$15-Inputs!$B$15))*(1+Inputs!$B$7/100))*(F209/100)</f>
        <v/>
      </c>
      <c r="K209">
        <f>J209*(1+(((Inputs!$B$13+IF(Inputs!$B$3&gt;=38,(10*INDEX(FactorTable!$B$2:$Y$301, MATCH(ROUND(MIN(300,MAX(1,Inputs!$B$3)),0), FactorTable!$A$2:$A$301,0), 23)/1000)/100*(Inputs!$B$8*(1+(Inputs!$B$9+1)/100)),0))*(1+Inputs!$B$14/100))*0.01+Inputs!$B$15*0.0025)/100)*(1+Inputs!$B$16/100)*(1+Inputs!$B$17/100)*(5000/(6000+Inputs!$B$43*(1-(Inputs!$B$20+0)/100)))*(1+(Inputs!$B$25+((C228=TRUE)*(F228-Calc!F25))+((C229=TRUE)*(F229-Calc!F26))+B238)/100)*(1+(IF(Skills!A6="DARK_IMPALE",Inputs!$B$18+0,Inputs!$B$19+((C226=TRUE)*(F226-Calc!F23))))/100)*((1+(((C216=TRUE)*F216*IF(AND(Inputs!$B$39&lt;&gt;"pvp",Inputs!$B$44&gt;0),(((R216-1)*(Skills!T13*(1+Inputs!$B$35/100))+MIN((Skills!T13*(1+Inputs!$B$35/100)),MAX(0,Inputs!$B$44-((R216-1)*Skills!D13))))/Inputs!$B$44),IF(Inputs!$B$39="pvp",MIN((Skills!T13*(1+Inputs!$B$35/100)),15)/15,(Skills!T13*(1+Inputs!$B$35/100))/Skills!D13)))+((C217=TRUE)*F217*IF(AND(Inputs!$B$39&lt;&gt;"pvp",Inputs!$B$44&gt;0),(((R217-1)*(Skills!T14*(1+Inputs!$B$35/100))+MIN((Skills!T14*(1+Inputs!$B$35/100)),MAX(0,Inputs!$B$44-((R217-1)*Skills!D14))))/Inputs!$B$44),IF(Inputs!$B$39="pvp",MIN((Skills!T14*(1+Inputs!$B$35/100)),15)/15,(Skills!T14*(1+Inputs!$B$35/100))/Skills!D14)))+((C218=TRUE)*F218*IF(AND(Inputs!$B$39&lt;&gt;"pvp",Inputs!$B$44&gt;0),(((R218-1)*(Skills!T15*(1+Inputs!$B$35/100))+MIN((Skills!T15*(1+Inputs!$B$35/100)),MAX(0,Inputs!$B$44-((R218-1)*Skills!D15))))/Inputs!$B$44),IF(Inputs!$B$39="pvp",MIN((Skills!T15*(1+Inputs!$B$35/100)),15)/15,(Skills!T15*(1+Inputs!$B$35/100))/Skills!D15)))+((C219=TRUE)*F219*IF(AND(Inputs!$B$39&lt;&gt;"pvp",Inputs!$B$44&gt;0),(((R219-1)*(Skills!T16*(1+Inputs!$B$35/100))+MIN((Skills!T16*(1+Inputs!$B$35/100)),MAX(0,Inputs!$B$44-((R219-1)*Skills!D16))))/Inputs!$B$44),IF(Inputs!$B$39="pvp",MIN((Skills!T16*(1+Inputs!$B$35/100)),15)/15,(Skills!T16*(1+Inputs!$B$35/100))/Skills!D16)))+0)/100)*I209)</f>
        <v/>
      </c>
      <c r="L209">
        <f>K209*(MIN(Inputs!$B$23+((C225=TRUE)*(F225-Calc!F22)),Inputs!$B$24+((C227=TRUE)*(F227-Calc!F24)))/100+(Inputs!$B$24+((C227=TRUE)*(F227-Calc!F24)))/100)/2</f>
        <v/>
      </c>
      <c r="M209">
        <f>L209*(1+(Inputs!$B$11+0+B237)/100)</f>
        <v/>
      </c>
      <c r="N209">
        <f>L209*(1-MIN((Inputs!$B$10+0+B232),100)/100)+M209*(MIN((Inputs!$B$10+0+B232),100)/100)</f>
        <v/>
      </c>
      <c r="O209">
        <f>(1-Summary!$B$55)*T209+Summary!$B$55*V209</f>
        <v/>
      </c>
      <c r="P209">
        <f>IF(B242=0,0,O209/B242)</f>
        <v/>
      </c>
      <c r="Q209">
        <f>IFERROR(1/IF(Inputs!$B$39="pvp",15,MAX(0.1,Skills!D6-IF(Skills!E6=TRUE,Inputs!$B$33,0))),0)</f>
        <v/>
      </c>
      <c r="R209">
        <f>IF(AND(Inputs!$B$39&lt;&gt;"pvp",Inputs!$B$44&gt;0),IF(MAX(0,Inputs!$B$44-B239)&lt;=0,0,(INT(MAX(0,Inputs!$B$44-B239)/IF(Inputs!$B$39="pvp",15,MAX(0.1,Skills!D6-IF(Skills!E6=TRUE,Inputs!$B$33,0))))+1)),0)</f>
        <v/>
      </c>
      <c r="S209">
        <f>IFERROR(O209/N209,0)</f>
        <v/>
      </c>
      <c r="T209">
        <f>IF(C209,(H209*N209*IF(AND(Inputs!$B$39&lt;&gt;"pvp",Inputs!$B$44&gt;0),((Skills!G6*((R209-1)*IF(Skills!H6&gt;0,Skills!I6/Skills!H6,1)+IF(Skills!H6&gt;0,MIN(Skills!I6,MAX(0,MAX(0,Inputs!$B$44-B239)-((R209-1)*IF(Inputs!$B$39="pvp",15,MAX(0.1,Skills!D6-IF(Skills!E6=TRUE,Inputs!$B$33,0))))))/Skills!H6,1)))/Inputs!$B$44),G209*Q209))*IF(Inputs!$B$39="pvp",1,1+(Inputs!$B$21+0+Skills!P6+((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0)</f>
        <v/>
      </c>
      <c r="V209">
        <f>IF(C209,(H209*N209*IF(AND(Inputs!$B$39&lt;&gt;"pvp",Inputs!$B$44&gt;0),((Skills!G6*((R209-1)*IF(Skills!H6&gt;0,Skills!I6/Skills!H6,1)+IF(Skills!H6&gt;0,MIN(Skills!I6,MAX(0,MAX(0,Inputs!$B$44-B239)-((R209-1)*IF(Inputs!$B$39="pvp",15,MAX(0.1,Skills!D6-IF(Skills!E6=TRUE,Inputs!$B$33,0))))))/Skills!H6,1)))/Inputs!$B$44),G209*Q209))*IF(Inputs!$B$39="pvp",1,(1+(Inputs!$B$22+Skills!Q6+((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MIN(Skills!R6,Inputs!$B$38))),0)</f>
        <v/>
      </c>
    </row>
    <row r="210">
      <c r="A210">
        <f>Skills!A7</f>
        <v/>
      </c>
      <c r="B210">
        <f>Skills!B7</f>
        <v/>
      </c>
      <c r="C210">
        <f>Inputs!$B$3&gt;=40</f>
        <v/>
      </c>
      <c r="D210">
        <f>IF(Skills!C7=1,60+Inputs!$B$26+Inputs!$B$30,IF(Skills!C7=2,90+Inputs!$B$27+Inputs!$B$30,IF(Skills!C7=3,120+Inputs!$B$28+Inputs!$B$30,MAX(0,(Inputs!$B$3-100)*3)+Inputs!$B$29+Inputs!$B$30)))</f>
        <v/>
      </c>
      <c r="E210">
        <f>INDEX(FactorTable!$B$2:$Y$301, MATCH(ROUND(MIN(300,MAX(1,D210)),0), FactorTable!$A$2:$A$301,0), Skills!M7+1)</f>
        <v/>
      </c>
      <c r="F210">
        <f>IF(Skills!N7=TRUE,(Skills!L7/10)*(E210/1000),Skills!L7/10)+Skills!O7</f>
        <v/>
      </c>
      <c r="G210">
        <f>Skills!G7*IF(Skills!H7&gt;0,Skills!I7/Skills!H7,1)</f>
        <v/>
      </c>
      <c r="H210">
        <f>1-(1-Skills!J7/100)^Skills!K7</f>
        <v/>
      </c>
      <c r="I210" t="inlineStr">
        <is>
          <t>1</t>
        </is>
      </c>
      <c r="J210">
        <f>((Inputs!$B$6*(1+Inputs!$B$7/100))+(((Inputs!$B$13*(1+Inputs!$B$14/100))-(Inputs!$B$13*(1+Inputs!$B$14/100)))+0.25*(Inputs!$B$15-Inputs!$B$15))*(1+Inputs!$B$7/100))*(F210/100)</f>
        <v/>
      </c>
      <c r="K210">
        <f>J210*(1+(((Inputs!$B$13+IF(Inputs!$B$3&gt;=38,(10*INDEX(FactorTable!$B$2:$Y$301, MATCH(ROUND(MIN(300,MAX(1,Inputs!$B$3)),0), FactorTable!$A$2:$A$301,0), 23)/1000)/100*(Inputs!$B$8*(1+(Inputs!$B$9+1)/100)),0))*(1+Inputs!$B$14/100))*0.01+Inputs!$B$15*0.0025)/100)*(1+Inputs!$B$16/100)*(1+Inputs!$B$17/100)*(5000/(6000+Inputs!$B$43*(1-(Inputs!$B$20+0)/100)))*(1+(Inputs!$B$25+((C228=TRUE)*(F228-Calc!F25))+((C229=TRUE)*(F229-Calc!F26))+B238)/100)*(1+0.75*IF(C214=TRUE,F214,0)/100)*(1+(IF(Skills!A7="DARK_IMPALE",Inputs!$B$18+0,Inputs!$B$19+((C226=TRUE)*(F226-Calc!F23))))/100)*((1+(((C216=TRUE)*F216*IF(AND(Inputs!$B$39&lt;&gt;"pvp",Inputs!$B$44&gt;0),(((R216-1)*(Skills!T13*(1+Inputs!$B$35/100))+MIN((Skills!T13*(1+Inputs!$B$35/100)),MAX(0,Inputs!$B$44-((R216-1)*Skills!D13))))/Inputs!$B$44),IF(Inputs!$B$39="pvp",MIN((Skills!T13*(1+Inputs!$B$35/100)),15)/15,(Skills!T13*(1+Inputs!$B$35/100))/Skills!D13)))+((C217=TRUE)*F217*IF(AND(Inputs!$B$39&lt;&gt;"pvp",Inputs!$B$44&gt;0),(((R217-1)*(Skills!T14*(1+Inputs!$B$35/100))+MIN((Skills!T14*(1+Inputs!$B$35/100)),MAX(0,Inputs!$B$44-((R217-1)*Skills!D14))))/Inputs!$B$44),IF(Inputs!$B$39="pvp",MIN((Skills!T14*(1+Inputs!$B$35/100)),15)/15,(Skills!T14*(1+Inputs!$B$35/100))/Skills!D14)))+((C218=TRUE)*F218*IF(AND(Inputs!$B$39&lt;&gt;"pvp",Inputs!$B$44&gt;0),(((R218-1)*(Skills!T15*(1+Inputs!$B$35/100))+MIN((Skills!T15*(1+Inputs!$B$35/100)),MAX(0,Inputs!$B$44-((R218-1)*Skills!D15))))/Inputs!$B$44),IF(Inputs!$B$39="pvp",MIN((Skills!T15*(1+Inputs!$B$35/100)),15)/15,(Skills!T15*(1+Inputs!$B$35/100))/Skills!D15)))+((C219=TRUE)*F219*IF(AND(Inputs!$B$39&lt;&gt;"pvp",Inputs!$B$44&gt;0),(((R219-1)*(Skills!T16*(1+Inputs!$B$35/100))+MIN((Skills!T16*(1+Inputs!$B$35/100)),MAX(0,Inputs!$B$44-((R219-1)*Skills!D16))))/Inputs!$B$44),IF(Inputs!$B$39="pvp",MIN((Skills!T16*(1+Inputs!$B$35/100)),15)/15,(Skills!T16*(1+Inputs!$B$35/100))/Skills!D16)))+0)/100)*I210)</f>
        <v/>
      </c>
      <c r="L210">
        <f>K210*(MIN(Inputs!$B$23+((C225=TRUE)*(F225-Calc!F22)),Inputs!$B$24+((C227=TRUE)*(F227-Calc!F24)))/100+(Inputs!$B$24+((C227=TRUE)*(F227-Calc!F24)))/100)/2</f>
        <v/>
      </c>
      <c r="M210">
        <f>L210*(1+(Inputs!$B$11+0+B237)/100)</f>
        <v/>
      </c>
      <c r="N210">
        <f>L210*(1-MIN((Inputs!$B$10+0+B232),100)/100)+M210*(MIN((Inputs!$B$10+0+B232),100)/100)</f>
        <v/>
      </c>
      <c r="O210">
        <f>(1-Summary!$B$55)*T210+Summary!$B$55*V210</f>
        <v/>
      </c>
      <c r="P210">
        <f>IF(B242=0,0,O210/B242)</f>
        <v/>
      </c>
      <c r="Q210">
        <f>IFERROR(1/IF(Inputs!$B$39="pvp",15,MAX(0.1,Skills!D7-IF(Skills!E7=TRUE,Inputs!$B$33,0))),0)</f>
        <v/>
      </c>
      <c r="R210">
        <f>IF(AND(Inputs!$B$39&lt;&gt;"pvp",Inputs!$B$44&gt;0),IF(MAX(0,Inputs!$B$44-B239)&lt;=0,0,(INT(MAX(0,Inputs!$B$44-B239)/IF(Inputs!$B$39="pvp",15,MAX(0.1,Skills!D7-IF(Skills!E7=TRUE,Inputs!$B$33,0))))+1)),0)</f>
        <v/>
      </c>
      <c r="S210">
        <f>IFERROR(O210/N210,0)</f>
        <v/>
      </c>
      <c r="T210">
        <f>IF(C210,(H210*N210*IF(AND(Inputs!$B$39&lt;&gt;"pvp",Inputs!$B$44&gt;0),((Skills!G7*((R210-1)*IF(Skills!H7&gt;0,Skills!I7/Skills!H7,1)+IF(Skills!H7&gt;0,MIN(Skills!I7,MAX(0,MAX(0,Inputs!$B$44-B239)-((R210-1)*IF(Inputs!$B$39="pvp",15,MAX(0.1,Skills!D7-IF(Skills!E7=TRUE,Inputs!$B$33,0))))))/Skills!H7,1)))/Inputs!$B$44),G210*Q210))*IF(Inputs!$B$39="pvp",1,1+(Inputs!$B$21+0+Skills!P7+((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0)</f>
        <v/>
      </c>
      <c r="V210">
        <f>IF(C210,(H210*N210*IF(AND(Inputs!$B$39&lt;&gt;"pvp",Inputs!$B$44&gt;0),((Skills!G7*((R210-1)*IF(Skills!H7&gt;0,Skills!I7/Skills!H7,1)+IF(Skills!H7&gt;0,MIN(Skills!I7,MAX(0,MAX(0,Inputs!$B$44-B239)-((R210-1)*IF(Inputs!$B$39="pvp",15,MAX(0.1,Skills!D7-IF(Skills!E7=TRUE,Inputs!$B$33,0))))))/Skills!H7,1)))/Inputs!$B$44),G210*Q210))*IF(Inputs!$B$39="pvp",1,(1+(Inputs!$B$22+Skills!Q7+((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MIN(Skills!R7,Inputs!$B$38))),0)</f>
        <v/>
      </c>
    </row>
    <row r="211">
      <c r="A211">
        <f>Skills!A8</f>
        <v/>
      </c>
      <c r="B211">
        <f>Skills!B8</f>
        <v/>
      </c>
      <c r="C211">
        <f>Inputs!$B$3&gt;=75</f>
        <v/>
      </c>
      <c r="D211">
        <f>IF(Skills!C8=1,60+Inputs!$B$26+Inputs!$B$30,IF(Skills!C8=2,90+Inputs!$B$27+Inputs!$B$30,IF(Skills!C8=3,120+Inputs!$B$28+Inputs!$B$30,MAX(0,(Inputs!$B$3-100)*3)+Inputs!$B$29+Inputs!$B$30)))</f>
        <v/>
      </c>
      <c r="E211">
        <f>INDEX(FactorTable!$B$2:$Y$301, MATCH(ROUND(MIN(300,MAX(1,D211)),0), FactorTable!$A$2:$A$301,0), Skills!M8+1)</f>
        <v/>
      </c>
      <c r="F211">
        <f>IF(Skills!N8=TRUE,(Skills!L8/10)*(E211/1000),Skills!L8/10)+Skills!O8</f>
        <v/>
      </c>
      <c r="G211" t="inlineStr"/>
      <c r="H211" t="inlineStr"/>
      <c r="I211" t="inlineStr">
        <is>
          <t>1</t>
        </is>
      </c>
      <c r="J211" t="inlineStr"/>
      <c r="K211" t="inlineStr"/>
      <c r="L211" t="inlineStr"/>
      <c r="M211" t="inlineStr"/>
      <c r="N211" t="inlineStr"/>
      <c r="O211" t="inlineStr"/>
      <c r="P211" t="inlineStr"/>
      <c r="Q211" t="inlineStr"/>
      <c r="R211" t="inlineStr"/>
      <c r="S211" t="inlineStr"/>
    </row>
    <row r="212">
      <c r="A212">
        <f>Skills!A9</f>
        <v/>
      </c>
      <c r="B212">
        <f>Skills!B9</f>
        <v/>
      </c>
      <c r="C212">
        <f>Inputs!$B$3&gt;=60</f>
        <v/>
      </c>
      <c r="D212">
        <f>IF(Skills!C9=1,60+Inputs!$B$26+Inputs!$B$30,IF(Skills!C9=2,90+Inputs!$B$27+Inputs!$B$30,IF(Skills!C9=3,120+Inputs!$B$28+Inputs!$B$30,MAX(0,(Inputs!$B$3-100)*3)+Inputs!$B$29+Inputs!$B$30)))</f>
        <v/>
      </c>
      <c r="E212">
        <f>INDEX(FactorTable!$B$2:$Y$301, MATCH(ROUND(MIN(300,MAX(1,D212)),0), FactorTable!$A$2:$A$301,0), Skills!M9+1)</f>
        <v/>
      </c>
      <c r="F212">
        <f>IF(Skills!N9=TRUE,(Skills!L9/10)*(E212/1000),Skills!L9/10)+Skills!O9</f>
        <v/>
      </c>
      <c r="G212">
        <f>Skills!G9*IF(Skills!H9&gt;0,Skills!I9/Skills!H9,1)</f>
        <v/>
      </c>
      <c r="H212">
        <f>1-(1-Skills!J9/100)^Skills!K9</f>
        <v/>
      </c>
      <c r="I212" t="inlineStr">
        <is>
          <t>1</t>
        </is>
      </c>
      <c r="J212">
        <f>((Inputs!$B$6*(1+Inputs!$B$7/100))+(((Inputs!$B$13*(1+Inputs!$B$14/100))-(Inputs!$B$13*(1+Inputs!$B$14/100)))+0.25*(Inputs!$B$15-Inputs!$B$15))*(1+Inputs!$B$7/100))*(F212/100)</f>
        <v/>
      </c>
      <c r="K212">
        <f>J212*(1+(((Inputs!$B$13+IF(Inputs!$B$3&gt;=38,(10*INDEX(FactorTable!$B$2:$Y$301, MATCH(ROUND(MIN(300,MAX(1,Inputs!$B$3)),0), FactorTable!$A$2:$A$301,0), 23)/1000)/100*(Inputs!$B$8*(1+(Inputs!$B$9+1)/100)),0))*(1+Inputs!$B$14/100))*0.01+Inputs!$B$15*0.0025)/100)*(1+Inputs!$B$16/100)*(1+Inputs!$B$17/100)*(5000/(6000+Inputs!$B$43*(1-(Inputs!$B$20+0)/100)))*(1+(Inputs!$B$25+((C228=TRUE)*(F228-Calc!F25))+((C229=TRUE)*(F229-Calc!F26))+B238)/100)*(1+1.0*IF(C214=TRUE,F214,0)/100)*(1+(IF(Skills!A9="DARK_IMPALE",Inputs!$B$18+0,Inputs!$B$19+((C226=TRUE)*(F226-Calc!F23))))/100)*((1+(((C216=TRUE)*F216*IF(AND(Inputs!$B$39&lt;&gt;"pvp",Inputs!$B$44&gt;0),(((R216-1)*(Skills!T13*(1+Inputs!$B$35/100))+MIN((Skills!T13*(1+Inputs!$B$35/100)),MAX(0,Inputs!$B$44-((R216-1)*Skills!D13))))/Inputs!$B$44),IF(Inputs!$B$39="pvp",MIN((Skills!T13*(1+Inputs!$B$35/100)),15)/15,(Skills!T13*(1+Inputs!$B$35/100))/Skills!D13)))+((C217=TRUE)*F217*IF(AND(Inputs!$B$39&lt;&gt;"pvp",Inputs!$B$44&gt;0),(((R217-1)*(Skills!T14*(1+Inputs!$B$35/100))+MIN((Skills!T14*(1+Inputs!$B$35/100)),MAX(0,Inputs!$B$44-((R217-1)*Skills!D14))))/Inputs!$B$44),IF(Inputs!$B$39="pvp",MIN((Skills!T14*(1+Inputs!$B$35/100)),15)/15,(Skills!T14*(1+Inputs!$B$35/100))/Skills!D14)))+((C218=TRUE)*F218*IF(AND(Inputs!$B$39&lt;&gt;"pvp",Inputs!$B$44&gt;0),(((R218-1)*(Skills!T15*(1+Inputs!$B$35/100))+MIN((Skills!T15*(1+Inputs!$B$35/100)),MAX(0,Inputs!$B$44-((R218-1)*Skills!D15))))/Inputs!$B$44),IF(Inputs!$B$39="pvp",MIN((Skills!T15*(1+Inputs!$B$35/100)),15)/15,(Skills!T15*(1+Inputs!$B$35/100))/Skills!D15)))+((C219=TRUE)*F219*IF(AND(Inputs!$B$39&lt;&gt;"pvp",Inputs!$B$44&gt;0),(((R219-1)*(Skills!T16*(1+Inputs!$B$35/100))+MIN((Skills!T16*(1+Inputs!$B$35/100)),MAX(0,Inputs!$B$44-((R219-1)*Skills!D16))))/Inputs!$B$44),IF(Inputs!$B$39="pvp",MIN((Skills!T16*(1+Inputs!$B$35/100)),15)/15,(Skills!T16*(1+Inputs!$B$35/100))/Skills!D16)))+0)/100)*I212)</f>
        <v/>
      </c>
      <c r="L212">
        <f>K212*(MIN(Inputs!$B$23+((C225=TRUE)*(F225-Calc!F22)),Inputs!$B$24+((C227=TRUE)*(F227-Calc!F24)))/100+(Inputs!$B$24+((C227=TRUE)*(F227-Calc!F24)))/100)/2</f>
        <v/>
      </c>
      <c r="M212">
        <f>L212*(1+(Inputs!$B$11+0+B237)/100)</f>
        <v/>
      </c>
      <c r="N212">
        <f>L212*(1-MIN((Inputs!$B$10+0+B232),100)/100)+M212*(MIN((Inputs!$B$10+0+B232),100)/100)</f>
        <v/>
      </c>
      <c r="O212">
        <f>(1-Summary!$B$55)*T212+Summary!$B$55*V212</f>
        <v/>
      </c>
      <c r="P212">
        <f>IF(B242=0,0,O212/B242)</f>
        <v/>
      </c>
      <c r="Q212">
        <f>IFERROR(1/IF(Inputs!$B$39="pvp",15,MAX(0.1,Skills!D9-IF(Skills!E9=TRUE,Inputs!$B$33,0))),0)</f>
        <v/>
      </c>
      <c r="R212">
        <f>IF(AND(Inputs!$B$39&lt;&gt;"pvp",Inputs!$B$44&gt;0),IF(MAX(0,Inputs!$B$44-B239)&lt;=0,0,(INT(MAX(0,Inputs!$B$44-B239)/IF(Inputs!$B$39="pvp",15,MAX(0.1,Skills!D9-IF(Skills!E9=TRUE,Inputs!$B$33,0))))+1)),0)</f>
        <v/>
      </c>
      <c r="S212">
        <f>IFERROR(O212/N212,0)</f>
        <v/>
      </c>
      <c r="T212">
        <f>IF(C212,(H212*N212*IF(AND(Inputs!$B$39&lt;&gt;"pvp",Inputs!$B$44&gt;0),((Skills!G9*((R212-1)*IF(Skills!H9&gt;0,Skills!I9/Skills!H9,1)+IF(Skills!H9&gt;0,MIN(Skills!I9,MAX(0,MAX(0,Inputs!$B$44-B239)-((R212-1)*IF(Inputs!$B$39="pvp",15,MAX(0.1,Skills!D9-IF(Skills!E9=TRUE,Inputs!$B$33,0))))))/Skills!H9,1)))/Inputs!$B$44),G212*Q212))*IF(Inputs!$B$39="pvp",1,1+(Inputs!$B$21+0+Skills!P9+((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0)</f>
        <v/>
      </c>
      <c r="V212">
        <f>IF(C212,(H212*N212*IF(AND(Inputs!$B$39&lt;&gt;"pvp",Inputs!$B$44&gt;0),((Skills!G9*((R212-1)*IF(Skills!H9&gt;0,Skills!I9/Skills!H9,1)+IF(Skills!H9&gt;0,MIN(Skills!I9,MAX(0,MAX(0,Inputs!$B$44-B239)-((R212-1)*IF(Inputs!$B$39="pvp",15,MAX(0.1,Skills!D9-IF(Skills!E9=TRUE,Inputs!$B$33,0))))))/Skills!H9,1)))/Inputs!$B$44),G212*Q212))*IF(Inputs!$B$39="pvp",1,(1+(Inputs!$B$22+Skills!Q9+((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MIN(Skills!R9,Inputs!$B$38))),0)</f>
        <v/>
      </c>
    </row>
    <row r="213">
      <c r="A213">
        <f>Skills!A10</f>
        <v/>
      </c>
      <c r="B213">
        <f>Skills!B10</f>
        <v/>
      </c>
      <c r="C213">
        <f>Inputs!$B$3&gt;=110</f>
        <v/>
      </c>
      <c r="D213">
        <f>IF(Skills!C10=1,60+Inputs!$B$26+Inputs!$B$30,IF(Skills!C10=2,90+Inputs!$B$27+Inputs!$B$30,IF(Skills!C10=3,120+Inputs!$B$28+Inputs!$B$30,MAX(0,(Inputs!$B$3-100)*3)+Inputs!$B$29+Inputs!$B$30)))</f>
        <v/>
      </c>
      <c r="E213">
        <f>INDEX(FactorTable!$B$2:$Y$301, MATCH(ROUND(MIN(300,MAX(1,D213)),0), FactorTable!$A$2:$A$301,0), Skills!M10+1)</f>
        <v/>
      </c>
      <c r="F213">
        <f>IF(Skills!N10=TRUE,(Skills!L10/10)*(E213/1000),Skills!L10/10)+Skills!O10</f>
        <v/>
      </c>
      <c r="G213">
        <f>Skills!G10*IF(Skills!H10&gt;0,Skills!I10/Skills!H10,1)</f>
        <v/>
      </c>
      <c r="H213">
        <f>1-(1-Skills!J10/100)^Skills!K10</f>
        <v/>
      </c>
      <c r="I213" t="inlineStr">
        <is>
          <t>1</t>
        </is>
      </c>
      <c r="J213">
        <f>((Inputs!$B$6*(1+Inputs!$B$7/100))+(((Inputs!$B$13*(1+Inputs!$B$14/100))-(Inputs!$B$13*(1+Inputs!$B$14/100)))+0.25*(Inputs!$B$15-Inputs!$B$15))*(1+Inputs!$B$7/100))*(F213/100)</f>
        <v/>
      </c>
      <c r="K213">
        <f>J213*(1+(((Inputs!$B$13+IF(Inputs!$B$3&gt;=38,(10*INDEX(FactorTable!$B$2:$Y$301, MATCH(ROUND(MIN(300,MAX(1,Inputs!$B$3)),0), FactorTable!$A$2:$A$301,0), 23)/1000)/100*(Inputs!$B$8*(1+(Inputs!$B$9+1)/100)),0))*(1+Inputs!$B$14/100))*0.01+Inputs!$B$15*0.0025)/100)*(1+Inputs!$B$16/100)*(1+Inputs!$B$17/100)*(5000/(6000+Inputs!$B$43*(1-(Inputs!$B$20+0)/100)))*(1+(Inputs!$B$25+((C228=TRUE)*(F228-Calc!F25))+((C229=TRUE)*(F229-Calc!F26))+B238)/100)*(1+(IF(Skills!A10="DARK_IMPALE",Inputs!$B$18+0,Inputs!$B$19+((C226=TRUE)*(F226-Calc!F23))))/100)*((1+(((C216=TRUE)*F216*IF(AND(Inputs!$B$39&lt;&gt;"pvp",Inputs!$B$44&gt;0),(((R216-1)*(Skills!T13*(1+Inputs!$B$35/100))+MIN((Skills!T13*(1+Inputs!$B$35/100)),MAX(0,Inputs!$B$44-((R216-1)*Skills!D13))))/Inputs!$B$44),IF(Inputs!$B$39="pvp",MIN((Skills!T13*(1+Inputs!$B$35/100)),15)/15,(Skills!T13*(1+Inputs!$B$35/100))/Skills!D13)))+((C217=TRUE)*F217*IF(AND(Inputs!$B$39&lt;&gt;"pvp",Inputs!$B$44&gt;0),(((R217-1)*(Skills!T14*(1+Inputs!$B$35/100))+MIN((Skills!T14*(1+Inputs!$B$35/100)),MAX(0,Inputs!$B$44-((R217-1)*Skills!D14))))/Inputs!$B$44),IF(Inputs!$B$39="pvp",MIN((Skills!T14*(1+Inputs!$B$35/100)),15)/15,(Skills!T14*(1+Inputs!$B$35/100))/Skills!D14)))+((C218=TRUE)*F218*IF(AND(Inputs!$B$39&lt;&gt;"pvp",Inputs!$B$44&gt;0),(((R218-1)*(Skills!T15*(1+Inputs!$B$35/100))+MIN((Skills!T15*(1+Inputs!$B$35/100)),MAX(0,Inputs!$B$44-((R218-1)*Skills!D15))))/Inputs!$B$44),IF(Inputs!$B$39="pvp",MIN((Skills!T15*(1+Inputs!$B$35/100)),15)/15,(Skills!T15*(1+Inputs!$B$35/100))/Skills!D15)))+((C219=TRUE)*F219*IF(AND(Inputs!$B$39&lt;&gt;"pvp",Inputs!$B$44&gt;0),(((R219-1)*(Skills!T16*(1+Inputs!$B$35/100))+MIN((Skills!T16*(1+Inputs!$B$35/100)),MAX(0,Inputs!$B$44-((R219-1)*Skills!D16))))/Inputs!$B$44),IF(Inputs!$B$39="pvp",MIN((Skills!T16*(1+Inputs!$B$35/100)),15)/15,(Skills!T16*(1+Inputs!$B$35/100))/Skills!D16)))+0)/100)*I213)</f>
        <v/>
      </c>
      <c r="L213">
        <f>K213*(MIN(Inputs!$B$23+((C225=TRUE)*(F225-Calc!F22)),Inputs!$B$24+((C227=TRUE)*(F227-Calc!F24)))/100+(Inputs!$B$24+((C227=TRUE)*(F227-Calc!F24)))/100)/2</f>
        <v/>
      </c>
      <c r="M213">
        <f>L213*(1+(Inputs!$B$11+0+B237)/100)</f>
        <v/>
      </c>
      <c r="N213">
        <f>L213*(1-MIN((Inputs!$B$10+0+B232),100)/100)+M213*(MIN((Inputs!$B$10+0+B232),100)/100)</f>
        <v/>
      </c>
      <c r="O213">
        <f>(1-Summary!$B$55)*T213+Summary!$B$55*V213</f>
        <v/>
      </c>
      <c r="P213">
        <f>IF(B242=0,0,O213/B242)</f>
        <v/>
      </c>
      <c r="Q213">
        <f>IFERROR(1/IF(Inputs!$B$39="pvp",15,MAX(0.1,Skills!D10-IF(Skills!E10=TRUE,Inputs!$B$33,0))),0)</f>
        <v/>
      </c>
      <c r="R213">
        <f>IF(AND(Inputs!$B$39&lt;&gt;"pvp",Inputs!$B$44&gt;0),IF(MAX(0,Inputs!$B$44-B239)&lt;=0,0,(INT(MAX(0,Inputs!$B$44-B239)/IF(Inputs!$B$39="pvp",15,MAX(0.1,Skills!D10-IF(Skills!E10=TRUE,Inputs!$B$33,0))))+1)),0)</f>
        <v/>
      </c>
      <c r="S213">
        <f>IFERROR(O213/N213,0)</f>
        <v/>
      </c>
      <c r="T213">
        <f>IF(C213,(H213*N213*IF(AND(Inputs!$B$39&lt;&gt;"pvp",Inputs!$B$44&gt;0),((Skills!G10*((R213-1)*IF(Skills!H10&gt;0,Skills!I10/Skills!H10,1)+IF(Skills!H10&gt;0,MIN(Skills!I10,MAX(0,MAX(0,Inputs!$B$44-B239)-((R213-1)*IF(Inputs!$B$39="pvp",15,MAX(0.1,Skills!D10-IF(Skills!E10=TRUE,Inputs!$B$33,0))))))/Skills!H10,1)))/Inputs!$B$44),G213*Q213))*IF(Inputs!$B$39="pvp",1,1+(Inputs!$B$21+0+Skills!P10+((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0)</f>
        <v/>
      </c>
      <c r="V213">
        <f>IF(C213,(H213*N213*IF(AND(Inputs!$B$39&lt;&gt;"pvp",Inputs!$B$44&gt;0),((Skills!G10*((R213-1)*IF(Skills!H10&gt;0,Skills!I10/Skills!H10,1)+IF(Skills!H10&gt;0,MIN(Skills!I10,MAX(0,MAX(0,Inputs!$B$44-B239)-((R213-1)*IF(Inputs!$B$39="pvp",15,MAX(0.1,Skills!D10-IF(Skills!E10=TRUE,Inputs!$B$33,0))))))/Skills!H10,1)))/Inputs!$B$44),G213*Q213))*IF(Inputs!$B$39="pvp",1,(1+(Inputs!$B$22+Skills!Q10+((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MIN(Skills!R10,Inputs!$B$38))),0)</f>
        <v/>
      </c>
    </row>
    <row r="214">
      <c r="A214">
        <f>Skills!A11</f>
        <v/>
      </c>
      <c r="B214">
        <f>Skills!B11</f>
        <v/>
      </c>
      <c r="C214">
        <f>Inputs!$B$3&gt;=100</f>
        <v/>
      </c>
      <c r="D214">
        <f>IF(Skills!C11=1,60+Inputs!$B$26+Inputs!$B$30,IF(Skills!C11=2,90+Inputs!$B$27+Inputs!$B$30,IF(Skills!C11=3,120+Inputs!$B$28+Inputs!$B$30,MAX(0,(Inputs!$B$3-100)*3)+Inputs!$B$29+Inputs!$B$30)))</f>
        <v/>
      </c>
      <c r="E214">
        <f>INDEX(FactorTable!$B$2:$Y$301, MATCH(ROUND(MIN(300,MAX(1,D214)),0), FactorTable!$A$2:$A$301,0), Skills!M11+1)</f>
        <v/>
      </c>
      <c r="F214">
        <f>IF(Skills!N11=TRUE,(Skills!L11/10)*(E214/1000),Skills!L11/10)+Skills!O11</f>
        <v/>
      </c>
      <c r="G214" t="inlineStr"/>
      <c r="H214" t="inlineStr"/>
      <c r="I214" t="inlineStr">
        <is>
          <t>1</t>
        </is>
      </c>
      <c r="J214" t="inlineStr"/>
      <c r="K214" t="inlineStr"/>
      <c r="L214" t="inlineStr"/>
      <c r="M214" t="inlineStr"/>
      <c r="N214" t="inlineStr"/>
      <c r="O214" t="inlineStr"/>
      <c r="P214" t="inlineStr"/>
      <c r="Q214" t="inlineStr"/>
      <c r="R214" t="inlineStr"/>
      <c r="S214" t="inlineStr"/>
    </row>
    <row r="215">
      <c r="A215">
        <f>Skills!A12</f>
        <v/>
      </c>
      <c r="B215">
        <f>Skills!B12</f>
        <v/>
      </c>
      <c r="C215">
        <f>Inputs!$B$3&gt;=63</f>
        <v/>
      </c>
      <c r="D215">
        <f>IF(Skills!C12=1,60+Inputs!$B$26+Inputs!$B$30,IF(Skills!C12=2,90+Inputs!$B$27+Inputs!$B$30,IF(Skills!C12=3,120+Inputs!$B$28+Inputs!$B$30,MAX(0,(Inputs!$B$3-100)*3)+Inputs!$B$29+Inputs!$B$30)))</f>
        <v/>
      </c>
      <c r="E215">
        <f>INDEX(FactorTable!$B$2:$Y$301, MATCH(ROUND(MIN(300,MAX(1,D215)),0), FactorTable!$A$2:$A$301,0), Skills!M12+1)</f>
        <v/>
      </c>
      <c r="F215">
        <f>IF(Skills!N12=TRUE,(Skills!L12/10)*(E215/1000),Skills!L12/10)+Skills!O12</f>
        <v/>
      </c>
      <c r="G215">
        <f>Skills!G12*IF(Skills!H12&gt;0,Skills!I12/Skills!H12,1)</f>
        <v/>
      </c>
      <c r="H215">
        <f>1-(1-Skills!J12/100)^Skills!K12</f>
        <v/>
      </c>
      <c r="I215" t="inlineStr">
        <is>
          <t>1</t>
        </is>
      </c>
      <c r="J215">
        <f>((Inputs!$B$6*(1+Inputs!$B$7/100))+(((Inputs!$B$13*(1+Inputs!$B$14/100))-(Inputs!$B$13*(1+Inputs!$B$14/100)))+0.25*(Inputs!$B$15-Inputs!$B$15))*(1+Inputs!$B$7/100))*(F215/100)</f>
        <v/>
      </c>
      <c r="K215">
        <f>J215*(1+(((Inputs!$B$13+IF(Inputs!$B$3&gt;=38,(10*INDEX(FactorTable!$B$2:$Y$301, MATCH(ROUND(MIN(300,MAX(1,Inputs!$B$3)),0), FactorTable!$A$2:$A$301,0), 23)/1000)/100*(Inputs!$B$8*(1+(Inputs!$B$9+1)/100)),0))*(1+Inputs!$B$14/100))*0.01+Inputs!$B$15*0.0025)/100)*(1+Inputs!$B$16/100)*(1+Inputs!$B$17/100)*(5000/(6000+Inputs!$B$43*(1-(Inputs!$B$20+0)/100)))*(1+(Inputs!$B$25+((C228=TRUE)*(F228-Calc!F25))+((C229=TRUE)*(F229-Calc!F26))+B238)/100)*(1+0.75*IF(C214=TRUE,F214,0)/100)*(1+(IF(Skills!A12="DARK_IMPALE",Inputs!$B$18+0,Inputs!$B$19+((C226=TRUE)*(F226-Calc!F23))))/100)*((1+(((C216=TRUE)*F216*IF(AND(Inputs!$B$39&lt;&gt;"pvp",Inputs!$B$44&gt;0),(((R216-1)*(Skills!T13*(1+Inputs!$B$35/100))+MIN((Skills!T13*(1+Inputs!$B$35/100)),MAX(0,Inputs!$B$44-((R216-1)*Skills!D13))))/Inputs!$B$44),IF(Inputs!$B$39="pvp",MIN((Skills!T13*(1+Inputs!$B$35/100)),15)/15,(Skills!T13*(1+Inputs!$B$35/100))/Skills!D13)))+((C217=TRUE)*F217*IF(AND(Inputs!$B$39&lt;&gt;"pvp",Inputs!$B$44&gt;0),(((R217-1)*(Skills!T14*(1+Inputs!$B$35/100))+MIN((Skills!T14*(1+Inputs!$B$35/100)),MAX(0,Inputs!$B$44-((R217-1)*Skills!D14))))/Inputs!$B$44),IF(Inputs!$B$39="pvp",MIN((Skills!T14*(1+Inputs!$B$35/100)),15)/15,(Skills!T14*(1+Inputs!$B$35/100))/Skills!D14)))+((C218=TRUE)*F218*IF(AND(Inputs!$B$39&lt;&gt;"pvp",Inputs!$B$44&gt;0),(((R218-1)*(Skills!T15*(1+Inputs!$B$35/100))+MIN((Skills!T15*(1+Inputs!$B$35/100)),MAX(0,Inputs!$B$44-((R218-1)*Skills!D15))))/Inputs!$B$44),IF(Inputs!$B$39="pvp",MIN((Skills!T15*(1+Inputs!$B$35/100)),15)/15,(Skills!T15*(1+Inputs!$B$35/100))/Skills!D15)))+((C219=TRUE)*F219*IF(AND(Inputs!$B$39&lt;&gt;"pvp",Inputs!$B$44&gt;0),(((R219-1)*(Skills!T16*(1+Inputs!$B$35/100))+MIN((Skills!T16*(1+Inputs!$B$35/100)),MAX(0,Inputs!$B$44-((R219-1)*Skills!D16))))/Inputs!$B$44),IF(Inputs!$B$39="pvp",MIN((Skills!T16*(1+Inputs!$B$35/100)),15)/15,(Skills!T16*(1+Inputs!$B$35/100))/Skills!D16)))+0)/100)*I215)</f>
        <v/>
      </c>
      <c r="L215">
        <f>K215*(MIN(Inputs!$B$23+((C225=TRUE)*(F225-Calc!F22)),Inputs!$B$24+((C227=TRUE)*(F227-Calc!F24)))/100+(Inputs!$B$24+((C227=TRUE)*(F227-Calc!F24)))/100)/2</f>
        <v/>
      </c>
      <c r="M215">
        <f>L215*(1+(Inputs!$B$11+0+B237)/100)</f>
        <v/>
      </c>
      <c r="N215">
        <f>L215*(1-MIN((Inputs!$B$10+0+B232),100)/100)+M215*(MIN((Inputs!$B$10+0+B232),100)/100)</f>
        <v/>
      </c>
      <c r="O215">
        <f>(1-Summary!$B$55)*T215+Summary!$B$55*V215</f>
        <v/>
      </c>
      <c r="P215">
        <f>IF(B242=0,0,O215/B242)</f>
        <v/>
      </c>
      <c r="Q215">
        <f>IFERROR(1/IF(Inputs!$B$39="pvp",15,MAX(0.1,Skills!D12-IF(Skills!E12=TRUE,Inputs!$B$33,0))),0)</f>
        <v/>
      </c>
      <c r="R215">
        <f>IF(AND(Inputs!$B$39&lt;&gt;"pvp",Inputs!$B$44&gt;0),IF(MAX(0,Inputs!$B$44-B239)&lt;=0,0,(INT(MAX(0,Inputs!$B$44-B239)/IF(Inputs!$B$39="pvp",15,MAX(0.1,Skills!D12-IF(Skills!E12=TRUE,Inputs!$B$33,0))))+1)),0)</f>
        <v/>
      </c>
      <c r="S215">
        <f>IFERROR(O215/N215,0)</f>
        <v/>
      </c>
      <c r="T215">
        <f>IF(C215,(H215*N215*IF(AND(Inputs!$B$39&lt;&gt;"pvp",Inputs!$B$44&gt;0),((Skills!G12*((R215-1)*IF(Skills!H12&gt;0,Skills!I12/Skills!H12,1)+IF(Skills!H12&gt;0,MIN(Skills!I12,MAX(0,MAX(0,Inputs!$B$44-B239)-((R215-1)*IF(Inputs!$B$39="pvp",15,MAX(0.1,Skills!D12-IF(Skills!E12=TRUE,Inputs!$B$33,0))))))/Skills!H12,1)))/Inputs!$B$44),G215*Q215))*IF(Inputs!$B$39="pvp",1,1+(Inputs!$B$21+0+Skills!P12+((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0)</f>
        <v/>
      </c>
      <c r="V215">
        <f>IF(C215,(H215*N215*IF(AND(Inputs!$B$39&lt;&gt;"pvp",Inputs!$B$44&gt;0),((Skills!G12*((R215-1)*IF(Skills!H12&gt;0,Skills!I12/Skills!H12,1)+IF(Skills!H12&gt;0,MIN(Skills!I12,MAX(0,MAX(0,Inputs!$B$44-B239)-((R215-1)*IF(Inputs!$B$39="pvp",15,MAX(0.1,Skills!D12-IF(Skills!E12=TRUE,Inputs!$B$33,0))))))/Skills!H12,1)))/Inputs!$B$44),G215*Q215))*IF(Inputs!$B$39="pvp",1,(1+(Inputs!$B$22+Skills!Q12+((C220=TRUE)*F220*IF(AND(Inputs!$B$39&lt;&gt;"pvp",Inputs!$B$44&gt;0),(((R220-1)*(Skills!T17*(1+Inputs!$B$35/100))+MIN((Skills!T17*(1+Inputs!$B$35/100)),MAX(0,Inputs!$B$44-((R220-1)*Skills!D17))))/Inputs!$B$44),IF(Inputs!$B$39="pvp",MIN((Skills!T17*(1+Inputs!$B$35/100)),15)/15,(Skills!T17*(1+Inputs!$B$35/100))/Skills!D17)))+((C217=TRUE)*IF(Inputs!$B$39="pvp",20,(1-Summary!$B$55)*(20)+Summary!$B$55*(0))*IF(AND(Inputs!$B$39&lt;&gt;"pvp",Inputs!$B$44&gt;0),(((R217-1)*(Skills!T14*(1+Inputs!$B$35/100))+MIN((Skills!T14*(1+Inputs!$B$35/100)),MAX(0,Inputs!$B$44-((R217-1)*Skills!D14))))/Inputs!$B$44),IF(Inputs!$B$39="pvp",MIN((Skills!T14*(1+Inputs!$B$35/100)),15)/15,(Skills!T14*(1+Inputs!$B$35/100))/Skills!D14))))/100)*(MIN(Skills!R12,Inputs!$B$38))),0)</f>
        <v/>
      </c>
    </row>
    <row r="216">
      <c r="A216">
        <f>Skills!A13</f>
        <v/>
      </c>
      <c r="B216">
        <f>Skills!B13</f>
        <v/>
      </c>
      <c r="C216">
        <f>Inputs!$B$3&gt;=69</f>
        <v/>
      </c>
      <c r="D216">
        <f>IF(Skills!C13=1,60+Inputs!$B$26+Inputs!$B$30,IF(Skills!C13=2,90+Inputs!$B$27+Inputs!$B$30,IF(Skills!C13=3,120+Inputs!$B$28+Inputs!$B$30,MAX(0,(Inputs!$B$3-100)*3)+Inputs!$B$29+Inputs!$B$30)))</f>
        <v/>
      </c>
      <c r="E216">
        <f>INDEX(FactorTable!$B$2:$Y$301, MATCH(ROUND(MIN(300,MAX(1,D216)),0), FactorTable!$A$2:$A$301,0), Skills!M13+1)</f>
        <v/>
      </c>
      <c r="F216">
        <f>IF(Skills!N13=TRUE,(Skills!L13/10)*(E216/1000),Skills!L13/10)+Skills!O13</f>
        <v/>
      </c>
      <c r="G216">
        <f>Skills!G13*IF(Skills!H13&gt;0,Skills!I13/Skills!H13,1)</f>
        <v/>
      </c>
      <c r="H216">
        <f>1-(1-Skills!J13/100)^Skills!K13</f>
        <v/>
      </c>
      <c r="I216" t="inlineStr">
        <is>
          <t>1</t>
        </is>
      </c>
      <c r="J216" t="inlineStr"/>
      <c r="K216" t="inlineStr"/>
      <c r="L216" t="inlineStr"/>
      <c r="M216" t="inlineStr"/>
      <c r="N216" t="inlineStr"/>
      <c r="O216">
        <f>(1-Summary!$B$55)*T216+Summary!$B$55*V216</f>
        <v/>
      </c>
      <c r="P216">
        <f>IF(B242=0,0,O216/B242)</f>
        <v/>
      </c>
      <c r="Q216">
        <f>IFERROR(1/IF(Inputs!$B$39="pvp",15,MAX(0.1,Skills!D13-IF(Skills!E13=TRUE,Inputs!$B$33,0))),0)</f>
        <v/>
      </c>
      <c r="R216">
        <f>IF(AND(Inputs!$B$39&lt;&gt;"pvp",Inputs!$B$44&gt;0),IF(Inputs!$B$44&lt;=0,0,(INT(Inputs!$B$44/IF(Inputs!$B$39="pvp",15,MAX(0.1,Skills!D13-IF(Skills!E13=TRUE,Inputs!$B$33,0))))+1)),0)</f>
        <v/>
      </c>
      <c r="S216">
        <f>IFERROR(O216/N216,0)</f>
        <v/>
      </c>
      <c r="T216" t="n">
        <v>0</v>
      </c>
      <c r="V216" t="n">
        <v>0</v>
      </c>
    </row>
    <row r="217">
      <c r="A217">
        <f>Skills!A14</f>
        <v/>
      </c>
      <c r="B217">
        <f>Skills!B14</f>
        <v/>
      </c>
      <c r="C217">
        <f>Inputs!$B$3&gt;=115</f>
        <v/>
      </c>
      <c r="D217">
        <f>IF(Skills!C14=1,60+Inputs!$B$26+Inputs!$B$30,IF(Skills!C14=2,90+Inputs!$B$27+Inputs!$B$30,IF(Skills!C14=3,120+Inputs!$B$28+Inputs!$B$30,MAX(0,(Inputs!$B$3-100)*3)+Inputs!$B$29+Inputs!$B$30)))</f>
        <v/>
      </c>
      <c r="E217">
        <f>INDEX(FactorTable!$B$2:$Y$301, MATCH(ROUND(MIN(300,MAX(1,D217)),0), FactorTable!$A$2:$A$301,0), Skills!M14+1)</f>
        <v/>
      </c>
      <c r="F217">
        <f>IF(Skills!N14=TRUE,(Skills!L14/10)*(E217/1000),Skills!L14/10)+Skills!O14</f>
        <v/>
      </c>
      <c r="G217">
        <f>Skills!G14*IF(Skills!H14&gt;0,Skills!I14/Skills!H14,1)</f>
        <v/>
      </c>
      <c r="H217">
        <f>1-(1-Skills!J14/100)^Skills!K14</f>
        <v/>
      </c>
      <c r="I217" t="inlineStr">
        <is>
          <t>1</t>
        </is>
      </c>
      <c r="J217" t="inlineStr"/>
      <c r="K217" t="inlineStr"/>
      <c r="L217" t="inlineStr"/>
      <c r="M217" t="inlineStr"/>
      <c r="N217" t="inlineStr"/>
      <c r="O217">
        <f>(1-Summary!$B$55)*T217+Summary!$B$55*V217</f>
        <v/>
      </c>
      <c r="P217">
        <f>IF(B242=0,0,O217/B242)</f>
        <v/>
      </c>
      <c r="Q217">
        <f>IFERROR(1/IF(Inputs!$B$39="pvp",15,MAX(0.1,Skills!D14-IF(Skills!E14=TRUE,Inputs!$B$33,0))),0)</f>
        <v/>
      </c>
      <c r="R217">
        <f>IF(AND(Inputs!$B$39&lt;&gt;"pvp",Inputs!$B$44&gt;0),IF(Inputs!$B$44&lt;=0,0,(INT(Inputs!$B$44/IF(Inputs!$B$39="pvp",15,MAX(0.1,Skills!D14-IF(Skills!E14=TRUE,Inputs!$B$33,0))))+1)),0)</f>
        <v/>
      </c>
      <c r="S217">
        <f>IFERROR(O217/N217,0)</f>
        <v/>
      </c>
      <c r="T217" t="n">
        <v>0</v>
      </c>
      <c r="V217" t="n">
        <v>0</v>
      </c>
    </row>
    <row r="218">
      <c r="A218">
        <f>Skills!A15</f>
        <v/>
      </c>
      <c r="B218">
        <f>Skills!B15</f>
        <v/>
      </c>
      <c r="C218">
        <f>Inputs!$B$3&gt;=66</f>
        <v/>
      </c>
      <c r="D218">
        <f>IF(Skills!C15=1,60+Inputs!$B$26+Inputs!$B$30,IF(Skills!C15=2,90+Inputs!$B$27+Inputs!$B$30,IF(Skills!C15=3,120+Inputs!$B$28+Inputs!$B$30,MAX(0,(Inputs!$B$3-100)*3)+Inputs!$B$29+Inputs!$B$30)))</f>
        <v/>
      </c>
      <c r="E218">
        <f>INDEX(FactorTable!$B$2:$Y$301, MATCH(ROUND(MIN(300,MAX(1,D218)),0), FactorTable!$A$2:$A$301,0), Skills!M15+1)</f>
        <v/>
      </c>
      <c r="F218">
        <f>IF(Skills!N15=TRUE,(Skills!L15/10)*(E218/1000),Skills!L15/10)+Skills!O15</f>
        <v/>
      </c>
      <c r="G218">
        <f>Skills!G15*IF(Skills!H15&gt;0,Skills!I15/Skills!H15,1)</f>
        <v/>
      </c>
      <c r="H218">
        <f>1-(1-Skills!J15/100)^Skills!K15</f>
        <v/>
      </c>
      <c r="I218" t="inlineStr">
        <is>
          <t>1</t>
        </is>
      </c>
      <c r="J218" t="inlineStr"/>
      <c r="K218" t="inlineStr"/>
      <c r="L218" t="inlineStr"/>
      <c r="M218" t="inlineStr"/>
      <c r="N218" t="inlineStr"/>
      <c r="O218">
        <f>(1-Summary!$B$55)*T218+Summary!$B$55*V218</f>
        <v/>
      </c>
      <c r="P218">
        <f>IF(B242=0,0,O218/B242)</f>
        <v/>
      </c>
      <c r="Q218">
        <f>IFERROR(1/IF(Inputs!$B$39="pvp",15,MAX(0.1,Skills!D15-IF(Skills!E15=TRUE,Inputs!$B$33,0))),0)</f>
        <v/>
      </c>
      <c r="R218">
        <f>IF(AND(Inputs!$B$39&lt;&gt;"pvp",Inputs!$B$44&gt;0),IF(Inputs!$B$44&lt;=0,0,(INT(Inputs!$B$44/IF(Inputs!$B$39="pvp",15,MAX(0.1,Skills!D15-IF(Skills!E15=TRUE,Inputs!$B$33,0))))+1)),0)</f>
        <v/>
      </c>
      <c r="S218">
        <f>IFERROR(O218/N218,0)</f>
        <v/>
      </c>
      <c r="T218" t="n">
        <v>0</v>
      </c>
      <c r="V218" t="n">
        <v>0</v>
      </c>
    </row>
    <row r="219">
      <c r="A219">
        <f>Skills!A16</f>
        <v/>
      </c>
      <c r="B219">
        <f>Skills!B16</f>
        <v/>
      </c>
      <c r="C219">
        <f>Inputs!$B$3&gt;=45</f>
        <v/>
      </c>
      <c r="D219">
        <f>IF(Skills!C16=1,60+Inputs!$B$26+Inputs!$B$30,IF(Skills!C16=2,90+Inputs!$B$27+Inputs!$B$30,IF(Skills!C16=3,120+Inputs!$B$28+Inputs!$B$30,MAX(0,(Inputs!$B$3-100)*3)+Inputs!$B$29+Inputs!$B$30)))</f>
        <v/>
      </c>
      <c r="E219">
        <f>INDEX(FactorTable!$B$2:$Y$301, MATCH(ROUND(MIN(300,MAX(1,D219)),0), FactorTable!$A$2:$A$301,0), Skills!M16+1)</f>
        <v/>
      </c>
      <c r="F219">
        <f>IF(Skills!N16=TRUE,(Skills!L16/10)*(E219/1000),Skills!L16/10)+Skills!O16</f>
        <v/>
      </c>
      <c r="G219">
        <f>Skills!G16*IF(Skills!H16&gt;0,Skills!I16/Skills!H16,1)</f>
        <v/>
      </c>
      <c r="H219">
        <f>1-(1-Skills!J16/100)^Skills!K16</f>
        <v/>
      </c>
      <c r="I219" t="inlineStr">
        <is>
          <t>1</t>
        </is>
      </c>
      <c r="J219" t="inlineStr"/>
      <c r="K219" t="inlineStr"/>
      <c r="L219" t="inlineStr"/>
      <c r="M219" t="inlineStr"/>
      <c r="N219" t="inlineStr"/>
      <c r="O219">
        <f>(1-Summary!$B$55)*T219+Summary!$B$55*V219</f>
        <v/>
      </c>
      <c r="P219">
        <f>IF(B242=0,0,O219/B242)</f>
        <v/>
      </c>
      <c r="Q219">
        <f>IFERROR(1/IF(Inputs!$B$39="pvp",15,MAX(0.1,Skills!D16-IF(Skills!E16=TRUE,Inputs!$B$33,0))),0)</f>
        <v/>
      </c>
      <c r="R219">
        <f>IF(AND(Inputs!$B$39&lt;&gt;"pvp",Inputs!$B$44&gt;0),IF(Inputs!$B$44&lt;=0,0,(INT(Inputs!$B$44/IF(Inputs!$B$39="pvp",15,MAX(0.1,Skills!D16-IF(Skills!E16=TRUE,Inputs!$B$33,0))))+1)),0)</f>
        <v/>
      </c>
      <c r="S219">
        <f>IFERROR(O219/N219,0)</f>
        <v/>
      </c>
      <c r="T219" t="n">
        <v>0</v>
      </c>
      <c r="V219" t="n">
        <v>0</v>
      </c>
    </row>
    <row r="220">
      <c r="A220">
        <f>Skills!A17</f>
        <v/>
      </c>
      <c r="B220">
        <f>Skills!B17</f>
        <v/>
      </c>
      <c r="C220">
        <f>Inputs!$B$3&gt;=35</f>
        <v/>
      </c>
      <c r="D220">
        <f>IF(Skills!C17=1,60+Inputs!$B$26+Inputs!$B$30,IF(Skills!C17=2,90+Inputs!$B$27+Inputs!$B$30,IF(Skills!C17=3,120+Inputs!$B$28+Inputs!$B$30,MAX(0,(Inputs!$B$3-100)*3)+Inputs!$B$29+Inputs!$B$30)))</f>
        <v/>
      </c>
      <c r="E220">
        <f>INDEX(FactorTable!$B$2:$Y$301, MATCH(ROUND(MIN(300,MAX(1,D220)),0), FactorTable!$A$2:$A$301,0), Skills!M17+1)</f>
        <v/>
      </c>
      <c r="F220">
        <f>IF(Skills!N17=TRUE,(Skills!L17/10)*(E220/1000),Skills!L17/10)+Skills!O17</f>
        <v/>
      </c>
      <c r="G220">
        <f>Skills!G17*IF(Skills!H17&gt;0,Skills!I17/Skills!H17,1)</f>
        <v/>
      </c>
      <c r="H220">
        <f>1-(1-Skills!J17/100)^Skills!K17</f>
        <v/>
      </c>
      <c r="I220" t="inlineStr">
        <is>
          <t>1</t>
        </is>
      </c>
      <c r="J220" t="inlineStr"/>
      <c r="K220" t="inlineStr"/>
      <c r="L220" t="inlineStr"/>
      <c r="M220" t="inlineStr"/>
      <c r="N220" t="inlineStr"/>
      <c r="O220">
        <f>(1-Summary!$B$55)*T220+Summary!$B$55*V220</f>
        <v/>
      </c>
      <c r="P220">
        <f>IF(B242=0,0,O220/B242)</f>
        <v/>
      </c>
      <c r="Q220">
        <f>IFERROR(1/IF(Inputs!$B$39="pvp",15,MAX(0.1,Skills!D17-IF(Skills!E17=TRUE,Inputs!$B$33,0))),0)</f>
        <v/>
      </c>
      <c r="R220">
        <f>IF(AND(Inputs!$B$39&lt;&gt;"pvp",Inputs!$B$44&gt;0),IF(Inputs!$B$44&lt;=0,0,(INT(Inputs!$B$44/IF(Inputs!$B$39="pvp",15,MAX(0.1,Skills!D17-IF(Skills!E17=TRUE,Inputs!$B$33,0))))+1)),0)</f>
        <v/>
      </c>
      <c r="S220">
        <f>IFERROR(O220/N220,0)</f>
        <v/>
      </c>
      <c r="T220" t="n">
        <v>0</v>
      </c>
      <c r="V220" t="n">
        <v>0</v>
      </c>
    </row>
    <row r="221">
      <c r="A221">
        <f>Skills!A18</f>
        <v/>
      </c>
      <c r="B221">
        <f>Skills!B18</f>
        <v/>
      </c>
      <c r="C221">
        <f>Inputs!$B$3&gt;=72</f>
        <v/>
      </c>
      <c r="D221">
        <f>IF(Skills!C18=1,60+Inputs!$B$26+Inputs!$B$30,IF(Skills!C18=2,90+Inputs!$B$27+Inputs!$B$30,IF(Skills!C18=3,120+Inputs!$B$28+Inputs!$B$30,MAX(0,(Inputs!$B$3-100)*3)+Inputs!$B$29+Inputs!$B$30)))</f>
        <v/>
      </c>
      <c r="E221">
        <f>INDEX(FactorTable!$B$2:$Y$301, MATCH(ROUND(MIN(300,MAX(1,D221)),0), FactorTable!$A$2:$A$301,0), Skills!M18+1)</f>
        <v/>
      </c>
      <c r="F221">
        <f>IF(Skills!N18=TRUE,(Skills!L18/10)*(E221/1000),Skills!L18/10)+Skills!O18</f>
        <v/>
      </c>
      <c r="G221">
        <f>Skills!G18*IF(Skills!H18&gt;0,Skills!I18/Skills!H18,1)</f>
        <v/>
      </c>
      <c r="H221">
        <f>1-(1-Skills!J18/100)^Skills!K18</f>
        <v/>
      </c>
      <c r="I221" t="inlineStr">
        <is>
          <t>1</t>
        </is>
      </c>
      <c r="J221" t="inlineStr"/>
      <c r="K221" t="inlineStr"/>
      <c r="L221" t="inlineStr"/>
      <c r="M221" t="inlineStr"/>
      <c r="N221" t="inlineStr"/>
      <c r="O221">
        <f>(1-Summary!$B$55)*T221+Summary!$B$55*V221</f>
        <v/>
      </c>
      <c r="P221">
        <f>IF(B242=0,0,O221/B242)</f>
        <v/>
      </c>
      <c r="Q221">
        <f>IFERROR(1/IF(Inputs!$B$39="pvp",15,MAX(0.1,Skills!D18-IF(Skills!E18=TRUE,Inputs!$B$33,0))),0)</f>
        <v/>
      </c>
      <c r="R221">
        <f>IF(AND(Inputs!$B$39&lt;&gt;"pvp",Inputs!$B$44&gt;0),IF(Inputs!$B$44&lt;=0,0,(INT(Inputs!$B$44/IF(Inputs!$B$39="pvp",15,MAX(0.1,Skills!D18-IF(Skills!E18=TRUE,Inputs!$B$33,0))))+1)),0)</f>
        <v/>
      </c>
      <c r="S221">
        <f>IFERROR(O221/N221,0)</f>
        <v/>
      </c>
      <c r="T221" t="n">
        <v>0</v>
      </c>
      <c r="V221" t="n">
        <v>0</v>
      </c>
    </row>
    <row r="222">
      <c r="A222">
        <f>Skills!A19</f>
        <v/>
      </c>
      <c r="B222">
        <f>Skills!B19</f>
        <v/>
      </c>
      <c r="C222">
        <f>Inputs!$B$3&gt;=72</f>
        <v/>
      </c>
      <c r="D222">
        <f>IF(Skills!C19=1,60+Inputs!$B$26+Inputs!$B$30,IF(Skills!C19=2,90+Inputs!$B$27+Inputs!$B$30,IF(Skills!C19=3,120+Inputs!$B$28+Inputs!$B$30,MAX(0,(Inputs!$B$3-100)*3)+Inputs!$B$29+Inputs!$B$30)))</f>
        <v/>
      </c>
      <c r="E222">
        <f>INDEX(FactorTable!$B$2:$Y$301, MATCH(ROUND(MIN(300,MAX(1,D222)),0), FactorTable!$A$2:$A$301,0), Skills!M19+1)</f>
        <v/>
      </c>
      <c r="F222">
        <f>IF(Skills!N19=TRUE,(Skills!L19/10)*(E222/1000),Skills!L19/10)+Skills!O19</f>
        <v/>
      </c>
      <c r="G222">
        <f>Skills!G19*IF(Skills!H19&gt;0,Skills!I19/Skills!H19,1)</f>
        <v/>
      </c>
      <c r="H222">
        <f>1-(1-Skills!J19/100)^Skills!K19</f>
        <v/>
      </c>
      <c r="I222" t="inlineStr">
        <is>
          <t>1</t>
        </is>
      </c>
      <c r="J222" t="inlineStr"/>
      <c r="K222" t="inlineStr"/>
      <c r="L222" t="inlineStr"/>
      <c r="M222" t="inlineStr"/>
      <c r="N222" t="inlineStr"/>
      <c r="O222">
        <f>(1-Summary!$B$55)*T222+Summary!$B$55*V222</f>
        <v/>
      </c>
      <c r="P222">
        <f>IF(B242=0,0,O222/B242)</f>
        <v/>
      </c>
      <c r="Q222">
        <f>IFERROR(1/IF(Inputs!$B$39="pvp",15,MAX(0.1,Skills!D19-IF(Skills!E19=TRUE,Inputs!$B$33,0))),0)</f>
        <v/>
      </c>
      <c r="R222">
        <f>IF(AND(Inputs!$B$39&lt;&gt;"pvp",Inputs!$B$44&gt;0),IF(Inputs!$B$44&lt;=0,0,(INT(Inputs!$B$44/IF(Inputs!$B$39="pvp",15,MAX(0.1,Skills!D19-IF(Skills!E19=TRUE,Inputs!$B$33,0))))+1)),0)</f>
        <v/>
      </c>
      <c r="S222">
        <f>IFERROR(O222/N222,0)</f>
        <v/>
      </c>
      <c r="T222" t="n">
        <v>0</v>
      </c>
      <c r="V222" t="n">
        <v>0</v>
      </c>
    </row>
    <row r="223">
      <c r="A223">
        <f>Skills!A20</f>
        <v/>
      </c>
      <c r="B223">
        <f>Skills!B20</f>
        <v/>
      </c>
      <c r="C223">
        <f>TRUE</f>
        <v/>
      </c>
      <c r="D223">
        <f>IF(Skills!C20=1,60+Inputs!$B$26+Inputs!$B$30,IF(Skills!C20=2,90+Inputs!$B$27+Inputs!$B$30,IF(Skills!C20=3,120+Inputs!$B$28+Inputs!$B$30,MAX(0,(Inputs!$B$3-100)*3)+Inputs!$B$29+Inputs!$B$30)))</f>
        <v/>
      </c>
      <c r="E223">
        <f>INDEX(FactorTable!$B$2:$Y$301, MATCH(ROUND(MIN(300,MAX(1,D223)),0), FactorTable!$A$2:$A$301,0), Skills!M20+1)</f>
        <v/>
      </c>
      <c r="F223">
        <f>IF(Skills!N20=TRUE,(Skills!L20/10)*(E223/1000),Skills!L20/10)+Skills!O20</f>
        <v/>
      </c>
      <c r="G223">
        <f>Skills!G20*IF(Skills!H20&gt;0,Skills!I20/Skills!H20,1)</f>
        <v/>
      </c>
      <c r="H223">
        <f>1-(1-Skills!J20/100)^Skills!K20</f>
        <v/>
      </c>
      <c r="I223" t="inlineStr">
        <is>
          <t>1</t>
        </is>
      </c>
      <c r="J223" t="inlineStr"/>
      <c r="K223" t="inlineStr"/>
      <c r="L223" t="inlineStr"/>
      <c r="M223" t="inlineStr"/>
      <c r="N223" t="inlineStr"/>
      <c r="O223">
        <f>(1-Summary!$B$55)*T223+Summary!$B$55*V223</f>
        <v/>
      </c>
      <c r="P223">
        <f>IF(B242=0,0,O223/B242)</f>
        <v/>
      </c>
      <c r="Q223">
        <f>IFERROR(1/IF(Inputs!$B$39="pvp",15,MAX(0.1,Skills!D20-IF(Skills!E20=TRUE,Inputs!$B$33,0))),0)</f>
        <v/>
      </c>
      <c r="R223">
        <f>IF(AND(Inputs!$B$39&lt;&gt;"pvp",Inputs!$B$44&gt;0),IF(Inputs!$B$44&lt;=0,0,(INT(Inputs!$B$44/IF(Inputs!$B$39="pvp",15,MAX(0.1,Skills!D20-IF(Skills!E20=TRUE,Inputs!$B$33,0))))+1)),0)</f>
        <v/>
      </c>
      <c r="S223">
        <f>IFERROR(O223/N223,0)</f>
        <v/>
      </c>
      <c r="T223" t="n">
        <v>0</v>
      </c>
      <c r="V223" t="n">
        <v>0</v>
      </c>
    </row>
    <row r="224">
      <c r="A224">
        <f>Skills!A21</f>
        <v/>
      </c>
      <c r="B224">
        <f>Skills!B21</f>
        <v/>
      </c>
      <c r="C224">
        <f>Inputs!$B$3&gt;=33</f>
        <v/>
      </c>
      <c r="D224">
        <f>IF(Skills!C21=1,60+Inputs!$B$26+Inputs!$B$30,IF(Skills!C21=2,90+Inputs!$B$27+Inputs!$B$30,IF(Skills!C21=3,120+Inputs!$B$28+Inputs!$B$30,MAX(0,(Inputs!$B$3-100)*3)+Inputs!$B$29+Inputs!$B$30)))</f>
        <v/>
      </c>
      <c r="E224">
        <f>INDEX(FactorTable!$B$2:$Y$301, MATCH(ROUND(MIN(300,MAX(1,D224)),0), FactorTable!$A$2:$A$301,0), Skills!M21+1)</f>
        <v/>
      </c>
      <c r="F224">
        <f>IF(Skills!N21=TRUE,(Skills!L21/10)*(E224/1000),Skills!L21/10)+Skills!O21</f>
        <v/>
      </c>
      <c r="G224">
        <f>Skills!G21*IF(Skills!H21&gt;0,Skills!I21/Skills!H21,1)</f>
        <v/>
      </c>
      <c r="H224">
        <f>1-(1-Skills!J21/100)^Skills!K21</f>
        <v/>
      </c>
      <c r="I224" t="inlineStr">
        <is>
          <t>1</t>
        </is>
      </c>
      <c r="J224" t="inlineStr"/>
      <c r="K224" t="inlineStr"/>
      <c r="L224" t="inlineStr"/>
      <c r="M224" t="inlineStr"/>
      <c r="N224" t="inlineStr"/>
      <c r="O224">
        <f>(1-Summary!$B$55)*T224+Summary!$B$55*V224</f>
        <v/>
      </c>
      <c r="P224">
        <f>IF(B242=0,0,O224/B242)</f>
        <v/>
      </c>
      <c r="Q224" t="n">
        <v>0</v>
      </c>
      <c r="R224" t="n">
        <v>0</v>
      </c>
      <c r="S224">
        <f>IFERROR(O224/N224,0)</f>
        <v/>
      </c>
      <c r="T224" t="n">
        <v>0</v>
      </c>
      <c r="V224" t="n">
        <v>0</v>
      </c>
    </row>
    <row r="225">
      <c r="A225">
        <f>Skills!A22</f>
        <v/>
      </c>
      <c r="B225">
        <f>Skills!B22</f>
        <v/>
      </c>
      <c r="C225">
        <f>Inputs!$B$3&gt;=43</f>
        <v/>
      </c>
      <c r="D225">
        <f>IF(Skills!C22=1,60+Inputs!$B$26+Inputs!$B$30,IF(Skills!C22=2,90+Inputs!$B$27+Inputs!$B$30,IF(Skills!C22=3,120+Inputs!$B$28+Inputs!$B$30,MAX(0,(Inputs!$B$3-100)*3)+Inputs!$B$29+Inputs!$B$30)))</f>
        <v/>
      </c>
      <c r="E225">
        <f>INDEX(FactorTable!$B$2:$Y$301, MATCH(ROUND(MIN(300,MAX(1,D225)),0), FactorTable!$A$2:$A$301,0), Skills!M22+1)</f>
        <v/>
      </c>
      <c r="F225">
        <f>IF(Skills!N22=TRUE,(Skills!L22/10)*(E225/1000),Skills!L22/10)+Skills!O22</f>
        <v/>
      </c>
      <c r="G225">
        <f>Skills!G22*IF(Skills!H22&gt;0,Skills!I22/Skills!H22,1)</f>
        <v/>
      </c>
      <c r="H225">
        <f>1-(1-Skills!J22/100)^Skills!K22</f>
        <v/>
      </c>
      <c r="I225" t="inlineStr">
        <is>
          <t>1</t>
        </is>
      </c>
      <c r="J225" t="inlineStr"/>
      <c r="K225" t="inlineStr"/>
      <c r="L225" t="inlineStr"/>
      <c r="M225" t="inlineStr"/>
      <c r="N225" t="inlineStr"/>
      <c r="O225">
        <f>(1-Summary!$B$55)*T225+Summary!$B$55*V225</f>
        <v/>
      </c>
      <c r="P225">
        <f>IF(B242=0,0,O225/B242)</f>
        <v/>
      </c>
      <c r="Q225" t="n">
        <v>0</v>
      </c>
      <c r="R225" t="n">
        <v>0</v>
      </c>
      <c r="S225">
        <f>IFERROR(O225/N225,0)</f>
        <v/>
      </c>
      <c r="T225" t="n">
        <v>0</v>
      </c>
      <c r="V225" t="n">
        <v>0</v>
      </c>
    </row>
    <row r="226">
      <c r="A226">
        <f>Skills!A23</f>
        <v/>
      </c>
      <c r="B226">
        <f>Skills!B23</f>
        <v/>
      </c>
      <c r="C226">
        <f>Inputs!$B$3&gt;=120</f>
        <v/>
      </c>
      <c r="D226">
        <f>IF(Skills!C23=1,60+Inputs!$B$26+Inputs!$B$30,IF(Skills!C23=2,90+Inputs!$B$27+Inputs!$B$30,IF(Skills!C23=3,120+Inputs!$B$28+Inputs!$B$30,MAX(0,(Inputs!$B$3-100)*3)+Inputs!$B$29+Inputs!$B$30)))</f>
        <v/>
      </c>
      <c r="E226">
        <f>INDEX(FactorTable!$B$2:$Y$301, MATCH(ROUND(MIN(300,MAX(1,D226)),0), FactorTable!$A$2:$A$301,0), Skills!M23+1)</f>
        <v/>
      </c>
      <c r="F226">
        <f>IF(Skills!N23=TRUE,(Skills!L23/10)*(E226/1000),Skills!L23/10)+Skills!O23</f>
        <v/>
      </c>
      <c r="G226">
        <f>Skills!G23*IF(Skills!H23&gt;0,Skills!I23/Skills!H23,1)</f>
        <v/>
      </c>
      <c r="H226">
        <f>1-(1-Skills!J23/100)^Skills!K23</f>
        <v/>
      </c>
      <c r="I226" t="inlineStr">
        <is>
          <t>1</t>
        </is>
      </c>
      <c r="J226" t="inlineStr"/>
      <c r="K226" t="inlineStr"/>
      <c r="L226" t="inlineStr"/>
      <c r="M226" t="inlineStr"/>
      <c r="N226" t="inlineStr"/>
      <c r="O226">
        <f>(1-Summary!$B$55)*T226+Summary!$B$55*V226</f>
        <v/>
      </c>
      <c r="P226">
        <f>IF(B242=0,0,O226/B242)</f>
        <v/>
      </c>
      <c r="Q226" t="n">
        <v>0</v>
      </c>
      <c r="R226" t="n">
        <v>0</v>
      </c>
      <c r="S226">
        <f>IFERROR(O226/N226,0)</f>
        <v/>
      </c>
      <c r="T226" t="n">
        <v>0</v>
      </c>
      <c r="V226" t="n">
        <v>0</v>
      </c>
    </row>
    <row r="227">
      <c r="A227">
        <f>Skills!A24</f>
        <v/>
      </c>
      <c r="B227">
        <f>Skills!B24</f>
        <v/>
      </c>
      <c r="C227">
        <f>Inputs!$B$3&gt;=120</f>
        <v/>
      </c>
      <c r="D227">
        <f>IF(Skills!C24=1,60+Inputs!$B$26+Inputs!$B$30,IF(Skills!C24=2,90+Inputs!$B$27+Inputs!$B$30,IF(Skills!C24=3,120+Inputs!$B$28+Inputs!$B$30,MAX(0,(Inputs!$B$3-100)*3)+Inputs!$B$29+Inputs!$B$30)))</f>
        <v/>
      </c>
      <c r="E227">
        <f>INDEX(FactorTable!$B$2:$Y$301, MATCH(ROUND(MIN(300,MAX(1,D227)),0), FactorTable!$A$2:$A$301,0), Skills!M24+1)</f>
        <v/>
      </c>
      <c r="F227">
        <f>IF(Skills!N24=TRUE,(Skills!L24/10)*(E227/1000),Skills!L24/10)+Skills!O24</f>
        <v/>
      </c>
      <c r="G227">
        <f>Skills!G24*IF(Skills!H24&gt;0,Skills!I24/Skills!H24,1)</f>
        <v/>
      </c>
      <c r="H227">
        <f>1-(1-Skills!J24/100)^Skills!K24</f>
        <v/>
      </c>
      <c r="I227" t="inlineStr">
        <is>
          <t>1</t>
        </is>
      </c>
      <c r="J227" t="inlineStr"/>
      <c r="K227" t="inlineStr"/>
      <c r="L227" t="inlineStr"/>
      <c r="M227" t="inlineStr"/>
      <c r="N227" t="inlineStr"/>
      <c r="O227">
        <f>(1-Summary!$B$55)*T227+Summary!$B$55*V227</f>
        <v/>
      </c>
      <c r="P227">
        <f>IF(B242=0,0,O227/B242)</f>
        <v/>
      </c>
      <c r="Q227" t="n">
        <v>0</v>
      </c>
      <c r="R227" t="n">
        <v>0</v>
      </c>
      <c r="S227">
        <f>IFERROR(O227/N227,0)</f>
        <v/>
      </c>
      <c r="T227" t="n">
        <v>0</v>
      </c>
      <c r="V227" t="n">
        <v>0</v>
      </c>
    </row>
    <row r="228">
      <c r="A228">
        <f>Skills!A25</f>
        <v/>
      </c>
      <c r="B228">
        <f>Skills!B25</f>
        <v/>
      </c>
      <c r="C228">
        <f>Inputs!$B$3&gt;=125</f>
        <v/>
      </c>
      <c r="D228">
        <f>IF(Skills!C25=1,60+Inputs!$B$26+Inputs!$B$30,IF(Skills!C25=2,90+Inputs!$B$27+Inputs!$B$30,IF(Skills!C25=3,120+Inputs!$B$28+Inputs!$B$30,MAX(0,(Inputs!$B$3-100)*3)+Inputs!$B$29+Inputs!$B$30)))</f>
        <v/>
      </c>
      <c r="E228">
        <f>INDEX(FactorTable!$B$2:$Y$301, MATCH(ROUND(MIN(300,MAX(1,D228)),0), FactorTable!$A$2:$A$301,0), Skills!M25+1)</f>
        <v/>
      </c>
      <c r="F228">
        <f>IF(Skills!N25=TRUE,(Skills!L25/10)*(E228/1000),Skills!L25/10)+Skills!O25</f>
        <v/>
      </c>
      <c r="G228">
        <f>Skills!G25*IF(Skills!H25&gt;0,Skills!I25/Skills!H25,1)</f>
        <v/>
      </c>
      <c r="H228">
        <f>1-(1-Skills!J25/100)^Skills!K25</f>
        <v/>
      </c>
      <c r="I228" t="inlineStr">
        <is>
          <t>1</t>
        </is>
      </c>
      <c r="J228" t="inlineStr"/>
      <c r="K228" t="inlineStr"/>
      <c r="L228" t="inlineStr"/>
      <c r="M228" t="inlineStr"/>
      <c r="N228" t="inlineStr"/>
      <c r="O228">
        <f>(1-Summary!$B$55)*T228+Summary!$B$55*V228</f>
        <v/>
      </c>
      <c r="P228">
        <f>IF(B242=0,0,O228/B242)</f>
        <v/>
      </c>
      <c r="Q228" t="n">
        <v>0</v>
      </c>
      <c r="R228" t="n">
        <v>0</v>
      </c>
      <c r="S228">
        <f>IFERROR(O228/N228,0)</f>
        <v/>
      </c>
      <c r="T228" t="n">
        <v>0</v>
      </c>
      <c r="V228" t="n">
        <v>0</v>
      </c>
    </row>
    <row r="229">
      <c r="A229">
        <f>Skills!A26</f>
        <v/>
      </c>
      <c r="B229">
        <f>Skills!B26</f>
        <v/>
      </c>
      <c r="C229">
        <f>Inputs!$B$3&gt;=107</f>
        <v/>
      </c>
      <c r="D229">
        <f>IF(Skills!C26=1,60+Inputs!$B$26+Inputs!$B$30,IF(Skills!C26=2,90+Inputs!$B$27+Inputs!$B$30,IF(Skills!C26=3,120+Inputs!$B$28+Inputs!$B$30,MAX(0,(Inputs!$B$3-100)*3)+Inputs!$B$29+Inputs!$B$30)))</f>
        <v/>
      </c>
      <c r="E229">
        <f>INDEX(FactorTable!$B$2:$Y$301, MATCH(ROUND(MIN(300,MAX(1,D229)),0), FactorTable!$A$2:$A$301,0), Skills!M26+1)</f>
        <v/>
      </c>
      <c r="F229">
        <f>IF(Skills!N26=TRUE,(Skills!L26/10)*(E229/1000),Skills!L26/10)+Skills!O26</f>
        <v/>
      </c>
      <c r="G229">
        <f>Skills!G26*IF(Skills!H26&gt;0,Skills!I26/Skills!H26,1)</f>
        <v/>
      </c>
      <c r="H229">
        <f>1-(1-Skills!J26/100)^Skills!K26</f>
        <v/>
      </c>
      <c r="I229" t="inlineStr">
        <is>
          <t>1</t>
        </is>
      </c>
      <c r="J229" t="inlineStr"/>
      <c r="K229" t="inlineStr"/>
      <c r="L229" t="inlineStr"/>
      <c r="M229" t="inlineStr"/>
      <c r="N229" t="inlineStr"/>
      <c r="O229">
        <f>(1-Summary!$B$55)*T229+Summary!$B$55*V229</f>
        <v/>
      </c>
      <c r="P229">
        <f>IF(B242=0,0,O229/B242)</f>
        <v/>
      </c>
      <c r="Q229" t="n">
        <v>0</v>
      </c>
      <c r="R229" t="n">
        <v>0</v>
      </c>
      <c r="S229">
        <f>IFERROR(O229/N229,0)</f>
        <v/>
      </c>
      <c r="T229" t="n">
        <v>0</v>
      </c>
      <c r="V229" t="n">
        <v>0</v>
      </c>
    </row>
    <row r="231">
      <c r="A231" t="inlineStr">
        <is>
          <t>Attack% Bucket Multiplier</t>
        </is>
      </c>
      <c r="B231">
        <f>(1+(((C216=TRUE)*F216*IF(AND(Inputs!$B$39&lt;&gt;"pvp",Inputs!$B$44&gt;0),(((R216-1)*(Skills!T13*(1+Inputs!$B$35/100))+MIN((Skills!T13*(1+Inputs!$B$35/100)),MAX(0,Inputs!$B$44-((R216-1)*Skills!D13))))/Inputs!$B$44),IF(Inputs!$B$39="pvp",MIN((Skills!T13*(1+Inputs!$B$35/100)),15)/15,(Skills!T13*(1+Inputs!$B$35/100))/Skills!D13)))+((C217=TRUE)*F217*IF(AND(Inputs!$B$39&lt;&gt;"pvp",Inputs!$B$44&gt;0),(((R217-1)*(Skills!T14*(1+Inputs!$B$35/100))+MIN((Skills!T14*(1+Inputs!$B$35/100)),MAX(0,Inputs!$B$44-((R217-1)*Skills!D14))))/Inputs!$B$44),IF(Inputs!$B$39="pvp",MIN((Skills!T14*(1+Inputs!$B$35/100)),15)/15,(Skills!T14*(1+Inputs!$B$35/100))/Skills!D14)))+((C218=TRUE)*F218*IF(AND(Inputs!$B$39&lt;&gt;"pvp",Inputs!$B$44&gt;0),(((R218-1)*(Skills!T15*(1+Inputs!$B$35/100))+MIN((Skills!T15*(1+Inputs!$B$35/100)),MAX(0,Inputs!$B$44-((R218-1)*Skills!D15))))/Inputs!$B$44),IF(Inputs!$B$39="pvp",MIN((Skills!T15*(1+Inputs!$B$35/100)),15)/15,(Skills!T15*(1+Inputs!$B$35/100))/Skills!D15)))+((C219=TRUE)*F219*IF(AND(Inputs!$B$39&lt;&gt;"pvp",Inputs!$B$44&gt;0),(((R219-1)*(Skills!T16*(1+Inputs!$B$35/100))+MIN((Skills!T16*(1+Inputs!$B$35/100)),MAX(0,Inputs!$B$44-((R219-1)*Skills!D16))))/Inputs!$B$44),IF(Inputs!$B$39="pvp",MIN((Skills!T16*(1+Inputs!$B$35/100)),15)/15,(Skills!T16*(1+Inputs!$B$35/100))/Skills!D16)))+0)/100)</f>
        <v/>
      </c>
    </row>
    <row r="232">
      <c r="A232" t="inlineStr">
        <is>
          <t>Global Crit Rate Bonus % (Lord of Darkness)</t>
        </is>
      </c>
      <c r="B232">
        <f>((C221=TRUE)*F221*(Skills!J18/100)*IF(AND(Inputs!$B$39&lt;&gt;"pvp",Inputs!$B$44&gt;0),(((R221-1)*(Skills!T18*(1+Inputs!$B$35/100))+MIN((Skills!T18*(1+Inputs!$B$35/100)),MAX(0,Inputs!$B$44-((R221-1)*Skills!D18))))/Inputs!$B$44),IF(Inputs!$B$39="pvp",MIN((Skills!T18*(1+Inputs!$B$35/100)),15)/15,(Skills!T18*(1+Inputs!$B$35/100))/Skills!D18)))</f>
        <v/>
      </c>
    </row>
    <row r="233">
      <c r="A233" t="inlineStr">
        <is>
          <t>Attack Speed Buff Bonus %</t>
        </is>
      </c>
      <c r="B233">
        <f>((C223=TRUE)*F223*IF(AND(Inputs!$B$39&lt;&gt;"pvp",Inputs!$B$44&gt;0),(((R223-1)*(Skills!T20*(1+Inputs!$B$35/100))+MIN((Skills!T20*(1+Inputs!$B$35/100)),MAX(0,Inputs!$B$44-((R223-1)*Skills!D20))))/Inputs!$B$44),IF(Inputs!$B$39="pvp",MIN((Skills!T20*(1+Inputs!$B$35/100)),15)/15,(Skills!T20*(1+Inputs!$B$35/100))/Skills!D20)))</f>
        <v/>
      </c>
    </row>
    <row r="234">
      <c r="A234" t="inlineStr">
        <is>
          <t>Actions Per Second</t>
        </is>
      </c>
      <c r="B234">
        <f>1+MIN(150,150*(1-(1-(Inputs!$B$12+((C224=TRUE)*(F224-Calc!F21)))/150)*(1-B233/150)))/100</f>
        <v/>
      </c>
    </row>
    <row r="235">
      <c r="A235" t="inlineStr">
        <is>
          <t>Skill + Buff Cast Rate</t>
        </is>
      </c>
      <c r="B235">
        <f>IF(AND(Inputs!$B$39&lt;&gt;"pvp",Inputs!$B$44&gt;0),SUMPRODUCT((Skills!E2:E26=TRUE)*(C205:C229=TRUE)*R205:R229*Skills!F2:F26)/Inputs!$B$44,SUMPRODUCT((Skills!E2:E26=TRUE)*(C205:C229=TRUE)*Q205:Q229*Skills!F2:F26))</f>
        <v/>
      </c>
    </row>
    <row r="236">
      <c r="A236" t="inlineStr">
        <is>
          <t>Dark Impale Casts Per Second</t>
        </is>
      </c>
      <c r="B236">
        <f>MAX(0,B234-B235)</f>
        <v/>
      </c>
    </row>
    <row r="237">
      <c r="A237" t="inlineStr">
        <is>
          <t>Global Critical Damage Bonus % (Lord of Darkness)</t>
        </is>
      </c>
      <c r="B237">
        <f>((C222=TRUE)*F222*(Skills!J19/100)*IF(AND(Inputs!$B$39&lt;&gt;"pvp",Inputs!$B$44&gt;0),(((R222-1)*(Skills!T19*(1+Inputs!$B$35/100))+MIN((Skills!T19*(1+Inputs!$B$35/100)),MAX(0,Inputs!$B$44-((R222-1)*Skills!D19))))/Inputs!$B$44),IF(Inputs!$B$39="pvp",MIN((Skills!T19*(1+Inputs!$B$35/100)),15)/15,(Skills!T19*(1+Inputs!$B$35/100))/Skills!D19)))</f>
        <v/>
      </c>
    </row>
    <row r="238">
      <c r="A238" t="inlineStr">
        <is>
          <t>Global Final Damage Bonus % (unused)</t>
        </is>
      </c>
      <c r="B238" t="n">
        <v>0</v>
      </c>
    </row>
    <row r="239">
      <c r="A239" t="inlineStr">
        <is>
          <t>Buff-Casting Startup Delay (s, fixed-duration only)</t>
        </is>
      </c>
      <c r="B239">
        <f>IF(AND(Inputs!$B$39&lt;&gt;"pvp",Inputs!$B$44&gt;0),SUMPRODUCT((Skills!T2:T26&gt;0)*(Skills!E2:E26=TRUE)*(C205:C229=TRUE))/B234,0)</f>
        <v/>
      </c>
    </row>
    <row r="240">
      <c r="A240" t="inlineStr">
        <is>
          <t>Boss-Only Total DPS (this block's swept value)</t>
        </is>
      </c>
      <c r="B240">
        <f>SUM(T205:T229)</f>
        <v/>
      </c>
    </row>
    <row r="241">
      <c r="A241" t="inlineStr">
        <is>
          <t>Normal-Only Total DPS (this block's swept value)</t>
        </is>
      </c>
      <c r="B241">
        <f>SUM(V205:V229)</f>
        <v/>
      </c>
    </row>
    <row r="242">
      <c r="A242" s="5" t="inlineStr">
        <is>
          <t>TOTAL DPS</t>
        </is>
      </c>
      <c r="B242" s="5">
        <f>SUM(O205:O229)</f>
        <v/>
      </c>
    </row>
    <row r="245">
      <c r="A245" s="5" t="inlineStr">
        <is>
          <t>Stat: DAMAGE %</t>
        </is>
      </c>
    </row>
    <row r="246">
      <c r="A246" s="9" t="inlineStr">
        <is>
          <t>Key</t>
        </is>
      </c>
      <c r="B246" s="9" t="inlineStr">
        <is>
          <t>Name</t>
        </is>
      </c>
      <c r="C246" s="9" t="inlineStr">
        <is>
          <t>Unlocked</t>
        </is>
      </c>
      <c r="D246" s="9" t="inlineStr">
        <is>
          <t>InputLevel</t>
        </is>
      </c>
      <c r="E246" s="9" t="inlineStr">
        <is>
          <t>Factor</t>
        </is>
      </c>
      <c r="F246" s="9" t="inlineStr">
        <is>
          <t>CoefficientPercent</t>
        </is>
      </c>
      <c r="G246" s="9" t="inlineStr">
        <is>
          <t>EffectiveHits</t>
        </is>
      </c>
      <c r="H246" s="9" t="inlineStr">
        <is>
          <t>ProcProbability</t>
        </is>
      </c>
      <c r="I246" s="9" t="inlineStr">
        <is>
          <t>MapleHeroMultiplier</t>
        </is>
      </c>
      <c r="J246" s="9" t="inlineStr">
        <is>
          <t>BaseDamage</t>
        </is>
      </c>
      <c r="K246" s="9" t="inlineStr">
        <is>
          <t>BaseHitDamage</t>
        </is>
      </c>
      <c r="L246" s="9" t="inlineStr">
        <is>
          <t>NonCritAvg</t>
        </is>
      </c>
      <c r="M246" s="9" t="inlineStr">
        <is>
          <t>CritAvg</t>
        </is>
      </c>
      <c r="N246" s="9" t="inlineStr">
        <is>
          <t>ExpectedDamage(perHit)</t>
        </is>
      </c>
      <c r="O246" s="9" t="inlineStr">
        <is>
          <t>DPS</t>
        </is>
      </c>
      <c r="P246" s="9" t="inlineStr">
        <is>
          <t>% of Total</t>
        </is>
      </c>
      <c r="Q246" s="9" t="inlineStr">
        <is>
          <t>InvCooldown</t>
        </is>
      </c>
      <c r="R246" s="9" t="inlineStr">
        <is>
          <t>CastsInFight</t>
        </is>
      </c>
      <c r="S246" s="9" t="inlineStr">
        <is>
          <t>HitRate(perSec)</t>
        </is>
      </c>
      <c r="U246" t="inlineStr">
        <is>
          <t>helpers</t>
        </is>
      </c>
    </row>
    <row r="247">
      <c r="A247">
        <f>Skills!A2</f>
        <v/>
      </c>
      <c r="B247">
        <f>Skills!B2</f>
        <v/>
      </c>
      <c r="C247">
        <f>Inputs!$B$3&gt;=100</f>
        <v/>
      </c>
      <c r="D247" t="inlineStr"/>
      <c r="E247" t="inlineStr"/>
      <c r="F247">
        <f>U249+Skills!O2</f>
        <v/>
      </c>
      <c r="G247">
        <f>Skills!G2*IF(Skills!H2&gt;0,Skills!I2/Skills!H2,1)</f>
        <v/>
      </c>
      <c r="H247">
        <f>1-(1-Skills!J2/100)^Skills!K2</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100)),0))*(1+Inputs!$B$14/100))*0.01+Inputs!$B$15*0.0025)/100)*(1+(Inputs!$B$16+1)/100)*(1+Inputs!$B$17/100)*(5000/(6000+Inputs!$B$43*(1-(Inputs!$B$20+0)/100)))*(1+(Inputs!$B$25+((C270=TRUE)*(F270-Calc!F25))+((C271=TRUE)*(F271-Calc!F26))+B280)/100)*(1+(IF(Skills!A2="DARK_IMPALE",Inputs!$B$18+0,Inputs!$B$19+((C268=TRUE)*(F268-Calc!F23))))/100)*((1+(((C258=TRUE)*F258*IF(AND(Inputs!$B$39&lt;&gt;"pvp",Inputs!$B$44&gt;0),(((R258-1)*(Skills!T13*(1+Inputs!$B$35/100))+MIN((Skills!T13*(1+Inputs!$B$35/100)),MAX(0,Inputs!$B$44-((R258-1)*Skills!D13))))/Inputs!$B$44),IF(Inputs!$B$39="pvp",MIN((Skills!T13*(1+Inputs!$B$35/100)),15)/15,(Skills!T13*(1+Inputs!$B$35/100))/Skills!D13)))+((C259=TRUE)*F259*IF(AND(Inputs!$B$39&lt;&gt;"pvp",Inputs!$B$44&gt;0),(((R259-1)*(Skills!T14*(1+Inputs!$B$35/100))+MIN((Skills!T14*(1+Inputs!$B$35/100)),MAX(0,Inputs!$B$44-((R259-1)*Skills!D14))))/Inputs!$B$44),IF(Inputs!$B$39="pvp",MIN((Skills!T14*(1+Inputs!$B$35/100)),15)/15,(Skills!T14*(1+Inputs!$B$35/100))/Skills!D14)))+((C260=TRUE)*F260*IF(AND(Inputs!$B$39&lt;&gt;"pvp",Inputs!$B$44&gt;0),(((R260-1)*(Skills!T15*(1+Inputs!$B$35/100))+MIN((Skills!T15*(1+Inputs!$B$35/100)),MAX(0,Inputs!$B$44-((R260-1)*Skills!D15))))/Inputs!$B$44),IF(Inputs!$B$39="pvp",MIN((Skills!T15*(1+Inputs!$B$35/100)),15)/15,(Skills!T15*(1+Inputs!$B$35/100))/Skills!D15)))+((C261=TRUE)*F261*IF(AND(Inputs!$B$39&lt;&gt;"pvp",Inputs!$B$44&gt;0),(((R261-1)*(Skills!T16*(1+Inputs!$B$35/100))+MIN((Skills!T16*(1+Inputs!$B$35/100)),MAX(0,Inputs!$B$44-((R261-1)*Skills!D16))))/Inputs!$B$44),IF(Inputs!$B$39="pvp",MIN((Skills!T16*(1+Inputs!$B$35/100)),15)/15,(Skills!T16*(1+Inputs!$B$35/100))/Skills!D16)))+0)/100)*I247)</f>
        <v/>
      </c>
      <c r="L247">
        <f>K247*(MIN(Inputs!$B$23+((C267=TRUE)*(F267-Calc!F22)),Inputs!$B$24+((C269=TRUE)*(F269-Calc!F24)))/100+(Inputs!$B$24+((C269=TRUE)*(F269-Calc!F24)))/100)/2</f>
        <v/>
      </c>
      <c r="M247">
        <f>L247*(1+(Inputs!$B$11+0+B279)/100)</f>
        <v/>
      </c>
      <c r="N247">
        <f>L247*(1-MIN((Inputs!$B$10+0+B274),100)/100)+M247*(MIN((Inputs!$B$10+0+B274),100)/100)</f>
        <v/>
      </c>
      <c r="O247">
        <f>(1-Summary!$B$55)*T247+Summary!$B$55*V247</f>
        <v/>
      </c>
      <c r="P247">
        <f>IF(B284=0,0,O247/B284)</f>
        <v/>
      </c>
      <c r="Q247" t="n">
        <v>0</v>
      </c>
      <c r="R247" t="n">
        <v>0</v>
      </c>
      <c r="S247">
        <f>IFERROR(O247/N247,0)</f>
        <v/>
      </c>
      <c r="T247">
        <f>IF(C247,(Skills!G2*N247*B278)*IF(Inputs!$B$39="pvp",1,1+(Inputs!$B$21+0+Skills!P2+((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0)</f>
        <v/>
      </c>
      <c r="U247">
        <f>MAX(0,(Inputs!$B$3-100)*3)+Inputs!$B$29+Inputs!$B$30</f>
        <v/>
      </c>
      <c r="V247">
        <f>IF(C247,(Skills!G2*N247*B278)*IF(Inputs!$B$39="pvp",1,(1+(Inputs!$B$22+Skills!Q2+((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MIN((6+Inputs!$B$34),Inputs!$B$38))),0)</f>
        <v/>
      </c>
    </row>
    <row r="248">
      <c r="A248">
        <f>Skills!A3</f>
        <v/>
      </c>
      <c r="B248">
        <f>Skills!B3</f>
        <v/>
      </c>
      <c r="C248">
        <f>Inputs!$B$3&gt;=50</f>
        <v/>
      </c>
      <c r="D248">
        <f>IF(Skills!C3=1,60+Inputs!$B$26+Inputs!$B$30,IF(Skills!C3=2,90+Inputs!$B$27+Inputs!$B$30,IF(Skills!C3=3,120+Inputs!$B$28+Inputs!$B$30,MAX(0,(Inputs!$B$3-100)*3)+Inputs!$B$29+Inputs!$B$30)))</f>
        <v/>
      </c>
      <c r="E248">
        <f>INDEX(FactorTable!$B$2:$Y$301, MATCH(ROUND(MIN(300,MAX(1,D248)),0), FactorTable!$A$2:$A$301,0), Skills!M3+1)</f>
        <v/>
      </c>
      <c r="F248">
        <f>IF(Skills!N3=TRUE,(Skills!L3/10)*(E248/1000),Skills!L3/10)+Skills!O3</f>
        <v/>
      </c>
      <c r="G248" t="inlineStr"/>
      <c r="H248" t="inlineStr"/>
      <c r="I248" t="inlineStr">
        <is>
          <t>1</t>
        </is>
      </c>
      <c r="J248" t="inlineStr"/>
      <c r="K248" t="inlineStr"/>
      <c r="L248" t="inlineStr"/>
      <c r="M248" t="inlineStr"/>
      <c r="N248" t="inlineStr"/>
      <c r="O248" t="inlineStr"/>
      <c r="P248" t="inlineStr"/>
      <c r="Q248" t="inlineStr"/>
      <c r="R248" t="inlineStr"/>
      <c r="S248" t="inlineStr"/>
      <c r="U248">
        <f>INDEX(FactorTable!$B$2:$Y$301, MATCH(ROUND(MIN(300,MAX(1,U247)),0), FactorTable!$A$2:$A$301,0), 22)</f>
        <v/>
      </c>
    </row>
    <row r="249">
      <c r="A249">
        <f>Skills!A4</f>
        <v/>
      </c>
      <c r="B249">
        <f>Skills!B4</f>
        <v/>
      </c>
      <c r="C249">
        <f>Inputs!$B$3&gt;=105</f>
        <v/>
      </c>
      <c r="D249">
        <f>IF(Skills!C4=1,60+Inputs!$B$26+Inputs!$B$30,IF(Skills!C4=2,90+Inputs!$B$27+Inputs!$B$30,IF(Skills!C4=3,120+Inputs!$B$28+Inputs!$B$30,MAX(0,(Inputs!$B$3-100)*3)+Inputs!$B$29+Inputs!$B$30)))</f>
        <v/>
      </c>
      <c r="E249">
        <f>INDEX(FactorTable!$B$2:$Y$301, MATCH(ROUND(MIN(300,MAX(1,D249)),0), FactorTable!$A$2:$A$301,0), Skills!M4+1)</f>
        <v/>
      </c>
      <c r="F249">
        <f>IF(Skills!N4=TRUE,(Skills!L4/10)*(E249/1000),Skills!L4/10)+Skills!O4</f>
        <v/>
      </c>
      <c r="G249" t="inlineStr"/>
      <c r="H249" t="inlineStr"/>
      <c r="I249" t="inlineStr">
        <is>
          <t>1</t>
        </is>
      </c>
      <c r="J249" t="inlineStr"/>
      <c r="K249" t="inlineStr"/>
      <c r="L249" t="inlineStr"/>
      <c r="M249" t="inlineStr"/>
      <c r="N249" t="inlineStr"/>
      <c r="O249" t="inlineStr"/>
      <c r="P249" t="inlineStr"/>
      <c r="Q249" t="inlineStr"/>
      <c r="R249" t="inlineStr"/>
      <c r="S249" t="inlineStr"/>
      <c r="U249">
        <f>290*U248/1000</f>
        <v/>
      </c>
    </row>
    <row r="250">
      <c r="A250">
        <f>Skills!A5</f>
        <v/>
      </c>
      <c r="B250">
        <f>Skills!B5</f>
        <v/>
      </c>
      <c r="C250">
        <f>Inputs!$B$3&gt;=117</f>
        <v/>
      </c>
      <c r="D250">
        <f>IF(Skills!C5=1,60+Inputs!$B$26+Inputs!$B$30,IF(Skills!C5=2,90+Inputs!$B$27+Inputs!$B$30,IF(Skills!C5=3,120+Inputs!$B$28+Inputs!$B$30,MAX(0,(Inputs!$B$3-100)*3)+Inputs!$B$29+Inputs!$B$30)))</f>
        <v/>
      </c>
      <c r="E250">
        <f>INDEX(FactorTable!$B$2:$Y$301, MATCH(ROUND(MIN(300,MAX(1,D250)),0), FactorTable!$A$2:$A$301,0), Skills!M5+1)</f>
        <v/>
      </c>
      <c r="F250">
        <f>IF(Skills!N5=TRUE,(Skills!L5/10)*(E250/1000),Skills!L5/10)+Skills!O5</f>
        <v/>
      </c>
      <c r="G250">
        <f>Skills!G5*IF(Skills!H5&gt;0,Skills!I5/Skills!H5,1)</f>
        <v/>
      </c>
      <c r="H250">
        <f>1-(1-Skills!J5/100)^Skills!K5</f>
        <v/>
      </c>
      <c r="I250" t="inlineStr">
        <is>
          <t>1</t>
        </is>
      </c>
      <c r="J250">
        <f>((Inputs!$B$6*(1+Inputs!$B$7/100))+(((Inputs!$B$13*(1+Inputs!$B$14/100))-(Inputs!$B$13*(1+Inputs!$B$14/100)))+0.25*(Inputs!$B$15-Inputs!$B$15))*(1+Inputs!$B$7/100))*(F250/100)</f>
        <v/>
      </c>
      <c r="K250">
        <f>J250*(1+(((Inputs!$B$13+IF(Inputs!$B$3&gt;=38,(10*INDEX(FactorTable!$B$2:$Y$301, MATCH(ROUND(MIN(300,MAX(1,Inputs!$B$3)),0), FactorTable!$A$2:$A$301,0), 23)/1000)/100*(Inputs!$B$8*(1+Inputs!$B$9/100)),0))*(1+Inputs!$B$14/100))*0.01+Inputs!$B$15*0.0025)/100)*(1+(Inputs!$B$16+1)/100)*(1+Inputs!$B$17/100)*(5000/(6000+Inputs!$B$43*(1-(Inputs!$B$20+0)/100)))*(1+(Inputs!$B$25+((C270=TRUE)*(F270-Calc!F25))+((C271=TRUE)*(F271-Calc!F26))+B280)/100)*(1+(IF(Skills!A5="DARK_IMPALE",Inputs!$B$18+0,Inputs!$B$19+((C268=TRUE)*(F268-Calc!F23))))/100)*((1+(((C258=TRUE)*F258*IF(AND(Inputs!$B$39&lt;&gt;"pvp",Inputs!$B$44&gt;0),(((R258-1)*(Skills!T13*(1+Inputs!$B$35/100))+MIN((Skills!T13*(1+Inputs!$B$35/100)),MAX(0,Inputs!$B$44-((R258-1)*Skills!D13))))/Inputs!$B$44),IF(Inputs!$B$39="pvp",MIN((Skills!T13*(1+Inputs!$B$35/100)),15)/15,(Skills!T13*(1+Inputs!$B$35/100))/Skills!D13)))+((C259=TRUE)*F259*IF(AND(Inputs!$B$39&lt;&gt;"pvp",Inputs!$B$44&gt;0),(((R259-1)*(Skills!T14*(1+Inputs!$B$35/100))+MIN((Skills!T14*(1+Inputs!$B$35/100)),MAX(0,Inputs!$B$44-((R259-1)*Skills!D14))))/Inputs!$B$44),IF(Inputs!$B$39="pvp",MIN((Skills!T14*(1+Inputs!$B$35/100)),15)/15,(Skills!T14*(1+Inputs!$B$35/100))/Skills!D14)))+((C260=TRUE)*F260*IF(AND(Inputs!$B$39&lt;&gt;"pvp",Inputs!$B$44&gt;0),(((R260-1)*(Skills!T15*(1+Inputs!$B$35/100))+MIN((Skills!T15*(1+Inputs!$B$35/100)),MAX(0,Inputs!$B$44-((R260-1)*Skills!D15))))/Inputs!$B$44),IF(Inputs!$B$39="pvp",MIN((Skills!T15*(1+Inputs!$B$35/100)),15)/15,(Skills!T15*(1+Inputs!$B$35/100))/Skills!D15)))+((C261=TRUE)*F261*IF(AND(Inputs!$B$39&lt;&gt;"pvp",Inputs!$B$44&gt;0),(((R261-1)*(Skills!T16*(1+Inputs!$B$35/100))+MIN((Skills!T16*(1+Inputs!$B$35/100)),MAX(0,Inputs!$B$44-((R261-1)*Skills!D16))))/Inputs!$B$44),IF(Inputs!$B$39="pvp",MIN((Skills!T16*(1+Inputs!$B$35/100)),15)/15,(Skills!T16*(1+Inputs!$B$35/100))/Skills!D16)))+0)/100)*I250)</f>
        <v/>
      </c>
      <c r="L250">
        <f>K250*(MIN(Inputs!$B$23+((C267=TRUE)*(F267-Calc!F22)),Inputs!$B$24+((C269=TRUE)*(F269-Calc!F24)))/100+(Inputs!$B$24+((C269=TRUE)*(F269-Calc!F24)))/100)/2</f>
        <v/>
      </c>
      <c r="M250">
        <f>L250*(1+(Inputs!$B$11+0+B279)/100)</f>
        <v/>
      </c>
      <c r="N250">
        <f>L250*(1-MIN((Inputs!$B$10+0+B274),100)/100)+M250*(MIN((Inputs!$B$10+0+B274),100)/100)</f>
        <v/>
      </c>
      <c r="O250">
        <f>(1-Summary!$B$55)*T250+Summary!$B$55*V250</f>
        <v/>
      </c>
      <c r="P250">
        <f>IF(B284=0,0,O250/B284)</f>
        <v/>
      </c>
      <c r="Q250">
        <f>IFERROR(1/IF(Inputs!$B$39="pvp",15,MAX(0.1,Skills!D5-IF(Skills!E5=TRUE,Inputs!$B$33,0))),0)</f>
        <v/>
      </c>
      <c r="R250">
        <f>IF(AND(Inputs!$B$39&lt;&gt;"pvp",Inputs!$B$44&gt;0),IF(MAX(0,Inputs!$B$44-B281)&lt;=0,0,(INT(MAX(0,Inputs!$B$44-B281)/IF(Inputs!$B$39="pvp",15,MAX(0.1,Skills!D5-IF(Skills!E5=TRUE,Inputs!$B$33,0))))+1)),0)</f>
        <v/>
      </c>
      <c r="S250">
        <f>IFERROR(O250/N250,0)</f>
        <v/>
      </c>
      <c r="T250">
        <f>IF(C250,(H250*N250*IF(AND(Inputs!$B$39&lt;&gt;"pvp",Inputs!$B$44&gt;0),((Skills!G5*((R250-1)*IF(Skills!H5&gt;0,Skills!I5/Skills!H5,1)+IF(Skills!H5&gt;0,MIN(Skills!I5,MAX(0,MAX(0,Inputs!$B$44-B281)-((R250-1)*IF(Inputs!$B$39="pvp",15,MAX(0.1,Skills!D5-IF(Skills!E5=TRUE,Inputs!$B$33,0))))))/Skills!H5,1)))/Inputs!$B$44),G250*Q250))*IF(Inputs!$B$39="pvp",1,1+(Inputs!$B$21+0+Skills!P5+((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0)</f>
        <v/>
      </c>
      <c r="V250">
        <f>IF(C250,(H250*N250*IF(AND(Inputs!$B$39&lt;&gt;"pvp",Inputs!$B$44&gt;0),((Skills!G5*((R250-1)*IF(Skills!H5&gt;0,Skills!I5/Skills!H5,1)+IF(Skills!H5&gt;0,MIN(Skills!I5,MAX(0,MAX(0,Inputs!$B$44-B281)-((R250-1)*IF(Inputs!$B$39="pvp",15,MAX(0.1,Skills!D5-IF(Skills!E5=TRUE,Inputs!$B$33,0))))))/Skills!H5,1)))/Inputs!$B$44),G250*Q250))*IF(Inputs!$B$39="pvp",1,(1+(Inputs!$B$22+Skills!Q5+((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MIN(Skills!R5,Inputs!$B$38))),0)</f>
        <v/>
      </c>
    </row>
    <row r="251">
      <c r="A251">
        <f>Skills!A6</f>
        <v/>
      </c>
      <c r="B251">
        <f>Skills!B6</f>
        <v/>
      </c>
      <c r="C251">
        <f>Inputs!$B$3&gt;=103</f>
        <v/>
      </c>
      <c r="D251">
        <f>IF(Skills!C6=1,60+Inputs!$B$26+Inputs!$B$30,IF(Skills!C6=2,90+Inputs!$B$27+Inputs!$B$30,IF(Skills!C6=3,120+Inputs!$B$28+Inputs!$B$30,MAX(0,(Inputs!$B$3-100)*3)+Inputs!$B$29+Inputs!$B$30)))</f>
        <v/>
      </c>
      <c r="E251">
        <f>INDEX(FactorTable!$B$2:$Y$301, MATCH(ROUND(MIN(300,MAX(1,D251)),0), FactorTable!$A$2:$A$301,0), Skills!M6+1)</f>
        <v/>
      </c>
      <c r="F251">
        <f>IF(Skills!N6=TRUE,(Skills!L6/10)*(E251/1000),Skills!L6/10)+Skills!O6</f>
        <v/>
      </c>
      <c r="G251">
        <f>Skills!G6*IF(Skills!H6&gt;0,Skills!I6/Skills!H6,1)</f>
        <v/>
      </c>
      <c r="H251">
        <f>1-(1-Skills!J6/100)^Skills!K6</f>
        <v/>
      </c>
      <c r="I251" t="inlineStr">
        <is>
          <t>1</t>
        </is>
      </c>
      <c r="J251">
        <f>((Inputs!$B$6*(1+Inputs!$B$7/100))+(((Inputs!$B$13*(1+Inputs!$B$14/100))-(Inputs!$B$13*(1+Inputs!$B$14/100)))+0.25*(Inputs!$B$15-Inputs!$B$15))*(1+Inputs!$B$7/100))*(F251/100)</f>
        <v/>
      </c>
      <c r="K251">
        <f>J251*(1+(((Inputs!$B$13+IF(Inputs!$B$3&gt;=38,(10*INDEX(FactorTable!$B$2:$Y$301, MATCH(ROUND(MIN(300,MAX(1,Inputs!$B$3)),0), FactorTable!$A$2:$A$301,0), 23)/1000)/100*(Inputs!$B$8*(1+Inputs!$B$9/100)),0))*(1+Inputs!$B$14/100))*0.01+Inputs!$B$15*0.0025)/100)*(1+(Inputs!$B$16+1)/100)*(1+Inputs!$B$17/100)*(5000/(6000+Inputs!$B$43*(1-(Inputs!$B$20+0)/100)))*(1+(Inputs!$B$25+((C270=TRUE)*(F270-Calc!F25))+((C271=TRUE)*(F271-Calc!F26))+B280)/100)*(1+(IF(Skills!A6="DARK_IMPALE",Inputs!$B$18+0,Inputs!$B$19+((C268=TRUE)*(F268-Calc!F23))))/100)*((1+(((C258=TRUE)*F258*IF(AND(Inputs!$B$39&lt;&gt;"pvp",Inputs!$B$44&gt;0),(((R258-1)*(Skills!T13*(1+Inputs!$B$35/100))+MIN((Skills!T13*(1+Inputs!$B$35/100)),MAX(0,Inputs!$B$44-((R258-1)*Skills!D13))))/Inputs!$B$44),IF(Inputs!$B$39="pvp",MIN((Skills!T13*(1+Inputs!$B$35/100)),15)/15,(Skills!T13*(1+Inputs!$B$35/100))/Skills!D13)))+((C259=TRUE)*F259*IF(AND(Inputs!$B$39&lt;&gt;"pvp",Inputs!$B$44&gt;0),(((R259-1)*(Skills!T14*(1+Inputs!$B$35/100))+MIN((Skills!T14*(1+Inputs!$B$35/100)),MAX(0,Inputs!$B$44-((R259-1)*Skills!D14))))/Inputs!$B$44),IF(Inputs!$B$39="pvp",MIN((Skills!T14*(1+Inputs!$B$35/100)),15)/15,(Skills!T14*(1+Inputs!$B$35/100))/Skills!D14)))+((C260=TRUE)*F260*IF(AND(Inputs!$B$39&lt;&gt;"pvp",Inputs!$B$44&gt;0),(((R260-1)*(Skills!T15*(1+Inputs!$B$35/100))+MIN((Skills!T15*(1+Inputs!$B$35/100)),MAX(0,Inputs!$B$44-((R260-1)*Skills!D15))))/Inputs!$B$44),IF(Inputs!$B$39="pvp",MIN((Skills!T15*(1+Inputs!$B$35/100)),15)/15,(Skills!T15*(1+Inputs!$B$35/100))/Skills!D15)))+((C261=TRUE)*F261*IF(AND(Inputs!$B$39&lt;&gt;"pvp",Inputs!$B$44&gt;0),(((R261-1)*(Skills!T16*(1+Inputs!$B$35/100))+MIN((Skills!T16*(1+Inputs!$B$35/100)),MAX(0,Inputs!$B$44-((R261-1)*Skills!D16))))/Inputs!$B$44),IF(Inputs!$B$39="pvp",MIN((Skills!T16*(1+Inputs!$B$35/100)),15)/15,(Skills!T16*(1+Inputs!$B$35/100))/Skills!D16)))+0)/100)*I251)</f>
        <v/>
      </c>
      <c r="L251">
        <f>K251*(MIN(Inputs!$B$23+((C267=TRUE)*(F267-Calc!F22)),Inputs!$B$24+((C269=TRUE)*(F269-Calc!F24)))/100+(Inputs!$B$24+((C269=TRUE)*(F269-Calc!F24)))/100)/2</f>
        <v/>
      </c>
      <c r="M251">
        <f>L251*(1+(Inputs!$B$11+0+B279)/100)</f>
        <v/>
      </c>
      <c r="N251">
        <f>L251*(1-MIN((Inputs!$B$10+0+B274),100)/100)+M251*(MIN((Inputs!$B$10+0+B274),100)/100)</f>
        <v/>
      </c>
      <c r="O251">
        <f>(1-Summary!$B$55)*T251+Summary!$B$55*V251</f>
        <v/>
      </c>
      <c r="P251">
        <f>IF(B284=0,0,O251/B284)</f>
        <v/>
      </c>
      <c r="Q251">
        <f>IFERROR(1/IF(Inputs!$B$39="pvp",15,MAX(0.1,Skills!D6-IF(Skills!E6=TRUE,Inputs!$B$33,0))),0)</f>
        <v/>
      </c>
      <c r="R251">
        <f>IF(AND(Inputs!$B$39&lt;&gt;"pvp",Inputs!$B$44&gt;0),IF(MAX(0,Inputs!$B$44-B281)&lt;=0,0,(INT(MAX(0,Inputs!$B$44-B281)/IF(Inputs!$B$39="pvp",15,MAX(0.1,Skills!D6-IF(Skills!E6=TRUE,Inputs!$B$33,0))))+1)),0)</f>
        <v/>
      </c>
      <c r="S251">
        <f>IFERROR(O251/N251,0)</f>
        <v/>
      </c>
      <c r="T251">
        <f>IF(C251,(H251*N251*IF(AND(Inputs!$B$39&lt;&gt;"pvp",Inputs!$B$44&gt;0),((Skills!G6*((R251-1)*IF(Skills!H6&gt;0,Skills!I6/Skills!H6,1)+IF(Skills!H6&gt;0,MIN(Skills!I6,MAX(0,MAX(0,Inputs!$B$44-B281)-((R251-1)*IF(Inputs!$B$39="pvp",15,MAX(0.1,Skills!D6-IF(Skills!E6=TRUE,Inputs!$B$33,0))))))/Skills!H6,1)))/Inputs!$B$44),G251*Q251))*IF(Inputs!$B$39="pvp",1,1+(Inputs!$B$21+0+Skills!P6+((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0)</f>
        <v/>
      </c>
      <c r="V251">
        <f>IF(C251,(H251*N251*IF(AND(Inputs!$B$39&lt;&gt;"pvp",Inputs!$B$44&gt;0),((Skills!G6*((R251-1)*IF(Skills!H6&gt;0,Skills!I6/Skills!H6,1)+IF(Skills!H6&gt;0,MIN(Skills!I6,MAX(0,MAX(0,Inputs!$B$44-B281)-((R251-1)*IF(Inputs!$B$39="pvp",15,MAX(0.1,Skills!D6-IF(Skills!E6=TRUE,Inputs!$B$33,0))))))/Skills!H6,1)))/Inputs!$B$44),G251*Q251))*IF(Inputs!$B$39="pvp",1,(1+(Inputs!$B$22+Skills!Q6+((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MIN(Skills!R6,Inputs!$B$38))),0)</f>
        <v/>
      </c>
    </row>
    <row r="252">
      <c r="A252">
        <f>Skills!A7</f>
        <v/>
      </c>
      <c r="B252">
        <f>Skills!B7</f>
        <v/>
      </c>
      <c r="C252">
        <f>Inputs!$B$3&gt;=40</f>
        <v/>
      </c>
      <c r="D252">
        <f>IF(Skills!C7=1,60+Inputs!$B$26+Inputs!$B$30,IF(Skills!C7=2,90+Inputs!$B$27+Inputs!$B$30,IF(Skills!C7=3,120+Inputs!$B$28+Inputs!$B$30,MAX(0,(Inputs!$B$3-100)*3)+Inputs!$B$29+Inputs!$B$30)))</f>
        <v/>
      </c>
      <c r="E252">
        <f>INDEX(FactorTable!$B$2:$Y$301, MATCH(ROUND(MIN(300,MAX(1,D252)),0), FactorTable!$A$2:$A$301,0), Skills!M7+1)</f>
        <v/>
      </c>
      <c r="F252">
        <f>IF(Skills!N7=TRUE,(Skills!L7/10)*(E252/1000),Skills!L7/10)+Skills!O7</f>
        <v/>
      </c>
      <c r="G252">
        <f>Skills!G7*IF(Skills!H7&gt;0,Skills!I7/Skills!H7,1)</f>
        <v/>
      </c>
      <c r="H252">
        <f>1-(1-Skills!J7/100)^Skills!K7</f>
        <v/>
      </c>
      <c r="I252" t="inlineStr">
        <is>
          <t>1</t>
        </is>
      </c>
      <c r="J252">
        <f>((Inputs!$B$6*(1+Inputs!$B$7/100))+(((Inputs!$B$13*(1+Inputs!$B$14/100))-(Inputs!$B$13*(1+Inputs!$B$14/100)))+0.25*(Inputs!$B$15-Inputs!$B$15))*(1+Inputs!$B$7/100))*(F252/100)</f>
        <v/>
      </c>
      <c r="K252">
        <f>J252*(1+(((Inputs!$B$13+IF(Inputs!$B$3&gt;=38,(10*INDEX(FactorTable!$B$2:$Y$301, MATCH(ROUND(MIN(300,MAX(1,Inputs!$B$3)),0), FactorTable!$A$2:$A$301,0), 23)/1000)/100*(Inputs!$B$8*(1+Inputs!$B$9/100)),0))*(1+Inputs!$B$14/100))*0.01+Inputs!$B$15*0.0025)/100)*(1+(Inputs!$B$16+1)/100)*(1+Inputs!$B$17/100)*(5000/(6000+Inputs!$B$43*(1-(Inputs!$B$20+0)/100)))*(1+(Inputs!$B$25+((C270=TRUE)*(F270-Calc!F25))+((C271=TRUE)*(F271-Calc!F26))+B280)/100)*(1+0.75*IF(C256=TRUE,F256,0)/100)*(1+(IF(Skills!A7="DARK_IMPALE",Inputs!$B$18+0,Inputs!$B$19+((C268=TRUE)*(F268-Calc!F23))))/100)*((1+(((C258=TRUE)*F258*IF(AND(Inputs!$B$39&lt;&gt;"pvp",Inputs!$B$44&gt;0),(((R258-1)*(Skills!T13*(1+Inputs!$B$35/100))+MIN((Skills!T13*(1+Inputs!$B$35/100)),MAX(0,Inputs!$B$44-((R258-1)*Skills!D13))))/Inputs!$B$44),IF(Inputs!$B$39="pvp",MIN((Skills!T13*(1+Inputs!$B$35/100)),15)/15,(Skills!T13*(1+Inputs!$B$35/100))/Skills!D13)))+((C259=TRUE)*F259*IF(AND(Inputs!$B$39&lt;&gt;"pvp",Inputs!$B$44&gt;0),(((R259-1)*(Skills!T14*(1+Inputs!$B$35/100))+MIN((Skills!T14*(1+Inputs!$B$35/100)),MAX(0,Inputs!$B$44-((R259-1)*Skills!D14))))/Inputs!$B$44),IF(Inputs!$B$39="pvp",MIN((Skills!T14*(1+Inputs!$B$35/100)),15)/15,(Skills!T14*(1+Inputs!$B$35/100))/Skills!D14)))+((C260=TRUE)*F260*IF(AND(Inputs!$B$39&lt;&gt;"pvp",Inputs!$B$44&gt;0),(((R260-1)*(Skills!T15*(1+Inputs!$B$35/100))+MIN((Skills!T15*(1+Inputs!$B$35/100)),MAX(0,Inputs!$B$44-((R260-1)*Skills!D15))))/Inputs!$B$44),IF(Inputs!$B$39="pvp",MIN((Skills!T15*(1+Inputs!$B$35/100)),15)/15,(Skills!T15*(1+Inputs!$B$35/100))/Skills!D15)))+((C261=TRUE)*F261*IF(AND(Inputs!$B$39&lt;&gt;"pvp",Inputs!$B$44&gt;0),(((R261-1)*(Skills!T16*(1+Inputs!$B$35/100))+MIN((Skills!T16*(1+Inputs!$B$35/100)),MAX(0,Inputs!$B$44-((R261-1)*Skills!D16))))/Inputs!$B$44),IF(Inputs!$B$39="pvp",MIN((Skills!T16*(1+Inputs!$B$35/100)),15)/15,(Skills!T16*(1+Inputs!$B$35/100))/Skills!D16)))+0)/100)*I252)</f>
        <v/>
      </c>
      <c r="L252">
        <f>K252*(MIN(Inputs!$B$23+((C267=TRUE)*(F267-Calc!F22)),Inputs!$B$24+((C269=TRUE)*(F269-Calc!F24)))/100+(Inputs!$B$24+((C269=TRUE)*(F269-Calc!F24)))/100)/2</f>
        <v/>
      </c>
      <c r="M252">
        <f>L252*(1+(Inputs!$B$11+0+B279)/100)</f>
        <v/>
      </c>
      <c r="N252">
        <f>L252*(1-MIN((Inputs!$B$10+0+B274),100)/100)+M252*(MIN((Inputs!$B$10+0+B274),100)/100)</f>
        <v/>
      </c>
      <c r="O252">
        <f>(1-Summary!$B$55)*T252+Summary!$B$55*V252</f>
        <v/>
      </c>
      <c r="P252">
        <f>IF(B284=0,0,O252/B284)</f>
        <v/>
      </c>
      <c r="Q252">
        <f>IFERROR(1/IF(Inputs!$B$39="pvp",15,MAX(0.1,Skills!D7-IF(Skills!E7=TRUE,Inputs!$B$33,0))),0)</f>
        <v/>
      </c>
      <c r="R252">
        <f>IF(AND(Inputs!$B$39&lt;&gt;"pvp",Inputs!$B$44&gt;0),IF(MAX(0,Inputs!$B$44-B281)&lt;=0,0,(INT(MAX(0,Inputs!$B$44-B281)/IF(Inputs!$B$39="pvp",15,MAX(0.1,Skills!D7-IF(Skills!E7=TRUE,Inputs!$B$33,0))))+1)),0)</f>
        <v/>
      </c>
      <c r="S252">
        <f>IFERROR(O252/N252,0)</f>
        <v/>
      </c>
      <c r="T252">
        <f>IF(C252,(H252*N252*IF(AND(Inputs!$B$39&lt;&gt;"pvp",Inputs!$B$44&gt;0),((Skills!G7*((R252-1)*IF(Skills!H7&gt;0,Skills!I7/Skills!H7,1)+IF(Skills!H7&gt;0,MIN(Skills!I7,MAX(0,MAX(0,Inputs!$B$44-B281)-((R252-1)*IF(Inputs!$B$39="pvp",15,MAX(0.1,Skills!D7-IF(Skills!E7=TRUE,Inputs!$B$33,0))))))/Skills!H7,1)))/Inputs!$B$44),G252*Q252))*IF(Inputs!$B$39="pvp",1,1+(Inputs!$B$21+0+Skills!P7+((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0)</f>
        <v/>
      </c>
      <c r="V252">
        <f>IF(C252,(H252*N252*IF(AND(Inputs!$B$39&lt;&gt;"pvp",Inputs!$B$44&gt;0),((Skills!G7*((R252-1)*IF(Skills!H7&gt;0,Skills!I7/Skills!H7,1)+IF(Skills!H7&gt;0,MIN(Skills!I7,MAX(0,MAX(0,Inputs!$B$44-B281)-((R252-1)*IF(Inputs!$B$39="pvp",15,MAX(0.1,Skills!D7-IF(Skills!E7=TRUE,Inputs!$B$33,0))))))/Skills!H7,1)))/Inputs!$B$44),G252*Q252))*IF(Inputs!$B$39="pvp",1,(1+(Inputs!$B$22+Skills!Q7+((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MIN(Skills!R7,Inputs!$B$38))),0)</f>
        <v/>
      </c>
    </row>
    <row r="253">
      <c r="A253">
        <f>Skills!A8</f>
        <v/>
      </c>
      <c r="B253">
        <f>Skills!B8</f>
        <v/>
      </c>
      <c r="C253">
        <f>Inputs!$B$3&gt;=75</f>
        <v/>
      </c>
      <c r="D253">
        <f>IF(Skills!C8=1,60+Inputs!$B$26+Inputs!$B$30,IF(Skills!C8=2,90+Inputs!$B$27+Inputs!$B$30,IF(Skills!C8=3,120+Inputs!$B$28+Inputs!$B$30,MAX(0,(Inputs!$B$3-100)*3)+Inputs!$B$29+Inputs!$B$30)))</f>
        <v/>
      </c>
      <c r="E253">
        <f>INDEX(FactorTable!$B$2:$Y$301, MATCH(ROUND(MIN(300,MAX(1,D253)),0), FactorTable!$A$2:$A$301,0), Skills!M8+1)</f>
        <v/>
      </c>
      <c r="F253">
        <f>IF(Skills!N8=TRUE,(Skills!L8/10)*(E253/1000),Skills!L8/10)+Skills!O8</f>
        <v/>
      </c>
      <c r="G253" t="inlineStr"/>
      <c r="H253" t="inlineStr"/>
      <c r="I253" t="inlineStr">
        <is>
          <t>1</t>
        </is>
      </c>
      <c r="J253" t="inlineStr"/>
      <c r="K253" t="inlineStr"/>
      <c r="L253" t="inlineStr"/>
      <c r="M253" t="inlineStr"/>
      <c r="N253" t="inlineStr"/>
      <c r="O253" t="inlineStr"/>
      <c r="P253" t="inlineStr"/>
      <c r="Q253" t="inlineStr"/>
      <c r="R253" t="inlineStr"/>
      <c r="S253" t="inlineStr"/>
    </row>
    <row r="254">
      <c r="A254">
        <f>Skills!A9</f>
        <v/>
      </c>
      <c r="B254">
        <f>Skills!B9</f>
        <v/>
      </c>
      <c r="C254">
        <f>Inputs!$B$3&gt;=60</f>
        <v/>
      </c>
      <c r="D254">
        <f>IF(Skills!C9=1,60+Inputs!$B$26+Inputs!$B$30,IF(Skills!C9=2,90+Inputs!$B$27+Inputs!$B$30,IF(Skills!C9=3,120+Inputs!$B$28+Inputs!$B$30,MAX(0,(Inputs!$B$3-100)*3)+Inputs!$B$29+Inputs!$B$30)))</f>
        <v/>
      </c>
      <c r="E254">
        <f>INDEX(FactorTable!$B$2:$Y$301, MATCH(ROUND(MIN(300,MAX(1,D254)),0), FactorTable!$A$2:$A$301,0), Skills!M9+1)</f>
        <v/>
      </c>
      <c r="F254">
        <f>IF(Skills!N9=TRUE,(Skills!L9/10)*(E254/1000),Skills!L9/10)+Skills!O9</f>
        <v/>
      </c>
      <c r="G254">
        <f>Skills!G9*IF(Skills!H9&gt;0,Skills!I9/Skills!H9,1)</f>
        <v/>
      </c>
      <c r="H254">
        <f>1-(1-Skills!J9/100)^Skills!K9</f>
        <v/>
      </c>
      <c r="I254" t="inlineStr">
        <is>
          <t>1</t>
        </is>
      </c>
      <c r="J254">
        <f>((Inputs!$B$6*(1+Inputs!$B$7/100))+(((Inputs!$B$13*(1+Inputs!$B$14/100))-(Inputs!$B$13*(1+Inputs!$B$14/100)))+0.25*(Inputs!$B$15-Inputs!$B$15))*(1+Inputs!$B$7/100))*(F254/100)</f>
        <v/>
      </c>
      <c r="K254">
        <f>J254*(1+(((Inputs!$B$13+IF(Inputs!$B$3&gt;=38,(10*INDEX(FactorTable!$B$2:$Y$301, MATCH(ROUND(MIN(300,MAX(1,Inputs!$B$3)),0), FactorTable!$A$2:$A$301,0), 23)/1000)/100*(Inputs!$B$8*(1+Inputs!$B$9/100)),0))*(1+Inputs!$B$14/100))*0.01+Inputs!$B$15*0.0025)/100)*(1+(Inputs!$B$16+1)/100)*(1+Inputs!$B$17/100)*(5000/(6000+Inputs!$B$43*(1-(Inputs!$B$20+0)/100)))*(1+(Inputs!$B$25+((C270=TRUE)*(F270-Calc!F25))+((C271=TRUE)*(F271-Calc!F26))+B280)/100)*(1+1.0*IF(C256=TRUE,F256,0)/100)*(1+(IF(Skills!A9="DARK_IMPALE",Inputs!$B$18+0,Inputs!$B$19+((C268=TRUE)*(F268-Calc!F23))))/100)*((1+(((C258=TRUE)*F258*IF(AND(Inputs!$B$39&lt;&gt;"pvp",Inputs!$B$44&gt;0),(((R258-1)*(Skills!T13*(1+Inputs!$B$35/100))+MIN((Skills!T13*(1+Inputs!$B$35/100)),MAX(0,Inputs!$B$44-((R258-1)*Skills!D13))))/Inputs!$B$44),IF(Inputs!$B$39="pvp",MIN((Skills!T13*(1+Inputs!$B$35/100)),15)/15,(Skills!T13*(1+Inputs!$B$35/100))/Skills!D13)))+((C259=TRUE)*F259*IF(AND(Inputs!$B$39&lt;&gt;"pvp",Inputs!$B$44&gt;0),(((R259-1)*(Skills!T14*(1+Inputs!$B$35/100))+MIN((Skills!T14*(1+Inputs!$B$35/100)),MAX(0,Inputs!$B$44-((R259-1)*Skills!D14))))/Inputs!$B$44),IF(Inputs!$B$39="pvp",MIN((Skills!T14*(1+Inputs!$B$35/100)),15)/15,(Skills!T14*(1+Inputs!$B$35/100))/Skills!D14)))+((C260=TRUE)*F260*IF(AND(Inputs!$B$39&lt;&gt;"pvp",Inputs!$B$44&gt;0),(((R260-1)*(Skills!T15*(1+Inputs!$B$35/100))+MIN((Skills!T15*(1+Inputs!$B$35/100)),MAX(0,Inputs!$B$44-((R260-1)*Skills!D15))))/Inputs!$B$44),IF(Inputs!$B$39="pvp",MIN((Skills!T15*(1+Inputs!$B$35/100)),15)/15,(Skills!T15*(1+Inputs!$B$35/100))/Skills!D15)))+((C261=TRUE)*F261*IF(AND(Inputs!$B$39&lt;&gt;"pvp",Inputs!$B$44&gt;0),(((R261-1)*(Skills!T16*(1+Inputs!$B$35/100))+MIN((Skills!T16*(1+Inputs!$B$35/100)),MAX(0,Inputs!$B$44-((R261-1)*Skills!D16))))/Inputs!$B$44),IF(Inputs!$B$39="pvp",MIN((Skills!T16*(1+Inputs!$B$35/100)),15)/15,(Skills!T16*(1+Inputs!$B$35/100))/Skills!D16)))+0)/100)*I254)</f>
        <v/>
      </c>
      <c r="L254">
        <f>K254*(MIN(Inputs!$B$23+((C267=TRUE)*(F267-Calc!F22)),Inputs!$B$24+((C269=TRUE)*(F269-Calc!F24)))/100+(Inputs!$B$24+((C269=TRUE)*(F269-Calc!F24)))/100)/2</f>
        <v/>
      </c>
      <c r="M254">
        <f>L254*(1+(Inputs!$B$11+0+B279)/100)</f>
        <v/>
      </c>
      <c r="N254">
        <f>L254*(1-MIN((Inputs!$B$10+0+B274),100)/100)+M254*(MIN((Inputs!$B$10+0+B274),100)/100)</f>
        <v/>
      </c>
      <c r="O254">
        <f>(1-Summary!$B$55)*T254+Summary!$B$55*V254</f>
        <v/>
      </c>
      <c r="P254">
        <f>IF(B284=0,0,O254/B284)</f>
        <v/>
      </c>
      <c r="Q254">
        <f>IFERROR(1/IF(Inputs!$B$39="pvp",15,MAX(0.1,Skills!D9-IF(Skills!E9=TRUE,Inputs!$B$33,0))),0)</f>
        <v/>
      </c>
      <c r="R254">
        <f>IF(AND(Inputs!$B$39&lt;&gt;"pvp",Inputs!$B$44&gt;0),IF(MAX(0,Inputs!$B$44-B281)&lt;=0,0,(INT(MAX(0,Inputs!$B$44-B281)/IF(Inputs!$B$39="pvp",15,MAX(0.1,Skills!D9-IF(Skills!E9=TRUE,Inputs!$B$33,0))))+1)),0)</f>
        <v/>
      </c>
      <c r="S254">
        <f>IFERROR(O254/N254,0)</f>
        <v/>
      </c>
      <c r="T254">
        <f>IF(C254,(H254*N254*IF(AND(Inputs!$B$39&lt;&gt;"pvp",Inputs!$B$44&gt;0),((Skills!G9*((R254-1)*IF(Skills!H9&gt;0,Skills!I9/Skills!H9,1)+IF(Skills!H9&gt;0,MIN(Skills!I9,MAX(0,MAX(0,Inputs!$B$44-B281)-((R254-1)*IF(Inputs!$B$39="pvp",15,MAX(0.1,Skills!D9-IF(Skills!E9=TRUE,Inputs!$B$33,0))))))/Skills!H9,1)))/Inputs!$B$44),G254*Q254))*IF(Inputs!$B$39="pvp",1,1+(Inputs!$B$21+0+Skills!P9+((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0)</f>
        <v/>
      </c>
      <c r="V254">
        <f>IF(C254,(H254*N254*IF(AND(Inputs!$B$39&lt;&gt;"pvp",Inputs!$B$44&gt;0),((Skills!G9*((R254-1)*IF(Skills!H9&gt;0,Skills!I9/Skills!H9,1)+IF(Skills!H9&gt;0,MIN(Skills!I9,MAX(0,MAX(0,Inputs!$B$44-B281)-((R254-1)*IF(Inputs!$B$39="pvp",15,MAX(0.1,Skills!D9-IF(Skills!E9=TRUE,Inputs!$B$33,0))))))/Skills!H9,1)))/Inputs!$B$44),G254*Q254))*IF(Inputs!$B$39="pvp",1,(1+(Inputs!$B$22+Skills!Q9+((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MIN(Skills!R9,Inputs!$B$38))),0)</f>
        <v/>
      </c>
    </row>
    <row r="255">
      <c r="A255">
        <f>Skills!A10</f>
        <v/>
      </c>
      <c r="B255">
        <f>Skills!B10</f>
        <v/>
      </c>
      <c r="C255">
        <f>Inputs!$B$3&gt;=110</f>
        <v/>
      </c>
      <c r="D255">
        <f>IF(Skills!C10=1,60+Inputs!$B$26+Inputs!$B$30,IF(Skills!C10=2,90+Inputs!$B$27+Inputs!$B$30,IF(Skills!C10=3,120+Inputs!$B$28+Inputs!$B$30,MAX(0,(Inputs!$B$3-100)*3)+Inputs!$B$29+Inputs!$B$30)))</f>
        <v/>
      </c>
      <c r="E255">
        <f>INDEX(FactorTable!$B$2:$Y$301, MATCH(ROUND(MIN(300,MAX(1,D255)),0), FactorTable!$A$2:$A$301,0), Skills!M10+1)</f>
        <v/>
      </c>
      <c r="F255">
        <f>IF(Skills!N10=TRUE,(Skills!L10/10)*(E255/1000),Skills!L10/10)+Skills!O10</f>
        <v/>
      </c>
      <c r="G255">
        <f>Skills!G10*IF(Skills!H10&gt;0,Skills!I10/Skills!H10,1)</f>
        <v/>
      </c>
      <c r="H255">
        <f>1-(1-Skills!J10/100)^Skills!K10</f>
        <v/>
      </c>
      <c r="I255" t="inlineStr">
        <is>
          <t>1</t>
        </is>
      </c>
      <c r="J255">
        <f>((Inputs!$B$6*(1+Inputs!$B$7/100))+(((Inputs!$B$13*(1+Inputs!$B$14/100))-(Inputs!$B$13*(1+Inputs!$B$14/100)))+0.25*(Inputs!$B$15-Inputs!$B$15))*(1+Inputs!$B$7/100))*(F255/100)</f>
        <v/>
      </c>
      <c r="K255">
        <f>J255*(1+(((Inputs!$B$13+IF(Inputs!$B$3&gt;=38,(10*INDEX(FactorTable!$B$2:$Y$301, MATCH(ROUND(MIN(300,MAX(1,Inputs!$B$3)),0), FactorTable!$A$2:$A$301,0), 23)/1000)/100*(Inputs!$B$8*(1+Inputs!$B$9/100)),0))*(1+Inputs!$B$14/100))*0.01+Inputs!$B$15*0.0025)/100)*(1+(Inputs!$B$16+1)/100)*(1+Inputs!$B$17/100)*(5000/(6000+Inputs!$B$43*(1-(Inputs!$B$20+0)/100)))*(1+(Inputs!$B$25+((C270=TRUE)*(F270-Calc!F25))+((C271=TRUE)*(F271-Calc!F26))+B280)/100)*(1+(IF(Skills!A10="DARK_IMPALE",Inputs!$B$18+0,Inputs!$B$19+((C268=TRUE)*(F268-Calc!F23))))/100)*((1+(((C258=TRUE)*F258*IF(AND(Inputs!$B$39&lt;&gt;"pvp",Inputs!$B$44&gt;0),(((R258-1)*(Skills!T13*(1+Inputs!$B$35/100))+MIN((Skills!T13*(1+Inputs!$B$35/100)),MAX(0,Inputs!$B$44-((R258-1)*Skills!D13))))/Inputs!$B$44),IF(Inputs!$B$39="pvp",MIN((Skills!T13*(1+Inputs!$B$35/100)),15)/15,(Skills!T13*(1+Inputs!$B$35/100))/Skills!D13)))+((C259=TRUE)*F259*IF(AND(Inputs!$B$39&lt;&gt;"pvp",Inputs!$B$44&gt;0),(((R259-1)*(Skills!T14*(1+Inputs!$B$35/100))+MIN((Skills!T14*(1+Inputs!$B$35/100)),MAX(0,Inputs!$B$44-((R259-1)*Skills!D14))))/Inputs!$B$44),IF(Inputs!$B$39="pvp",MIN((Skills!T14*(1+Inputs!$B$35/100)),15)/15,(Skills!T14*(1+Inputs!$B$35/100))/Skills!D14)))+((C260=TRUE)*F260*IF(AND(Inputs!$B$39&lt;&gt;"pvp",Inputs!$B$44&gt;0),(((R260-1)*(Skills!T15*(1+Inputs!$B$35/100))+MIN((Skills!T15*(1+Inputs!$B$35/100)),MAX(0,Inputs!$B$44-((R260-1)*Skills!D15))))/Inputs!$B$44),IF(Inputs!$B$39="pvp",MIN((Skills!T15*(1+Inputs!$B$35/100)),15)/15,(Skills!T15*(1+Inputs!$B$35/100))/Skills!D15)))+((C261=TRUE)*F261*IF(AND(Inputs!$B$39&lt;&gt;"pvp",Inputs!$B$44&gt;0),(((R261-1)*(Skills!T16*(1+Inputs!$B$35/100))+MIN((Skills!T16*(1+Inputs!$B$35/100)),MAX(0,Inputs!$B$44-((R261-1)*Skills!D16))))/Inputs!$B$44),IF(Inputs!$B$39="pvp",MIN((Skills!T16*(1+Inputs!$B$35/100)),15)/15,(Skills!T16*(1+Inputs!$B$35/100))/Skills!D16)))+0)/100)*I255)</f>
        <v/>
      </c>
      <c r="L255">
        <f>K255*(MIN(Inputs!$B$23+((C267=TRUE)*(F267-Calc!F22)),Inputs!$B$24+((C269=TRUE)*(F269-Calc!F24)))/100+(Inputs!$B$24+((C269=TRUE)*(F269-Calc!F24)))/100)/2</f>
        <v/>
      </c>
      <c r="M255">
        <f>L255*(1+(Inputs!$B$11+0+B279)/100)</f>
        <v/>
      </c>
      <c r="N255">
        <f>L255*(1-MIN((Inputs!$B$10+0+B274),100)/100)+M255*(MIN((Inputs!$B$10+0+B274),100)/100)</f>
        <v/>
      </c>
      <c r="O255">
        <f>(1-Summary!$B$55)*T255+Summary!$B$55*V255</f>
        <v/>
      </c>
      <c r="P255">
        <f>IF(B284=0,0,O255/B284)</f>
        <v/>
      </c>
      <c r="Q255">
        <f>IFERROR(1/IF(Inputs!$B$39="pvp",15,MAX(0.1,Skills!D10-IF(Skills!E10=TRUE,Inputs!$B$33,0))),0)</f>
        <v/>
      </c>
      <c r="R255">
        <f>IF(AND(Inputs!$B$39&lt;&gt;"pvp",Inputs!$B$44&gt;0),IF(MAX(0,Inputs!$B$44-B281)&lt;=0,0,(INT(MAX(0,Inputs!$B$44-B281)/IF(Inputs!$B$39="pvp",15,MAX(0.1,Skills!D10-IF(Skills!E10=TRUE,Inputs!$B$33,0))))+1)),0)</f>
        <v/>
      </c>
      <c r="S255">
        <f>IFERROR(O255/N255,0)</f>
        <v/>
      </c>
      <c r="T255">
        <f>IF(C255,(H255*N255*IF(AND(Inputs!$B$39&lt;&gt;"pvp",Inputs!$B$44&gt;0),((Skills!G10*((R255-1)*IF(Skills!H10&gt;0,Skills!I10/Skills!H10,1)+IF(Skills!H10&gt;0,MIN(Skills!I10,MAX(0,MAX(0,Inputs!$B$44-B281)-((R255-1)*IF(Inputs!$B$39="pvp",15,MAX(0.1,Skills!D10-IF(Skills!E10=TRUE,Inputs!$B$33,0))))))/Skills!H10,1)))/Inputs!$B$44),G255*Q255))*IF(Inputs!$B$39="pvp",1,1+(Inputs!$B$21+0+Skills!P10+((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0)</f>
        <v/>
      </c>
      <c r="V255">
        <f>IF(C255,(H255*N255*IF(AND(Inputs!$B$39&lt;&gt;"pvp",Inputs!$B$44&gt;0),((Skills!G10*((R255-1)*IF(Skills!H10&gt;0,Skills!I10/Skills!H10,1)+IF(Skills!H10&gt;0,MIN(Skills!I10,MAX(0,MAX(0,Inputs!$B$44-B281)-((R255-1)*IF(Inputs!$B$39="pvp",15,MAX(0.1,Skills!D10-IF(Skills!E10=TRUE,Inputs!$B$33,0))))))/Skills!H10,1)))/Inputs!$B$44),G255*Q255))*IF(Inputs!$B$39="pvp",1,(1+(Inputs!$B$22+Skills!Q10+((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MIN(Skills!R10,Inputs!$B$38))),0)</f>
        <v/>
      </c>
    </row>
    <row r="256">
      <c r="A256">
        <f>Skills!A11</f>
        <v/>
      </c>
      <c r="B256">
        <f>Skills!B11</f>
        <v/>
      </c>
      <c r="C256">
        <f>Inputs!$B$3&gt;=100</f>
        <v/>
      </c>
      <c r="D256">
        <f>IF(Skills!C11=1,60+Inputs!$B$26+Inputs!$B$30,IF(Skills!C11=2,90+Inputs!$B$27+Inputs!$B$30,IF(Skills!C11=3,120+Inputs!$B$28+Inputs!$B$30,MAX(0,(Inputs!$B$3-100)*3)+Inputs!$B$29+Inputs!$B$30)))</f>
        <v/>
      </c>
      <c r="E256">
        <f>INDEX(FactorTable!$B$2:$Y$301, MATCH(ROUND(MIN(300,MAX(1,D256)),0), FactorTable!$A$2:$A$301,0), Skills!M11+1)</f>
        <v/>
      </c>
      <c r="F256">
        <f>IF(Skills!N11=TRUE,(Skills!L11/10)*(E256/1000),Skills!L11/10)+Skills!O11</f>
        <v/>
      </c>
      <c r="G256" t="inlineStr"/>
      <c r="H256" t="inlineStr"/>
      <c r="I256" t="inlineStr">
        <is>
          <t>1</t>
        </is>
      </c>
      <c r="J256" t="inlineStr"/>
      <c r="K256" t="inlineStr"/>
      <c r="L256" t="inlineStr"/>
      <c r="M256" t="inlineStr"/>
      <c r="N256" t="inlineStr"/>
      <c r="O256" t="inlineStr"/>
      <c r="P256" t="inlineStr"/>
      <c r="Q256" t="inlineStr"/>
      <c r="R256" t="inlineStr"/>
      <c r="S256" t="inlineStr"/>
    </row>
    <row r="257">
      <c r="A257">
        <f>Skills!A12</f>
        <v/>
      </c>
      <c r="B257">
        <f>Skills!B12</f>
        <v/>
      </c>
      <c r="C257">
        <f>Inputs!$B$3&gt;=63</f>
        <v/>
      </c>
      <c r="D257">
        <f>IF(Skills!C12=1,60+Inputs!$B$26+Inputs!$B$30,IF(Skills!C12=2,90+Inputs!$B$27+Inputs!$B$30,IF(Skills!C12=3,120+Inputs!$B$28+Inputs!$B$30,MAX(0,(Inputs!$B$3-100)*3)+Inputs!$B$29+Inputs!$B$30)))</f>
        <v/>
      </c>
      <c r="E257">
        <f>INDEX(FactorTable!$B$2:$Y$301, MATCH(ROUND(MIN(300,MAX(1,D257)),0), FactorTable!$A$2:$A$301,0), Skills!M12+1)</f>
        <v/>
      </c>
      <c r="F257">
        <f>IF(Skills!N12=TRUE,(Skills!L12/10)*(E257/1000),Skills!L12/10)+Skills!O12</f>
        <v/>
      </c>
      <c r="G257">
        <f>Skills!G12*IF(Skills!H12&gt;0,Skills!I12/Skills!H12,1)</f>
        <v/>
      </c>
      <c r="H257">
        <f>1-(1-Skills!J12/100)^Skills!K12</f>
        <v/>
      </c>
      <c r="I257" t="inlineStr">
        <is>
          <t>1</t>
        </is>
      </c>
      <c r="J257">
        <f>((Inputs!$B$6*(1+Inputs!$B$7/100))+(((Inputs!$B$13*(1+Inputs!$B$14/100))-(Inputs!$B$13*(1+Inputs!$B$14/100)))+0.25*(Inputs!$B$15-Inputs!$B$15))*(1+Inputs!$B$7/100))*(F257/100)</f>
        <v/>
      </c>
      <c r="K257">
        <f>J257*(1+(((Inputs!$B$13+IF(Inputs!$B$3&gt;=38,(10*INDEX(FactorTable!$B$2:$Y$301, MATCH(ROUND(MIN(300,MAX(1,Inputs!$B$3)),0), FactorTable!$A$2:$A$301,0), 23)/1000)/100*(Inputs!$B$8*(1+Inputs!$B$9/100)),0))*(1+Inputs!$B$14/100))*0.01+Inputs!$B$15*0.0025)/100)*(1+(Inputs!$B$16+1)/100)*(1+Inputs!$B$17/100)*(5000/(6000+Inputs!$B$43*(1-(Inputs!$B$20+0)/100)))*(1+(Inputs!$B$25+((C270=TRUE)*(F270-Calc!F25))+((C271=TRUE)*(F271-Calc!F26))+B280)/100)*(1+0.75*IF(C256=TRUE,F256,0)/100)*(1+(IF(Skills!A12="DARK_IMPALE",Inputs!$B$18+0,Inputs!$B$19+((C268=TRUE)*(F268-Calc!F23))))/100)*((1+(((C258=TRUE)*F258*IF(AND(Inputs!$B$39&lt;&gt;"pvp",Inputs!$B$44&gt;0),(((R258-1)*(Skills!T13*(1+Inputs!$B$35/100))+MIN((Skills!T13*(1+Inputs!$B$35/100)),MAX(0,Inputs!$B$44-((R258-1)*Skills!D13))))/Inputs!$B$44),IF(Inputs!$B$39="pvp",MIN((Skills!T13*(1+Inputs!$B$35/100)),15)/15,(Skills!T13*(1+Inputs!$B$35/100))/Skills!D13)))+((C259=TRUE)*F259*IF(AND(Inputs!$B$39&lt;&gt;"pvp",Inputs!$B$44&gt;0),(((R259-1)*(Skills!T14*(1+Inputs!$B$35/100))+MIN((Skills!T14*(1+Inputs!$B$35/100)),MAX(0,Inputs!$B$44-((R259-1)*Skills!D14))))/Inputs!$B$44),IF(Inputs!$B$39="pvp",MIN((Skills!T14*(1+Inputs!$B$35/100)),15)/15,(Skills!T14*(1+Inputs!$B$35/100))/Skills!D14)))+((C260=TRUE)*F260*IF(AND(Inputs!$B$39&lt;&gt;"pvp",Inputs!$B$44&gt;0),(((R260-1)*(Skills!T15*(1+Inputs!$B$35/100))+MIN((Skills!T15*(1+Inputs!$B$35/100)),MAX(0,Inputs!$B$44-((R260-1)*Skills!D15))))/Inputs!$B$44),IF(Inputs!$B$39="pvp",MIN((Skills!T15*(1+Inputs!$B$35/100)),15)/15,(Skills!T15*(1+Inputs!$B$35/100))/Skills!D15)))+((C261=TRUE)*F261*IF(AND(Inputs!$B$39&lt;&gt;"pvp",Inputs!$B$44&gt;0),(((R261-1)*(Skills!T16*(1+Inputs!$B$35/100))+MIN((Skills!T16*(1+Inputs!$B$35/100)),MAX(0,Inputs!$B$44-((R261-1)*Skills!D16))))/Inputs!$B$44),IF(Inputs!$B$39="pvp",MIN((Skills!T16*(1+Inputs!$B$35/100)),15)/15,(Skills!T16*(1+Inputs!$B$35/100))/Skills!D16)))+0)/100)*I257)</f>
        <v/>
      </c>
      <c r="L257">
        <f>K257*(MIN(Inputs!$B$23+((C267=TRUE)*(F267-Calc!F22)),Inputs!$B$24+((C269=TRUE)*(F269-Calc!F24)))/100+(Inputs!$B$24+((C269=TRUE)*(F269-Calc!F24)))/100)/2</f>
        <v/>
      </c>
      <c r="M257">
        <f>L257*(1+(Inputs!$B$11+0+B279)/100)</f>
        <v/>
      </c>
      <c r="N257">
        <f>L257*(1-MIN((Inputs!$B$10+0+B274),100)/100)+M257*(MIN((Inputs!$B$10+0+B274),100)/100)</f>
        <v/>
      </c>
      <c r="O257">
        <f>(1-Summary!$B$55)*T257+Summary!$B$55*V257</f>
        <v/>
      </c>
      <c r="P257">
        <f>IF(B284=0,0,O257/B284)</f>
        <v/>
      </c>
      <c r="Q257">
        <f>IFERROR(1/IF(Inputs!$B$39="pvp",15,MAX(0.1,Skills!D12-IF(Skills!E12=TRUE,Inputs!$B$33,0))),0)</f>
        <v/>
      </c>
      <c r="R257">
        <f>IF(AND(Inputs!$B$39&lt;&gt;"pvp",Inputs!$B$44&gt;0),IF(MAX(0,Inputs!$B$44-B281)&lt;=0,0,(INT(MAX(0,Inputs!$B$44-B281)/IF(Inputs!$B$39="pvp",15,MAX(0.1,Skills!D12-IF(Skills!E12=TRUE,Inputs!$B$33,0))))+1)),0)</f>
        <v/>
      </c>
      <c r="S257">
        <f>IFERROR(O257/N257,0)</f>
        <v/>
      </c>
      <c r="T257">
        <f>IF(C257,(H257*N257*IF(AND(Inputs!$B$39&lt;&gt;"pvp",Inputs!$B$44&gt;0),((Skills!G12*((R257-1)*IF(Skills!H12&gt;0,Skills!I12/Skills!H12,1)+IF(Skills!H12&gt;0,MIN(Skills!I12,MAX(0,MAX(0,Inputs!$B$44-B281)-((R257-1)*IF(Inputs!$B$39="pvp",15,MAX(0.1,Skills!D12-IF(Skills!E12=TRUE,Inputs!$B$33,0))))))/Skills!H12,1)))/Inputs!$B$44),G257*Q257))*IF(Inputs!$B$39="pvp",1,1+(Inputs!$B$21+0+Skills!P12+((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0)</f>
        <v/>
      </c>
      <c r="V257">
        <f>IF(C257,(H257*N257*IF(AND(Inputs!$B$39&lt;&gt;"pvp",Inputs!$B$44&gt;0),((Skills!G12*((R257-1)*IF(Skills!H12&gt;0,Skills!I12/Skills!H12,1)+IF(Skills!H12&gt;0,MIN(Skills!I12,MAX(0,MAX(0,Inputs!$B$44-B281)-((R257-1)*IF(Inputs!$B$39="pvp",15,MAX(0.1,Skills!D12-IF(Skills!E12=TRUE,Inputs!$B$33,0))))))/Skills!H12,1)))/Inputs!$B$44),G257*Q257))*IF(Inputs!$B$39="pvp",1,(1+(Inputs!$B$22+Skills!Q12+((C262=TRUE)*F262*IF(AND(Inputs!$B$39&lt;&gt;"pvp",Inputs!$B$44&gt;0),(((R262-1)*(Skills!T17*(1+Inputs!$B$35/100))+MIN((Skills!T17*(1+Inputs!$B$35/100)),MAX(0,Inputs!$B$44-((R262-1)*Skills!D17))))/Inputs!$B$44),IF(Inputs!$B$39="pvp",MIN((Skills!T17*(1+Inputs!$B$35/100)),15)/15,(Skills!T17*(1+Inputs!$B$35/100))/Skills!D17)))+((C259=TRUE)*IF(Inputs!$B$39="pvp",20,(1-Summary!$B$55)*(20)+Summary!$B$55*(0))*IF(AND(Inputs!$B$39&lt;&gt;"pvp",Inputs!$B$44&gt;0),(((R259-1)*(Skills!T14*(1+Inputs!$B$35/100))+MIN((Skills!T14*(1+Inputs!$B$35/100)),MAX(0,Inputs!$B$44-((R259-1)*Skills!D14))))/Inputs!$B$44),IF(Inputs!$B$39="pvp",MIN((Skills!T14*(1+Inputs!$B$35/100)),15)/15,(Skills!T14*(1+Inputs!$B$35/100))/Skills!D14))))/100)*(MIN(Skills!R12,Inputs!$B$38))),0)</f>
        <v/>
      </c>
    </row>
    <row r="258">
      <c r="A258">
        <f>Skills!A13</f>
        <v/>
      </c>
      <c r="B258">
        <f>Skills!B13</f>
        <v/>
      </c>
      <c r="C258">
        <f>Inputs!$B$3&gt;=69</f>
        <v/>
      </c>
      <c r="D258">
        <f>IF(Skills!C13=1,60+Inputs!$B$26+Inputs!$B$30,IF(Skills!C13=2,90+Inputs!$B$27+Inputs!$B$30,IF(Skills!C13=3,120+Inputs!$B$28+Inputs!$B$30,MAX(0,(Inputs!$B$3-100)*3)+Inputs!$B$29+Inputs!$B$30)))</f>
        <v/>
      </c>
      <c r="E258">
        <f>INDEX(FactorTable!$B$2:$Y$301, MATCH(ROUND(MIN(300,MAX(1,D258)),0), FactorTable!$A$2:$A$301,0), Skills!M13+1)</f>
        <v/>
      </c>
      <c r="F258">
        <f>IF(Skills!N13=TRUE,(Skills!L13/10)*(E258/1000),Skills!L13/10)+Skills!O13</f>
        <v/>
      </c>
      <c r="G258">
        <f>Skills!G13*IF(Skills!H13&gt;0,Skills!I13/Skills!H13,1)</f>
        <v/>
      </c>
      <c r="H258">
        <f>1-(1-Skills!J13/100)^Skills!K13</f>
        <v/>
      </c>
      <c r="I258" t="inlineStr">
        <is>
          <t>1</t>
        </is>
      </c>
      <c r="J258" t="inlineStr"/>
      <c r="K258" t="inlineStr"/>
      <c r="L258" t="inlineStr"/>
      <c r="M258" t="inlineStr"/>
      <c r="N258" t="inlineStr"/>
      <c r="O258">
        <f>(1-Summary!$B$55)*T258+Summary!$B$55*V258</f>
        <v/>
      </c>
      <c r="P258">
        <f>IF(B284=0,0,O258/B284)</f>
        <v/>
      </c>
      <c r="Q258">
        <f>IFERROR(1/IF(Inputs!$B$39="pvp",15,MAX(0.1,Skills!D13-IF(Skills!E13=TRUE,Inputs!$B$33,0))),0)</f>
        <v/>
      </c>
      <c r="R258">
        <f>IF(AND(Inputs!$B$39&lt;&gt;"pvp",Inputs!$B$44&gt;0),IF(Inputs!$B$44&lt;=0,0,(INT(Inputs!$B$44/IF(Inputs!$B$39="pvp",15,MAX(0.1,Skills!D13-IF(Skills!E13=TRUE,Inputs!$B$33,0))))+1)),0)</f>
        <v/>
      </c>
      <c r="S258">
        <f>IFERROR(O258/N258,0)</f>
        <v/>
      </c>
      <c r="T258" t="n">
        <v>0</v>
      </c>
      <c r="V258" t="n">
        <v>0</v>
      </c>
    </row>
    <row r="259">
      <c r="A259">
        <f>Skills!A14</f>
        <v/>
      </c>
      <c r="B259">
        <f>Skills!B14</f>
        <v/>
      </c>
      <c r="C259">
        <f>Inputs!$B$3&gt;=115</f>
        <v/>
      </c>
      <c r="D259">
        <f>IF(Skills!C14=1,60+Inputs!$B$26+Inputs!$B$30,IF(Skills!C14=2,90+Inputs!$B$27+Inputs!$B$30,IF(Skills!C14=3,120+Inputs!$B$28+Inputs!$B$30,MAX(0,(Inputs!$B$3-100)*3)+Inputs!$B$29+Inputs!$B$30)))</f>
        <v/>
      </c>
      <c r="E259">
        <f>INDEX(FactorTable!$B$2:$Y$301, MATCH(ROUND(MIN(300,MAX(1,D259)),0), FactorTable!$A$2:$A$301,0), Skills!M14+1)</f>
        <v/>
      </c>
      <c r="F259">
        <f>IF(Skills!N14=TRUE,(Skills!L14/10)*(E259/1000),Skills!L14/10)+Skills!O14</f>
        <v/>
      </c>
      <c r="G259">
        <f>Skills!G14*IF(Skills!H14&gt;0,Skills!I14/Skills!H14,1)</f>
        <v/>
      </c>
      <c r="H259">
        <f>1-(1-Skills!J14/100)^Skills!K14</f>
        <v/>
      </c>
      <c r="I259" t="inlineStr">
        <is>
          <t>1</t>
        </is>
      </c>
      <c r="J259" t="inlineStr"/>
      <c r="K259" t="inlineStr"/>
      <c r="L259" t="inlineStr"/>
      <c r="M259" t="inlineStr"/>
      <c r="N259" t="inlineStr"/>
      <c r="O259">
        <f>(1-Summary!$B$55)*T259+Summary!$B$55*V259</f>
        <v/>
      </c>
      <c r="P259">
        <f>IF(B284=0,0,O259/B284)</f>
        <v/>
      </c>
      <c r="Q259">
        <f>IFERROR(1/IF(Inputs!$B$39="pvp",15,MAX(0.1,Skills!D14-IF(Skills!E14=TRUE,Inputs!$B$33,0))),0)</f>
        <v/>
      </c>
      <c r="R259">
        <f>IF(AND(Inputs!$B$39&lt;&gt;"pvp",Inputs!$B$44&gt;0),IF(Inputs!$B$44&lt;=0,0,(INT(Inputs!$B$44/IF(Inputs!$B$39="pvp",15,MAX(0.1,Skills!D14-IF(Skills!E14=TRUE,Inputs!$B$33,0))))+1)),0)</f>
        <v/>
      </c>
      <c r="S259">
        <f>IFERROR(O259/N259,0)</f>
        <v/>
      </c>
      <c r="T259" t="n">
        <v>0</v>
      </c>
      <c r="V259" t="n">
        <v>0</v>
      </c>
    </row>
    <row r="260">
      <c r="A260">
        <f>Skills!A15</f>
        <v/>
      </c>
      <c r="B260">
        <f>Skills!B15</f>
        <v/>
      </c>
      <c r="C260">
        <f>Inputs!$B$3&gt;=66</f>
        <v/>
      </c>
      <c r="D260">
        <f>IF(Skills!C15=1,60+Inputs!$B$26+Inputs!$B$30,IF(Skills!C15=2,90+Inputs!$B$27+Inputs!$B$30,IF(Skills!C15=3,120+Inputs!$B$28+Inputs!$B$30,MAX(0,(Inputs!$B$3-100)*3)+Inputs!$B$29+Inputs!$B$30)))</f>
        <v/>
      </c>
      <c r="E260">
        <f>INDEX(FactorTable!$B$2:$Y$301, MATCH(ROUND(MIN(300,MAX(1,D260)),0), FactorTable!$A$2:$A$301,0), Skills!M15+1)</f>
        <v/>
      </c>
      <c r="F260">
        <f>IF(Skills!N15=TRUE,(Skills!L15/10)*(E260/1000),Skills!L15/10)+Skills!O15</f>
        <v/>
      </c>
      <c r="G260">
        <f>Skills!G15*IF(Skills!H15&gt;0,Skills!I15/Skills!H15,1)</f>
        <v/>
      </c>
      <c r="H260">
        <f>1-(1-Skills!J15/100)^Skills!K15</f>
        <v/>
      </c>
      <c r="I260" t="inlineStr">
        <is>
          <t>1</t>
        </is>
      </c>
      <c r="J260" t="inlineStr"/>
      <c r="K260" t="inlineStr"/>
      <c r="L260" t="inlineStr"/>
      <c r="M260" t="inlineStr"/>
      <c r="N260" t="inlineStr"/>
      <c r="O260">
        <f>(1-Summary!$B$55)*T260+Summary!$B$55*V260</f>
        <v/>
      </c>
      <c r="P260">
        <f>IF(B284=0,0,O260/B284)</f>
        <v/>
      </c>
      <c r="Q260">
        <f>IFERROR(1/IF(Inputs!$B$39="pvp",15,MAX(0.1,Skills!D15-IF(Skills!E15=TRUE,Inputs!$B$33,0))),0)</f>
        <v/>
      </c>
      <c r="R260">
        <f>IF(AND(Inputs!$B$39&lt;&gt;"pvp",Inputs!$B$44&gt;0),IF(Inputs!$B$44&lt;=0,0,(INT(Inputs!$B$44/IF(Inputs!$B$39="pvp",15,MAX(0.1,Skills!D15-IF(Skills!E15=TRUE,Inputs!$B$33,0))))+1)),0)</f>
        <v/>
      </c>
      <c r="S260">
        <f>IFERROR(O260/N260,0)</f>
        <v/>
      </c>
      <c r="T260" t="n">
        <v>0</v>
      </c>
      <c r="V260" t="n">
        <v>0</v>
      </c>
    </row>
    <row r="261">
      <c r="A261">
        <f>Skills!A16</f>
        <v/>
      </c>
      <c r="B261">
        <f>Skills!B16</f>
        <v/>
      </c>
      <c r="C261">
        <f>Inputs!$B$3&gt;=45</f>
        <v/>
      </c>
      <c r="D261">
        <f>IF(Skills!C16=1,60+Inputs!$B$26+Inputs!$B$30,IF(Skills!C16=2,90+Inputs!$B$27+Inputs!$B$30,IF(Skills!C16=3,120+Inputs!$B$28+Inputs!$B$30,MAX(0,(Inputs!$B$3-100)*3)+Inputs!$B$29+Inputs!$B$30)))</f>
        <v/>
      </c>
      <c r="E261">
        <f>INDEX(FactorTable!$B$2:$Y$301, MATCH(ROUND(MIN(300,MAX(1,D261)),0), FactorTable!$A$2:$A$301,0), Skills!M16+1)</f>
        <v/>
      </c>
      <c r="F261">
        <f>IF(Skills!N16=TRUE,(Skills!L16/10)*(E261/1000),Skills!L16/10)+Skills!O16</f>
        <v/>
      </c>
      <c r="G261">
        <f>Skills!G16*IF(Skills!H16&gt;0,Skills!I16/Skills!H16,1)</f>
        <v/>
      </c>
      <c r="H261">
        <f>1-(1-Skills!J16/100)^Skills!K16</f>
        <v/>
      </c>
      <c r="I261" t="inlineStr">
        <is>
          <t>1</t>
        </is>
      </c>
      <c r="J261" t="inlineStr"/>
      <c r="K261" t="inlineStr"/>
      <c r="L261" t="inlineStr"/>
      <c r="M261" t="inlineStr"/>
      <c r="N261" t="inlineStr"/>
      <c r="O261">
        <f>(1-Summary!$B$55)*T261+Summary!$B$55*V261</f>
        <v/>
      </c>
      <c r="P261">
        <f>IF(B284=0,0,O261/B284)</f>
        <v/>
      </c>
      <c r="Q261">
        <f>IFERROR(1/IF(Inputs!$B$39="pvp",15,MAX(0.1,Skills!D16-IF(Skills!E16=TRUE,Inputs!$B$33,0))),0)</f>
        <v/>
      </c>
      <c r="R261">
        <f>IF(AND(Inputs!$B$39&lt;&gt;"pvp",Inputs!$B$44&gt;0),IF(Inputs!$B$44&lt;=0,0,(INT(Inputs!$B$44/IF(Inputs!$B$39="pvp",15,MAX(0.1,Skills!D16-IF(Skills!E16=TRUE,Inputs!$B$33,0))))+1)),0)</f>
        <v/>
      </c>
      <c r="S261">
        <f>IFERROR(O261/N261,0)</f>
        <v/>
      </c>
      <c r="T261" t="n">
        <v>0</v>
      </c>
      <c r="V261" t="n">
        <v>0</v>
      </c>
    </row>
    <row r="262">
      <c r="A262">
        <f>Skills!A17</f>
        <v/>
      </c>
      <c r="B262">
        <f>Skills!B17</f>
        <v/>
      </c>
      <c r="C262">
        <f>Inputs!$B$3&gt;=35</f>
        <v/>
      </c>
      <c r="D262">
        <f>IF(Skills!C17=1,60+Inputs!$B$26+Inputs!$B$30,IF(Skills!C17=2,90+Inputs!$B$27+Inputs!$B$30,IF(Skills!C17=3,120+Inputs!$B$28+Inputs!$B$30,MAX(0,(Inputs!$B$3-100)*3)+Inputs!$B$29+Inputs!$B$30)))</f>
        <v/>
      </c>
      <c r="E262">
        <f>INDEX(FactorTable!$B$2:$Y$301, MATCH(ROUND(MIN(300,MAX(1,D262)),0), FactorTable!$A$2:$A$301,0), Skills!M17+1)</f>
        <v/>
      </c>
      <c r="F262">
        <f>IF(Skills!N17=TRUE,(Skills!L17/10)*(E262/1000),Skills!L17/10)+Skills!O17</f>
        <v/>
      </c>
      <c r="G262">
        <f>Skills!G17*IF(Skills!H17&gt;0,Skills!I17/Skills!H17,1)</f>
        <v/>
      </c>
      <c r="H262">
        <f>1-(1-Skills!J17/100)^Skills!K17</f>
        <v/>
      </c>
      <c r="I262" t="inlineStr">
        <is>
          <t>1</t>
        </is>
      </c>
      <c r="J262" t="inlineStr"/>
      <c r="K262" t="inlineStr"/>
      <c r="L262" t="inlineStr"/>
      <c r="M262" t="inlineStr"/>
      <c r="N262" t="inlineStr"/>
      <c r="O262">
        <f>(1-Summary!$B$55)*T262+Summary!$B$55*V262</f>
        <v/>
      </c>
      <c r="P262">
        <f>IF(B284=0,0,O262/B284)</f>
        <v/>
      </c>
      <c r="Q262">
        <f>IFERROR(1/IF(Inputs!$B$39="pvp",15,MAX(0.1,Skills!D17-IF(Skills!E17=TRUE,Inputs!$B$33,0))),0)</f>
        <v/>
      </c>
      <c r="R262">
        <f>IF(AND(Inputs!$B$39&lt;&gt;"pvp",Inputs!$B$44&gt;0),IF(Inputs!$B$44&lt;=0,0,(INT(Inputs!$B$44/IF(Inputs!$B$39="pvp",15,MAX(0.1,Skills!D17-IF(Skills!E17=TRUE,Inputs!$B$33,0))))+1)),0)</f>
        <v/>
      </c>
      <c r="S262">
        <f>IFERROR(O262/N262,0)</f>
        <v/>
      </c>
      <c r="T262" t="n">
        <v>0</v>
      </c>
      <c r="V262" t="n">
        <v>0</v>
      </c>
    </row>
    <row r="263">
      <c r="A263">
        <f>Skills!A18</f>
        <v/>
      </c>
      <c r="B263">
        <f>Skills!B18</f>
        <v/>
      </c>
      <c r="C263">
        <f>Inputs!$B$3&gt;=72</f>
        <v/>
      </c>
      <c r="D263">
        <f>IF(Skills!C18=1,60+Inputs!$B$26+Inputs!$B$30,IF(Skills!C18=2,90+Inputs!$B$27+Inputs!$B$30,IF(Skills!C18=3,120+Inputs!$B$28+Inputs!$B$30,MAX(0,(Inputs!$B$3-100)*3)+Inputs!$B$29+Inputs!$B$30)))</f>
        <v/>
      </c>
      <c r="E263">
        <f>INDEX(FactorTable!$B$2:$Y$301, MATCH(ROUND(MIN(300,MAX(1,D263)),0), FactorTable!$A$2:$A$301,0), Skills!M18+1)</f>
        <v/>
      </c>
      <c r="F263">
        <f>IF(Skills!N18=TRUE,(Skills!L18/10)*(E263/1000),Skills!L18/10)+Skills!O18</f>
        <v/>
      </c>
      <c r="G263">
        <f>Skills!G18*IF(Skills!H18&gt;0,Skills!I18/Skills!H18,1)</f>
        <v/>
      </c>
      <c r="H263">
        <f>1-(1-Skills!J18/100)^Skills!K18</f>
        <v/>
      </c>
      <c r="I263" t="inlineStr">
        <is>
          <t>1</t>
        </is>
      </c>
      <c r="J263" t="inlineStr"/>
      <c r="K263" t="inlineStr"/>
      <c r="L263" t="inlineStr"/>
      <c r="M263" t="inlineStr"/>
      <c r="N263" t="inlineStr"/>
      <c r="O263">
        <f>(1-Summary!$B$55)*T263+Summary!$B$55*V263</f>
        <v/>
      </c>
      <c r="P263">
        <f>IF(B284=0,0,O263/B284)</f>
        <v/>
      </c>
      <c r="Q263">
        <f>IFERROR(1/IF(Inputs!$B$39="pvp",15,MAX(0.1,Skills!D18-IF(Skills!E18=TRUE,Inputs!$B$33,0))),0)</f>
        <v/>
      </c>
      <c r="R263">
        <f>IF(AND(Inputs!$B$39&lt;&gt;"pvp",Inputs!$B$44&gt;0),IF(Inputs!$B$44&lt;=0,0,(INT(Inputs!$B$44/IF(Inputs!$B$39="pvp",15,MAX(0.1,Skills!D18-IF(Skills!E18=TRUE,Inputs!$B$33,0))))+1)),0)</f>
        <v/>
      </c>
      <c r="S263">
        <f>IFERROR(O263/N263,0)</f>
        <v/>
      </c>
      <c r="T263" t="n">
        <v>0</v>
      </c>
      <c r="V263" t="n">
        <v>0</v>
      </c>
    </row>
    <row r="264">
      <c r="A264">
        <f>Skills!A19</f>
        <v/>
      </c>
      <c r="B264">
        <f>Skills!B19</f>
        <v/>
      </c>
      <c r="C264">
        <f>Inputs!$B$3&gt;=72</f>
        <v/>
      </c>
      <c r="D264">
        <f>IF(Skills!C19=1,60+Inputs!$B$26+Inputs!$B$30,IF(Skills!C19=2,90+Inputs!$B$27+Inputs!$B$30,IF(Skills!C19=3,120+Inputs!$B$28+Inputs!$B$30,MAX(0,(Inputs!$B$3-100)*3)+Inputs!$B$29+Inputs!$B$30)))</f>
        <v/>
      </c>
      <c r="E264">
        <f>INDEX(FactorTable!$B$2:$Y$301, MATCH(ROUND(MIN(300,MAX(1,D264)),0), FactorTable!$A$2:$A$301,0), Skills!M19+1)</f>
        <v/>
      </c>
      <c r="F264">
        <f>IF(Skills!N19=TRUE,(Skills!L19/10)*(E264/1000),Skills!L19/10)+Skills!O19</f>
        <v/>
      </c>
      <c r="G264">
        <f>Skills!G19*IF(Skills!H19&gt;0,Skills!I19/Skills!H19,1)</f>
        <v/>
      </c>
      <c r="H264">
        <f>1-(1-Skills!J19/100)^Skills!K19</f>
        <v/>
      </c>
      <c r="I264" t="inlineStr">
        <is>
          <t>1</t>
        </is>
      </c>
      <c r="J264" t="inlineStr"/>
      <c r="K264" t="inlineStr"/>
      <c r="L264" t="inlineStr"/>
      <c r="M264" t="inlineStr"/>
      <c r="N264" t="inlineStr"/>
      <c r="O264">
        <f>(1-Summary!$B$55)*T264+Summary!$B$55*V264</f>
        <v/>
      </c>
      <c r="P264">
        <f>IF(B284=0,0,O264/B284)</f>
        <v/>
      </c>
      <c r="Q264">
        <f>IFERROR(1/IF(Inputs!$B$39="pvp",15,MAX(0.1,Skills!D19-IF(Skills!E19=TRUE,Inputs!$B$33,0))),0)</f>
        <v/>
      </c>
      <c r="R264">
        <f>IF(AND(Inputs!$B$39&lt;&gt;"pvp",Inputs!$B$44&gt;0),IF(Inputs!$B$44&lt;=0,0,(INT(Inputs!$B$44/IF(Inputs!$B$39="pvp",15,MAX(0.1,Skills!D19-IF(Skills!E19=TRUE,Inputs!$B$33,0))))+1)),0)</f>
        <v/>
      </c>
      <c r="S264">
        <f>IFERROR(O264/N264,0)</f>
        <v/>
      </c>
      <c r="T264" t="n">
        <v>0</v>
      </c>
      <c r="V264" t="n">
        <v>0</v>
      </c>
    </row>
    <row r="265">
      <c r="A265">
        <f>Skills!A20</f>
        <v/>
      </c>
      <c r="B265">
        <f>Skills!B20</f>
        <v/>
      </c>
      <c r="C265">
        <f>TRUE</f>
        <v/>
      </c>
      <c r="D265">
        <f>IF(Skills!C20=1,60+Inputs!$B$26+Inputs!$B$30,IF(Skills!C20=2,90+Inputs!$B$27+Inputs!$B$30,IF(Skills!C20=3,120+Inputs!$B$28+Inputs!$B$30,MAX(0,(Inputs!$B$3-100)*3)+Inputs!$B$29+Inputs!$B$30)))</f>
        <v/>
      </c>
      <c r="E265">
        <f>INDEX(FactorTable!$B$2:$Y$301, MATCH(ROUND(MIN(300,MAX(1,D265)),0), FactorTable!$A$2:$A$301,0), Skills!M20+1)</f>
        <v/>
      </c>
      <c r="F265">
        <f>IF(Skills!N20=TRUE,(Skills!L20/10)*(E265/1000),Skills!L20/10)+Skills!O20</f>
        <v/>
      </c>
      <c r="G265">
        <f>Skills!G20*IF(Skills!H20&gt;0,Skills!I20/Skills!H20,1)</f>
        <v/>
      </c>
      <c r="H265">
        <f>1-(1-Skills!J20/100)^Skills!K20</f>
        <v/>
      </c>
      <c r="I265" t="inlineStr">
        <is>
          <t>1</t>
        </is>
      </c>
      <c r="J265" t="inlineStr"/>
      <c r="K265" t="inlineStr"/>
      <c r="L265" t="inlineStr"/>
      <c r="M265" t="inlineStr"/>
      <c r="N265" t="inlineStr"/>
      <c r="O265">
        <f>(1-Summary!$B$55)*T265+Summary!$B$55*V265</f>
        <v/>
      </c>
      <c r="P265">
        <f>IF(B284=0,0,O265/B284)</f>
        <v/>
      </c>
      <c r="Q265">
        <f>IFERROR(1/IF(Inputs!$B$39="pvp",15,MAX(0.1,Skills!D20-IF(Skills!E20=TRUE,Inputs!$B$33,0))),0)</f>
        <v/>
      </c>
      <c r="R265">
        <f>IF(AND(Inputs!$B$39&lt;&gt;"pvp",Inputs!$B$44&gt;0),IF(Inputs!$B$44&lt;=0,0,(INT(Inputs!$B$44/IF(Inputs!$B$39="pvp",15,MAX(0.1,Skills!D20-IF(Skills!E20=TRUE,Inputs!$B$33,0))))+1)),0)</f>
        <v/>
      </c>
      <c r="S265">
        <f>IFERROR(O265/N265,0)</f>
        <v/>
      </c>
      <c r="T265" t="n">
        <v>0</v>
      </c>
      <c r="V265" t="n">
        <v>0</v>
      </c>
    </row>
    <row r="266">
      <c r="A266">
        <f>Skills!A21</f>
        <v/>
      </c>
      <c r="B266">
        <f>Skills!B21</f>
        <v/>
      </c>
      <c r="C266">
        <f>Inputs!$B$3&gt;=33</f>
        <v/>
      </c>
      <c r="D266">
        <f>IF(Skills!C21=1,60+Inputs!$B$26+Inputs!$B$30,IF(Skills!C21=2,90+Inputs!$B$27+Inputs!$B$30,IF(Skills!C21=3,120+Inputs!$B$28+Inputs!$B$30,MAX(0,(Inputs!$B$3-100)*3)+Inputs!$B$29+Inputs!$B$30)))</f>
        <v/>
      </c>
      <c r="E266">
        <f>INDEX(FactorTable!$B$2:$Y$301, MATCH(ROUND(MIN(300,MAX(1,D266)),0), FactorTable!$A$2:$A$301,0), Skills!M21+1)</f>
        <v/>
      </c>
      <c r="F266">
        <f>IF(Skills!N21=TRUE,(Skills!L21/10)*(E266/1000),Skills!L21/10)+Skills!O21</f>
        <v/>
      </c>
      <c r="G266">
        <f>Skills!G21*IF(Skills!H21&gt;0,Skills!I21/Skills!H21,1)</f>
        <v/>
      </c>
      <c r="H266">
        <f>1-(1-Skills!J21/100)^Skills!K21</f>
        <v/>
      </c>
      <c r="I266" t="inlineStr">
        <is>
          <t>1</t>
        </is>
      </c>
      <c r="J266" t="inlineStr"/>
      <c r="K266" t="inlineStr"/>
      <c r="L266" t="inlineStr"/>
      <c r="M266" t="inlineStr"/>
      <c r="N266" t="inlineStr"/>
      <c r="O266">
        <f>(1-Summary!$B$55)*T266+Summary!$B$55*V266</f>
        <v/>
      </c>
      <c r="P266">
        <f>IF(B284=0,0,O266/B284)</f>
        <v/>
      </c>
      <c r="Q266" t="n">
        <v>0</v>
      </c>
      <c r="R266" t="n">
        <v>0</v>
      </c>
      <c r="S266">
        <f>IFERROR(O266/N266,0)</f>
        <v/>
      </c>
      <c r="T266" t="n">
        <v>0</v>
      </c>
      <c r="V266" t="n">
        <v>0</v>
      </c>
    </row>
    <row r="267">
      <c r="A267">
        <f>Skills!A22</f>
        <v/>
      </c>
      <c r="B267">
        <f>Skills!B22</f>
        <v/>
      </c>
      <c r="C267">
        <f>Inputs!$B$3&gt;=43</f>
        <v/>
      </c>
      <c r="D267">
        <f>IF(Skills!C22=1,60+Inputs!$B$26+Inputs!$B$30,IF(Skills!C22=2,90+Inputs!$B$27+Inputs!$B$30,IF(Skills!C22=3,120+Inputs!$B$28+Inputs!$B$30,MAX(0,(Inputs!$B$3-100)*3)+Inputs!$B$29+Inputs!$B$30)))</f>
        <v/>
      </c>
      <c r="E267">
        <f>INDEX(FactorTable!$B$2:$Y$301, MATCH(ROUND(MIN(300,MAX(1,D267)),0), FactorTable!$A$2:$A$301,0), Skills!M22+1)</f>
        <v/>
      </c>
      <c r="F267">
        <f>IF(Skills!N22=TRUE,(Skills!L22/10)*(E267/1000),Skills!L22/10)+Skills!O22</f>
        <v/>
      </c>
      <c r="G267">
        <f>Skills!G22*IF(Skills!H22&gt;0,Skills!I22/Skills!H22,1)</f>
        <v/>
      </c>
      <c r="H267">
        <f>1-(1-Skills!J22/100)^Skills!K22</f>
        <v/>
      </c>
      <c r="I267" t="inlineStr">
        <is>
          <t>1</t>
        </is>
      </c>
      <c r="J267" t="inlineStr"/>
      <c r="K267" t="inlineStr"/>
      <c r="L267" t="inlineStr"/>
      <c r="M267" t="inlineStr"/>
      <c r="N267" t="inlineStr"/>
      <c r="O267">
        <f>(1-Summary!$B$55)*T267+Summary!$B$55*V267</f>
        <v/>
      </c>
      <c r="P267">
        <f>IF(B284=0,0,O267/B284)</f>
        <v/>
      </c>
      <c r="Q267" t="n">
        <v>0</v>
      </c>
      <c r="R267" t="n">
        <v>0</v>
      </c>
      <c r="S267">
        <f>IFERROR(O267/N267,0)</f>
        <v/>
      </c>
      <c r="T267" t="n">
        <v>0</v>
      </c>
      <c r="V267" t="n">
        <v>0</v>
      </c>
    </row>
    <row r="268">
      <c r="A268">
        <f>Skills!A23</f>
        <v/>
      </c>
      <c r="B268">
        <f>Skills!B23</f>
        <v/>
      </c>
      <c r="C268">
        <f>Inputs!$B$3&gt;=120</f>
        <v/>
      </c>
      <c r="D268">
        <f>IF(Skills!C23=1,60+Inputs!$B$26+Inputs!$B$30,IF(Skills!C23=2,90+Inputs!$B$27+Inputs!$B$30,IF(Skills!C23=3,120+Inputs!$B$28+Inputs!$B$30,MAX(0,(Inputs!$B$3-100)*3)+Inputs!$B$29+Inputs!$B$30)))</f>
        <v/>
      </c>
      <c r="E268">
        <f>INDEX(FactorTable!$B$2:$Y$301, MATCH(ROUND(MIN(300,MAX(1,D268)),0), FactorTable!$A$2:$A$301,0), Skills!M23+1)</f>
        <v/>
      </c>
      <c r="F268">
        <f>IF(Skills!N23=TRUE,(Skills!L23/10)*(E268/1000),Skills!L23/10)+Skills!O23</f>
        <v/>
      </c>
      <c r="G268">
        <f>Skills!G23*IF(Skills!H23&gt;0,Skills!I23/Skills!H23,1)</f>
        <v/>
      </c>
      <c r="H268">
        <f>1-(1-Skills!J23/100)^Skills!K23</f>
        <v/>
      </c>
      <c r="I268" t="inlineStr">
        <is>
          <t>1</t>
        </is>
      </c>
      <c r="J268" t="inlineStr"/>
      <c r="K268" t="inlineStr"/>
      <c r="L268" t="inlineStr"/>
      <c r="M268" t="inlineStr"/>
      <c r="N268" t="inlineStr"/>
      <c r="O268">
        <f>(1-Summary!$B$55)*T268+Summary!$B$55*V268</f>
        <v/>
      </c>
      <c r="P268">
        <f>IF(B284=0,0,O268/B284)</f>
        <v/>
      </c>
      <c r="Q268" t="n">
        <v>0</v>
      </c>
      <c r="R268" t="n">
        <v>0</v>
      </c>
      <c r="S268">
        <f>IFERROR(O268/N268,0)</f>
        <v/>
      </c>
      <c r="T268" t="n">
        <v>0</v>
      </c>
      <c r="V268" t="n">
        <v>0</v>
      </c>
    </row>
    <row r="269">
      <c r="A269">
        <f>Skills!A24</f>
        <v/>
      </c>
      <c r="B269">
        <f>Skills!B24</f>
        <v/>
      </c>
      <c r="C269">
        <f>Inputs!$B$3&gt;=120</f>
        <v/>
      </c>
      <c r="D269">
        <f>IF(Skills!C24=1,60+Inputs!$B$26+Inputs!$B$30,IF(Skills!C24=2,90+Inputs!$B$27+Inputs!$B$30,IF(Skills!C24=3,120+Inputs!$B$28+Inputs!$B$30,MAX(0,(Inputs!$B$3-100)*3)+Inputs!$B$29+Inputs!$B$30)))</f>
        <v/>
      </c>
      <c r="E269">
        <f>INDEX(FactorTable!$B$2:$Y$301, MATCH(ROUND(MIN(300,MAX(1,D269)),0), FactorTable!$A$2:$A$301,0), Skills!M24+1)</f>
        <v/>
      </c>
      <c r="F269">
        <f>IF(Skills!N24=TRUE,(Skills!L24/10)*(E269/1000),Skills!L24/10)+Skills!O24</f>
        <v/>
      </c>
      <c r="G269">
        <f>Skills!G24*IF(Skills!H24&gt;0,Skills!I24/Skills!H24,1)</f>
        <v/>
      </c>
      <c r="H269">
        <f>1-(1-Skills!J24/100)^Skills!K24</f>
        <v/>
      </c>
      <c r="I269" t="inlineStr">
        <is>
          <t>1</t>
        </is>
      </c>
      <c r="J269" t="inlineStr"/>
      <c r="K269" t="inlineStr"/>
      <c r="L269" t="inlineStr"/>
      <c r="M269" t="inlineStr"/>
      <c r="N269" t="inlineStr"/>
      <c r="O269">
        <f>(1-Summary!$B$55)*T269+Summary!$B$55*V269</f>
        <v/>
      </c>
      <c r="P269">
        <f>IF(B284=0,0,O269/B284)</f>
        <v/>
      </c>
      <c r="Q269" t="n">
        <v>0</v>
      </c>
      <c r="R269" t="n">
        <v>0</v>
      </c>
      <c r="S269">
        <f>IFERROR(O269/N269,0)</f>
        <v/>
      </c>
      <c r="T269" t="n">
        <v>0</v>
      </c>
      <c r="V269" t="n">
        <v>0</v>
      </c>
    </row>
    <row r="270">
      <c r="A270">
        <f>Skills!A25</f>
        <v/>
      </c>
      <c r="B270">
        <f>Skills!B25</f>
        <v/>
      </c>
      <c r="C270">
        <f>Inputs!$B$3&gt;=125</f>
        <v/>
      </c>
      <c r="D270">
        <f>IF(Skills!C25=1,60+Inputs!$B$26+Inputs!$B$30,IF(Skills!C25=2,90+Inputs!$B$27+Inputs!$B$30,IF(Skills!C25=3,120+Inputs!$B$28+Inputs!$B$30,MAX(0,(Inputs!$B$3-100)*3)+Inputs!$B$29+Inputs!$B$30)))</f>
        <v/>
      </c>
      <c r="E270">
        <f>INDEX(FactorTable!$B$2:$Y$301, MATCH(ROUND(MIN(300,MAX(1,D270)),0), FactorTable!$A$2:$A$301,0), Skills!M25+1)</f>
        <v/>
      </c>
      <c r="F270">
        <f>IF(Skills!N25=TRUE,(Skills!L25/10)*(E270/1000),Skills!L25/10)+Skills!O25</f>
        <v/>
      </c>
      <c r="G270">
        <f>Skills!G25*IF(Skills!H25&gt;0,Skills!I25/Skills!H25,1)</f>
        <v/>
      </c>
      <c r="H270">
        <f>1-(1-Skills!J25/100)^Skills!K25</f>
        <v/>
      </c>
      <c r="I270" t="inlineStr">
        <is>
          <t>1</t>
        </is>
      </c>
      <c r="J270" t="inlineStr"/>
      <c r="K270" t="inlineStr"/>
      <c r="L270" t="inlineStr"/>
      <c r="M270" t="inlineStr"/>
      <c r="N270" t="inlineStr"/>
      <c r="O270">
        <f>(1-Summary!$B$55)*T270+Summary!$B$55*V270</f>
        <v/>
      </c>
      <c r="P270">
        <f>IF(B284=0,0,O270/B284)</f>
        <v/>
      </c>
      <c r="Q270" t="n">
        <v>0</v>
      </c>
      <c r="R270" t="n">
        <v>0</v>
      </c>
      <c r="S270">
        <f>IFERROR(O270/N270,0)</f>
        <v/>
      </c>
      <c r="T270" t="n">
        <v>0</v>
      </c>
      <c r="V270" t="n">
        <v>0</v>
      </c>
    </row>
    <row r="271">
      <c r="A271">
        <f>Skills!A26</f>
        <v/>
      </c>
      <c r="B271">
        <f>Skills!B26</f>
        <v/>
      </c>
      <c r="C271">
        <f>Inputs!$B$3&gt;=107</f>
        <v/>
      </c>
      <c r="D271">
        <f>IF(Skills!C26=1,60+Inputs!$B$26+Inputs!$B$30,IF(Skills!C26=2,90+Inputs!$B$27+Inputs!$B$30,IF(Skills!C26=3,120+Inputs!$B$28+Inputs!$B$30,MAX(0,(Inputs!$B$3-100)*3)+Inputs!$B$29+Inputs!$B$30)))</f>
        <v/>
      </c>
      <c r="E271">
        <f>INDEX(FactorTable!$B$2:$Y$301, MATCH(ROUND(MIN(300,MAX(1,D271)),0), FactorTable!$A$2:$A$301,0), Skills!M26+1)</f>
        <v/>
      </c>
      <c r="F271">
        <f>IF(Skills!N26=TRUE,(Skills!L26/10)*(E271/1000),Skills!L26/10)+Skills!O26</f>
        <v/>
      </c>
      <c r="G271">
        <f>Skills!G26*IF(Skills!H26&gt;0,Skills!I26/Skills!H26,1)</f>
        <v/>
      </c>
      <c r="H271">
        <f>1-(1-Skills!J26/100)^Skills!K26</f>
        <v/>
      </c>
      <c r="I271" t="inlineStr">
        <is>
          <t>1</t>
        </is>
      </c>
      <c r="J271" t="inlineStr"/>
      <c r="K271" t="inlineStr"/>
      <c r="L271" t="inlineStr"/>
      <c r="M271" t="inlineStr"/>
      <c r="N271" t="inlineStr"/>
      <c r="O271">
        <f>(1-Summary!$B$55)*T271+Summary!$B$55*V271</f>
        <v/>
      </c>
      <c r="P271">
        <f>IF(B284=0,0,O271/B284)</f>
        <v/>
      </c>
      <c r="Q271" t="n">
        <v>0</v>
      </c>
      <c r="R271" t="n">
        <v>0</v>
      </c>
      <c r="S271">
        <f>IFERROR(O271/N271,0)</f>
        <v/>
      </c>
      <c r="T271" t="n">
        <v>0</v>
      </c>
      <c r="V271" t="n">
        <v>0</v>
      </c>
    </row>
    <row r="273">
      <c r="A273" t="inlineStr">
        <is>
          <t>Attack% Bucket Multiplier</t>
        </is>
      </c>
      <c r="B273">
        <f>(1+(((C258=TRUE)*F258*IF(AND(Inputs!$B$39&lt;&gt;"pvp",Inputs!$B$44&gt;0),(((R258-1)*(Skills!T13*(1+Inputs!$B$35/100))+MIN((Skills!T13*(1+Inputs!$B$35/100)),MAX(0,Inputs!$B$44-((R258-1)*Skills!D13))))/Inputs!$B$44),IF(Inputs!$B$39="pvp",MIN((Skills!T13*(1+Inputs!$B$35/100)),15)/15,(Skills!T13*(1+Inputs!$B$35/100))/Skills!D13)))+((C259=TRUE)*F259*IF(AND(Inputs!$B$39&lt;&gt;"pvp",Inputs!$B$44&gt;0),(((R259-1)*(Skills!T14*(1+Inputs!$B$35/100))+MIN((Skills!T14*(1+Inputs!$B$35/100)),MAX(0,Inputs!$B$44-((R259-1)*Skills!D14))))/Inputs!$B$44),IF(Inputs!$B$39="pvp",MIN((Skills!T14*(1+Inputs!$B$35/100)),15)/15,(Skills!T14*(1+Inputs!$B$35/100))/Skills!D14)))+((C260=TRUE)*F260*IF(AND(Inputs!$B$39&lt;&gt;"pvp",Inputs!$B$44&gt;0),(((R260-1)*(Skills!T15*(1+Inputs!$B$35/100))+MIN((Skills!T15*(1+Inputs!$B$35/100)),MAX(0,Inputs!$B$44-((R260-1)*Skills!D15))))/Inputs!$B$44),IF(Inputs!$B$39="pvp",MIN((Skills!T15*(1+Inputs!$B$35/100)),15)/15,(Skills!T15*(1+Inputs!$B$35/100))/Skills!D15)))+((C261=TRUE)*F261*IF(AND(Inputs!$B$39&lt;&gt;"pvp",Inputs!$B$44&gt;0),(((R261-1)*(Skills!T16*(1+Inputs!$B$35/100))+MIN((Skills!T16*(1+Inputs!$B$35/100)),MAX(0,Inputs!$B$44-((R261-1)*Skills!D16))))/Inputs!$B$44),IF(Inputs!$B$39="pvp",MIN((Skills!T16*(1+Inputs!$B$35/100)),15)/15,(Skills!T16*(1+Inputs!$B$35/100))/Skills!D16)))+0)/100)</f>
        <v/>
      </c>
    </row>
    <row r="274">
      <c r="A274" t="inlineStr">
        <is>
          <t>Global Crit Rate Bonus % (Lord of Darkness)</t>
        </is>
      </c>
      <c r="B274">
        <f>((C263=TRUE)*F263*(Skills!J18/100)*IF(AND(Inputs!$B$39&lt;&gt;"pvp",Inputs!$B$44&gt;0),(((R263-1)*(Skills!T18*(1+Inputs!$B$35/100))+MIN((Skills!T18*(1+Inputs!$B$35/100)),MAX(0,Inputs!$B$44-((R263-1)*Skills!D18))))/Inputs!$B$44),IF(Inputs!$B$39="pvp",MIN((Skills!T18*(1+Inputs!$B$35/100)),15)/15,(Skills!T18*(1+Inputs!$B$35/100))/Skills!D18)))</f>
        <v/>
      </c>
    </row>
    <row r="275">
      <c r="A275" t="inlineStr">
        <is>
          <t>Attack Speed Buff Bonus %</t>
        </is>
      </c>
      <c r="B275">
        <f>((C265=TRUE)*F265*IF(AND(Inputs!$B$39&lt;&gt;"pvp",Inputs!$B$44&gt;0),(((R265-1)*(Skills!T20*(1+Inputs!$B$35/100))+MIN((Skills!T20*(1+Inputs!$B$35/100)),MAX(0,Inputs!$B$44-((R265-1)*Skills!D20))))/Inputs!$B$44),IF(Inputs!$B$39="pvp",MIN((Skills!T20*(1+Inputs!$B$35/100)),15)/15,(Skills!T20*(1+Inputs!$B$35/100))/Skills!D20)))</f>
        <v/>
      </c>
    </row>
    <row r="276">
      <c r="A276" t="inlineStr">
        <is>
          <t>Actions Per Second</t>
        </is>
      </c>
      <c r="B276">
        <f>1+MIN(150,150*(1-(1-(Inputs!$B$12+((C266=TRUE)*(F266-Calc!F21)))/150)*(1-B275/150)))/100</f>
        <v/>
      </c>
    </row>
    <row r="277">
      <c r="A277" t="inlineStr">
        <is>
          <t>Skill + Buff Cast Rate</t>
        </is>
      </c>
      <c r="B277">
        <f>IF(AND(Inputs!$B$39&lt;&gt;"pvp",Inputs!$B$44&gt;0),SUMPRODUCT((Skills!E2:E26=TRUE)*(C247:C271=TRUE)*R247:R271*Skills!F2:F26)/Inputs!$B$44,SUMPRODUCT((Skills!E2:E26=TRUE)*(C247:C271=TRUE)*Q247:Q271*Skills!F2:F26))</f>
        <v/>
      </c>
    </row>
    <row r="278">
      <c r="A278" t="inlineStr">
        <is>
          <t>Dark Impale Casts Per Second</t>
        </is>
      </c>
      <c r="B278">
        <f>MAX(0,B276-B277)</f>
        <v/>
      </c>
    </row>
    <row r="279">
      <c r="A279" t="inlineStr">
        <is>
          <t>Global Critical Damage Bonus % (Lord of Darkness)</t>
        </is>
      </c>
      <c r="B279">
        <f>((C264=TRUE)*F264*(Skills!J19/100)*IF(AND(Inputs!$B$39&lt;&gt;"pvp",Inputs!$B$44&gt;0),(((R264-1)*(Skills!T19*(1+Inputs!$B$35/100))+MIN((Skills!T19*(1+Inputs!$B$35/100)),MAX(0,Inputs!$B$44-((R264-1)*Skills!D19))))/Inputs!$B$44),IF(Inputs!$B$39="pvp",MIN((Skills!T19*(1+Inputs!$B$35/100)),15)/15,(Skills!T19*(1+Inputs!$B$35/100))/Skills!D19)))</f>
        <v/>
      </c>
    </row>
    <row r="280">
      <c r="A280" t="inlineStr">
        <is>
          <t>Global Final Damage Bonus % (unused)</t>
        </is>
      </c>
      <c r="B280" t="n">
        <v>0</v>
      </c>
    </row>
    <row r="281">
      <c r="A281" t="inlineStr">
        <is>
          <t>Buff-Casting Startup Delay (s, fixed-duration only)</t>
        </is>
      </c>
      <c r="B281">
        <f>IF(AND(Inputs!$B$39&lt;&gt;"pvp",Inputs!$B$44&gt;0),SUMPRODUCT((Skills!T2:T26&gt;0)*(Skills!E2:E26=TRUE)*(C247:C271=TRUE))/B276,0)</f>
        <v/>
      </c>
    </row>
    <row r="282">
      <c r="A282" t="inlineStr">
        <is>
          <t>Boss-Only Total DPS (this block's swept value)</t>
        </is>
      </c>
      <c r="B282">
        <f>SUM(T247:T271)</f>
        <v/>
      </c>
    </row>
    <row r="283">
      <c r="A283" t="inlineStr">
        <is>
          <t>Normal-Only Total DPS (this block's swept value)</t>
        </is>
      </c>
      <c r="B283">
        <f>SUM(V247:V271)</f>
        <v/>
      </c>
    </row>
    <row r="284">
      <c r="A284" s="5" t="inlineStr">
        <is>
          <t>TOTAL DPS</t>
        </is>
      </c>
      <c r="B284" s="5">
        <f>SUM(O247:O271)</f>
        <v/>
      </c>
    </row>
    <row r="287">
      <c r="A287" s="5" t="inlineStr">
        <is>
          <t>Stat: DAMAGE_AMP %</t>
        </is>
      </c>
    </row>
    <row r="288">
      <c r="A288" s="9" t="inlineStr">
        <is>
          <t>Key</t>
        </is>
      </c>
      <c r="B288" s="9" t="inlineStr">
        <is>
          <t>Name</t>
        </is>
      </c>
      <c r="C288" s="9" t="inlineStr">
        <is>
          <t>Unlocked</t>
        </is>
      </c>
      <c r="D288" s="9" t="inlineStr">
        <is>
          <t>InputLevel</t>
        </is>
      </c>
      <c r="E288" s="9" t="inlineStr">
        <is>
          <t>Factor</t>
        </is>
      </c>
      <c r="F288" s="9" t="inlineStr">
        <is>
          <t>CoefficientPercent</t>
        </is>
      </c>
      <c r="G288" s="9" t="inlineStr">
        <is>
          <t>EffectiveHits</t>
        </is>
      </c>
      <c r="H288" s="9" t="inlineStr">
        <is>
          <t>ProcProbability</t>
        </is>
      </c>
      <c r="I288" s="9" t="inlineStr">
        <is>
          <t>MapleHeroMultiplier</t>
        </is>
      </c>
      <c r="J288" s="9" t="inlineStr">
        <is>
          <t>BaseDamage</t>
        </is>
      </c>
      <c r="K288" s="9" t="inlineStr">
        <is>
          <t>BaseHitDamage</t>
        </is>
      </c>
      <c r="L288" s="9" t="inlineStr">
        <is>
          <t>NonCritAvg</t>
        </is>
      </c>
      <c r="M288" s="9" t="inlineStr">
        <is>
          <t>CritAvg</t>
        </is>
      </c>
      <c r="N288" s="9" t="inlineStr">
        <is>
          <t>ExpectedDamage(perHit)</t>
        </is>
      </c>
      <c r="O288" s="9" t="inlineStr">
        <is>
          <t>DPS</t>
        </is>
      </c>
      <c r="P288" s="9" t="inlineStr">
        <is>
          <t>% of Total</t>
        </is>
      </c>
      <c r="Q288" s="9" t="inlineStr">
        <is>
          <t>InvCooldown</t>
        </is>
      </c>
      <c r="R288" s="9" t="inlineStr">
        <is>
          <t>CastsInFight</t>
        </is>
      </c>
      <c r="S288" s="9" t="inlineStr">
        <is>
          <t>HitRate(perSec)</t>
        </is>
      </c>
      <c r="U288" t="inlineStr">
        <is>
          <t>helpers</t>
        </is>
      </c>
    </row>
    <row r="289">
      <c r="A289">
        <f>Skills!A2</f>
        <v/>
      </c>
      <c r="B289">
        <f>Skills!B2</f>
        <v/>
      </c>
      <c r="C289">
        <f>Inputs!$B$3&gt;=100</f>
        <v/>
      </c>
      <c r="D289" t="inlineStr"/>
      <c r="E289" t="inlineStr"/>
      <c r="F289">
        <f>U291+Skills!O2</f>
        <v/>
      </c>
      <c r="G289">
        <f>Skills!G2*IF(Skills!H2&gt;0,Skills!I2/Skills!H2,1)</f>
        <v/>
      </c>
      <c r="H289">
        <f>1-(1-Skills!J2/100)^Skills!K2</f>
        <v/>
      </c>
      <c r="I289" t="inlineStr">
        <is>
          <t>1</t>
        </is>
      </c>
      <c r="J289">
        <f>((Inputs!$B$6*(1+Inputs!$B$7/100))+(((Inputs!$B$13*(1+Inputs!$B$14/100))-(Inputs!$B$13*(1+Inputs!$B$14/100)))+0.25*(Inputs!$B$15-Inputs!$B$15))*(1+Inputs!$B$7/100))*(F289/100)</f>
        <v/>
      </c>
      <c r="K289">
        <f>J289*(1+(((Inputs!$B$13+IF(Inputs!$B$3&gt;=38,(10*INDEX(FactorTable!$B$2:$Y$301, MATCH(ROUND(MIN(300,MAX(1,Inputs!$B$3)),0), FactorTable!$A$2:$A$301,0), 23)/1000)/100*(Inputs!$B$8*(1+Inputs!$B$9/100)),0))*(1+Inputs!$B$14/100))*0.01+Inputs!$B$15*0.0025)/100)*(1+Inputs!$B$16/100)*(1+(Inputs!$B$17+1)/100)*(5000/(6000+Inputs!$B$43*(1-(Inputs!$B$20+0)/100)))*(1+(Inputs!$B$25+((C312=TRUE)*(F312-Calc!F25))+((C313=TRUE)*(F313-Calc!F26))+B322)/100)*(1+(IF(Skills!A2="DARK_IMPALE",Inputs!$B$18+0,Inputs!$B$19+((C310=TRUE)*(F310-Calc!F23))))/100)*((1+(((C300=TRUE)*F300*IF(AND(Inputs!$B$39&lt;&gt;"pvp",Inputs!$B$44&gt;0),(((R300-1)*(Skills!T13*(1+Inputs!$B$35/100))+MIN((Skills!T13*(1+Inputs!$B$35/100)),MAX(0,Inputs!$B$44-((R300-1)*Skills!D13))))/Inputs!$B$44),IF(Inputs!$B$39="pvp",MIN((Skills!T13*(1+Inputs!$B$35/100)),15)/15,(Skills!T13*(1+Inputs!$B$35/100))/Skills!D13)))+((C301=TRUE)*F301*IF(AND(Inputs!$B$39&lt;&gt;"pvp",Inputs!$B$44&gt;0),(((R301-1)*(Skills!T14*(1+Inputs!$B$35/100))+MIN((Skills!T14*(1+Inputs!$B$35/100)),MAX(0,Inputs!$B$44-((R301-1)*Skills!D14))))/Inputs!$B$44),IF(Inputs!$B$39="pvp",MIN((Skills!T14*(1+Inputs!$B$35/100)),15)/15,(Skills!T14*(1+Inputs!$B$35/100))/Skills!D14)))+((C302=TRUE)*F302*IF(AND(Inputs!$B$39&lt;&gt;"pvp",Inputs!$B$44&gt;0),(((R302-1)*(Skills!T15*(1+Inputs!$B$35/100))+MIN((Skills!T15*(1+Inputs!$B$35/100)),MAX(0,Inputs!$B$44-((R302-1)*Skills!D15))))/Inputs!$B$44),IF(Inputs!$B$39="pvp",MIN((Skills!T15*(1+Inputs!$B$35/100)),15)/15,(Skills!T15*(1+Inputs!$B$35/100))/Skills!D15)))+((C303=TRUE)*F303*IF(AND(Inputs!$B$39&lt;&gt;"pvp",Inputs!$B$44&gt;0),(((R303-1)*(Skills!T16*(1+Inputs!$B$35/100))+MIN((Skills!T16*(1+Inputs!$B$35/100)),MAX(0,Inputs!$B$44-((R303-1)*Skills!D16))))/Inputs!$B$44),IF(Inputs!$B$39="pvp",MIN((Skills!T16*(1+Inputs!$B$35/100)),15)/15,(Skills!T16*(1+Inputs!$B$35/100))/Skills!D16)))+0)/100)*I289)</f>
        <v/>
      </c>
      <c r="L289">
        <f>K289*(MIN(Inputs!$B$23+((C309=TRUE)*(F309-Calc!F22)),Inputs!$B$24+((C311=TRUE)*(F311-Calc!F24)))/100+(Inputs!$B$24+((C311=TRUE)*(F311-Calc!F24)))/100)/2</f>
        <v/>
      </c>
      <c r="M289">
        <f>L289*(1+(Inputs!$B$11+0+B321)/100)</f>
        <v/>
      </c>
      <c r="N289">
        <f>L289*(1-MIN((Inputs!$B$10+0+B316),100)/100)+M289*(MIN((Inputs!$B$10+0+B316),100)/100)</f>
        <v/>
      </c>
      <c r="O289">
        <f>(1-Summary!$B$55)*T289+Summary!$B$55*V289</f>
        <v/>
      </c>
      <c r="P289">
        <f>IF(B326=0,0,O289/B326)</f>
        <v/>
      </c>
      <c r="Q289" t="n">
        <v>0</v>
      </c>
      <c r="R289" t="n">
        <v>0</v>
      </c>
      <c r="S289">
        <f>IFERROR(O289/N289,0)</f>
        <v/>
      </c>
      <c r="T289">
        <f>IF(C289,(Skills!G2*N289*B320)*IF(Inputs!$B$39="pvp",1,1+(Inputs!$B$21+0+Skills!P2+((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0)</f>
        <v/>
      </c>
      <c r="U289">
        <f>MAX(0,(Inputs!$B$3-100)*3)+Inputs!$B$29+Inputs!$B$30</f>
        <v/>
      </c>
      <c r="V289">
        <f>IF(C289,(Skills!G2*N289*B320)*IF(Inputs!$B$39="pvp",1,(1+(Inputs!$B$22+Skills!Q2+((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MIN((6+Inputs!$B$34),Inputs!$B$38))),0)</f>
        <v/>
      </c>
    </row>
    <row r="290">
      <c r="A290">
        <f>Skills!A3</f>
        <v/>
      </c>
      <c r="B290">
        <f>Skills!B3</f>
        <v/>
      </c>
      <c r="C290">
        <f>Inputs!$B$3&gt;=50</f>
        <v/>
      </c>
      <c r="D290">
        <f>IF(Skills!C3=1,60+Inputs!$B$26+Inputs!$B$30,IF(Skills!C3=2,90+Inputs!$B$27+Inputs!$B$30,IF(Skills!C3=3,120+Inputs!$B$28+Inputs!$B$30,MAX(0,(Inputs!$B$3-100)*3)+Inputs!$B$29+Inputs!$B$30)))</f>
        <v/>
      </c>
      <c r="E290">
        <f>INDEX(FactorTable!$B$2:$Y$301, MATCH(ROUND(MIN(300,MAX(1,D290)),0), FactorTable!$A$2:$A$301,0), Skills!M3+1)</f>
        <v/>
      </c>
      <c r="F290">
        <f>IF(Skills!N3=TRUE,(Skills!L3/10)*(E290/1000),Skills!L3/10)+Skills!O3</f>
        <v/>
      </c>
      <c r="G290" t="inlineStr"/>
      <c r="H290" t="inlineStr"/>
      <c r="I290" t="inlineStr">
        <is>
          <t>1</t>
        </is>
      </c>
      <c r="J290" t="inlineStr"/>
      <c r="K290" t="inlineStr"/>
      <c r="L290" t="inlineStr"/>
      <c r="M290" t="inlineStr"/>
      <c r="N290" t="inlineStr"/>
      <c r="O290" t="inlineStr"/>
      <c r="P290" t="inlineStr"/>
      <c r="Q290" t="inlineStr"/>
      <c r="R290" t="inlineStr"/>
      <c r="S290" t="inlineStr"/>
      <c r="U290">
        <f>INDEX(FactorTable!$B$2:$Y$301, MATCH(ROUND(MIN(300,MAX(1,U289)),0), FactorTable!$A$2:$A$301,0), 22)</f>
        <v/>
      </c>
    </row>
    <row r="291">
      <c r="A291">
        <f>Skills!A4</f>
        <v/>
      </c>
      <c r="B291">
        <f>Skills!B4</f>
        <v/>
      </c>
      <c r="C291">
        <f>Inputs!$B$3&gt;=105</f>
        <v/>
      </c>
      <c r="D291">
        <f>IF(Skills!C4=1,60+Inputs!$B$26+Inputs!$B$30,IF(Skills!C4=2,90+Inputs!$B$27+Inputs!$B$30,IF(Skills!C4=3,120+Inputs!$B$28+Inputs!$B$30,MAX(0,(Inputs!$B$3-100)*3)+Inputs!$B$29+Inputs!$B$30)))</f>
        <v/>
      </c>
      <c r="E291">
        <f>INDEX(FactorTable!$B$2:$Y$301, MATCH(ROUND(MIN(300,MAX(1,D291)),0), FactorTable!$A$2:$A$301,0), Skills!M4+1)</f>
        <v/>
      </c>
      <c r="F291">
        <f>IF(Skills!N4=TRUE,(Skills!L4/10)*(E291/1000),Skills!L4/10)+Skills!O4</f>
        <v/>
      </c>
      <c r="G291" t="inlineStr"/>
      <c r="H291" t="inlineStr"/>
      <c r="I291" t="inlineStr">
        <is>
          <t>1</t>
        </is>
      </c>
      <c r="J291" t="inlineStr"/>
      <c r="K291" t="inlineStr"/>
      <c r="L291" t="inlineStr"/>
      <c r="M291" t="inlineStr"/>
      <c r="N291" t="inlineStr"/>
      <c r="O291" t="inlineStr"/>
      <c r="P291" t="inlineStr"/>
      <c r="Q291" t="inlineStr"/>
      <c r="R291" t="inlineStr"/>
      <c r="S291" t="inlineStr"/>
      <c r="U291">
        <f>290*U290/1000</f>
        <v/>
      </c>
    </row>
    <row r="292">
      <c r="A292">
        <f>Skills!A5</f>
        <v/>
      </c>
      <c r="B292">
        <f>Skills!B5</f>
        <v/>
      </c>
      <c r="C292">
        <f>Inputs!$B$3&gt;=117</f>
        <v/>
      </c>
      <c r="D292">
        <f>IF(Skills!C5=1,60+Inputs!$B$26+Inputs!$B$30,IF(Skills!C5=2,90+Inputs!$B$27+Inputs!$B$30,IF(Skills!C5=3,120+Inputs!$B$28+Inputs!$B$30,MAX(0,(Inputs!$B$3-100)*3)+Inputs!$B$29+Inputs!$B$30)))</f>
        <v/>
      </c>
      <c r="E292">
        <f>INDEX(FactorTable!$B$2:$Y$301, MATCH(ROUND(MIN(300,MAX(1,D292)),0), FactorTable!$A$2:$A$301,0), Skills!M5+1)</f>
        <v/>
      </c>
      <c r="F292">
        <f>IF(Skills!N5=TRUE,(Skills!L5/10)*(E292/1000),Skills!L5/10)+Skills!O5</f>
        <v/>
      </c>
      <c r="G292">
        <f>Skills!G5*IF(Skills!H5&gt;0,Skills!I5/Skills!H5,1)</f>
        <v/>
      </c>
      <c r="H292">
        <f>1-(1-Skills!J5/100)^Skills!K5</f>
        <v/>
      </c>
      <c r="I292" t="inlineStr">
        <is>
          <t>1</t>
        </is>
      </c>
      <c r="J292">
        <f>((Inputs!$B$6*(1+Inputs!$B$7/100))+(((Inputs!$B$13*(1+Inputs!$B$14/100))-(Inputs!$B$13*(1+Inputs!$B$14/100)))+0.25*(Inputs!$B$15-Inputs!$B$15))*(1+Inputs!$B$7/100))*(F292/100)</f>
        <v/>
      </c>
      <c r="K292">
        <f>J292*(1+(((Inputs!$B$13+IF(Inputs!$B$3&gt;=38,(10*INDEX(FactorTable!$B$2:$Y$301, MATCH(ROUND(MIN(300,MAX(1,Inputs!$B$3)),0), FactorTable!$A$2:$A$301,0), 23)/1000)/100*(Inputs!$B$8*(1+Inputs!$B$9/100)),0))*(1+Inputs!$B$14/100))*0.01+Inputs!$B$15*0.0025)/100)*(1+Inputs!$B$16/100)*(1+(Inputs!$B$17+1)/100)*(5000/(6000+Inputs!$B$43*(1-(Inputs!$B$20+0)/100)))*(1+(Inputs!$B$25+((C312=TRUE)*(F312-Calc!F25))+((C313=TRUE)*(F313-Calc!F26))+B322)/100)*(1+(IF(Skills!A5="DARK_IMPALE",Inputs!$B$18+0,Inputs!$B$19+((C310=TRUE)*(F310-Calc!F23))))/100)*((1+(((C300=TRUE)*F300*IF(AND(Inputs!$B$39&lt;&gt;"pvp",Inputs!$B$44&gt;0),(((R300-1)*(Skills!T13*(1+Inputs!$B$35/100))+MIN((Skills!T13*(1+Inputs!$B$35/100)),MAX(0,Inputs!$B$44-((R300-1)*Skills!D13))))/Inputs!$B$44),IF(Inputs!$B$39="pvp",MIN((Skills!T13*(1+Inputs!$B$35/100)),15)/15,(Skills!T13*(1+Inputs!$B$35/100))/Skills!D13)))+((C301=TRUE)*F301*IF(AND(Inputs!$B$39&lt;&gt;"pvp",Inputs!$B$44&gt;0),(((R301-1)*(Skills!T14*(1+Inputs!$B$35/100))+MIN((Skills!T14*(1+Inputs!$B$35/100)),MAX(0,Inputs!$B$44-((R301-1)*Skills!D14))))/Inputs!$B$44),IF(Inputs!$B$39="pvp",MIN((Skills!T14*(1+Inputs!$B$35/100)),15)/15,(Skills!T14*(1+Inputs!$B$35/100))/Skills!D14)))+((C302=TRUE)*F302*IF(AND(Inputs!$B$39&lt;&gt;"pvp",Inputs!$B$44&gt;0),(((R302-1)*(Skills!T15*(1+Inputs!$B$35/100))+MIN((Skills!T15*(1+Inputs!$B$35/100)),MAX(0,Inputs!$B$44-((R302-1)*Skills!D15))))/Inputs!$B$44),IF(Inputs!$B$39="pvp",MIN((Skills!T15*(1+Inputs!$B$35/100)),15)/15,(Skills!T15*(1+Inputs!$B$35/100))/Skills!D15)))+((C303=TRUE)*F303*IF(AND(Inputs!$B$39&lt;&gt;"pvp",Inputs!$B$44&gt;0),(((R303-1)*(Skills!T16*(1+Inputs!$B$35/100))+MIN((Skills!T16*(1+Inputs!$B$35/100)),MAX(0,Inputs!$B$44-((R303-1)*Skills!D16))))/Inputs!$B$44),IF(Inputs!$B$39="pvp",MIN((Skills!T16*(1+Inputs!$B$35/100)),15)/15,(Skills!T16*(1+Inputs!$B$35/100))/Skills!D16)))+0)/100)*I292)</f>
        <v/>
      </c>
      <c r="L292">
        <f>K292*(MIN(Inputs!$B$23+((C309=TRUE)*(F309-Calc!F22)),Inputs!$B$24+((C311=TRUE)*(F311-Calc!F24)))/100+(Inputs!$B$24+((C311=TRUE)*(F311-Calc!F24)))/100)/2</f>
        <v/>
      </c>
      <c r="M292">
        <f>L292*(1+(Inputs!$B$11+0+B321)/100)</f>
        <v/>
      </c>
      <c r="N292">
        <f>L292*(1-MIN((Inputs!$B$10+0+B316),100)/100)+M292*(MIN((Inputs!$B$10+0+B316),100)/100)</f>
        <v/>
      </c>
      <c r="O292">
        <f>(1-Summary!$B$55)*T292+Summary!$B$55*V292</f>
        <v/>
      </c>
      <c r="P292">
        <f>IF(B326=0,0,O292/B326)</f>
        <v/>
      </c>
      <c r="Q292">
        <f>IFERROR(1/IF(Inputs!$B$39="pvp",15,MAX(0.1,Skills!D5-IF(Skills!E5=TRUE,Inputs!$B$33,0))),0)</f>
        <v/>
      </c>
      <c r="R292">
        <f>IF(AND(Inputs!$B$39&lt;&gt;"pvp",Inputs!$B$44&gt;0),IF(MAX(0,Inputs!$B$44-B323)&lt;=0,0,(INT(MAX(0,Inputs!$B$44-B323)/IF(Inputs!$B$39="pvp",15,MAX(0.1,Skills!D5-IF(Skills!E5=TRUE,Inputs!$B$33,0))))+1)),0)</f>
        <v/>
      </c>
      <c r="S292">
        <f>IFERROR(O292/N292,0)</f>
        <v/>
      </c>
      <c r="T292">
        <f>IF(C292,(H292*N292*IF(AND(Inputs!$B$39&lt;&gt;"pvp",Inputs!$B$44&gt;0),((Skills!G5*((R292-1)*IF(Skills!H5&gt;0,Skills!I5/Skills!H5,1)+IF(Skills!H5&gt;0,MIN(Skills!I5,MAX(0,MAX(0,Inputs!$B$44-B323)-((R292-1)*IF(Inputs!$B$39="pvp",15,MAX(0.1,Skills!D5-IF(Skills!E5=TRUE,Inputs!$B$33,0))))))/Skills!H5,1)))/Inputs!$B$44),G292*Q292))*IF(Inputs!$B$39="pvp",1,1+(Inputs!$B$21+0+Skills!P5+((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0)</f>
        <v/>
      </c>
      <c r="V292">
        <f>IF(C292,(H292*N292*IF(AND(Inputs!$B$39&lt;&gt;"pvp",Inputs!$B$44&gt;0),((Skills!G5*((R292-1)*IF(Skills!H5&gt;0,Skills!I5/Skills!H5,1)+IF(Skills!H5&gt;0,MIN(Skills!I5,MAX(0,MAX(0,Inputs!$B$44-B323)-((R292-1)*IF(Inputs!$B$39="pvp",15,MAX(0.1,Skills!D5-IF(Skills!E5=TRUE,Inputs!$B$33,0))))))/Skills!H5,1)))/Inputs!$B$44),G292*Q292))*IF(Inputs!$B$39="pvp",1,(1+(Inputs!$B$22+Skills!Q5+((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MIN(Skills!R5,Inputs!$B$38))),0)</f>
        <v/>
      </c>
    </row>
    <row r="293">
      <c r="A293">
        <f>Skills!A6</f>
        <v/>
      </c>
      <c r="B293">
        <f>Skills!B6</f>
        <v/>
      </c>
      <c r="C293">
        <f>Inputs!$B$3&gt;=103</f>
        <v/>
      </c>
      <c r="D293">
        <f>IF(Skills!C6=1,60+Inputs!$B$26+Inputs!$B$30,IF(Skills!C6=2,90+Inputs!$B$27+Inputs!$B$30,IF(Skills!C6=3,120+Inputs!$B$28+Inputs!$B$30,MAX(0,(Inputs!$B$3-100)*3)+Inputs!$B$29+Inputs!$B$30)))</f>
        <v/>
      </c>
      <c r="E293">
        <f>INDEX(FactorTable!$B$2:$Y$301, MATCH(ROUND(MIN(300,MAX(1,D293)),0), FactorTable!$A$2:$A$301,0), Skills!M6+1)</f>
        <v/>
      </c>
      <c r="F293">
        <f>IF(Skills!N6=TRUE,(Skills!L6/10)*(E293/1000),Skills!L6/10)+Skills!O6</f>
        <v/>
      </c>
      <c r="G293">
        <f>Skills!G6*IF(Skills!H6&gt;0,Skills!I6/Skills!H6,1)</f>
        <v/>
      </c>
      <c r="H293">
        <f>1-(1-Skills!J6/100)^Skills!K6</f>
        <v/>
      </c>
      <c r="I293" t="inlineStr">
        <is>
          <t>1</t>
        </is>
      </c>
      <c r="J293">
        <f>((Inputs!$B$6*(1+Inputs!$B$7/100))+(((Inputs!$B$13*(1+Inputs!$B$14/100))-(Inputs!$B$13*(1+Inputs!$B$14/100)))+0.25*(Inputs!$B$15-Inputs!$B$15))*(1+Inputs!$B$7/100))*(F293/100)</f>
        <v/>
      </c>
      <c r="K293">
        <f>J293*(1+(((Inputs!$B$13+IF(Inputs!$B$3&gt;=38,(10*INDEX(FactorTable!$B$2:$Y$301, MATCH(ROUND(MIN(300,MAX(1,Inputs!$B$3)),0), FactorTable!$A$2:$A$301,0), 23)/1000)/100*(Inputs!$B$8*(1+Inputs!$B$9/100)),0))*(1+Inputs!$B$14/100))*0.01+Inputs!$B$15*0.0025)/100)*(1+Inputs!$B$16/100)*(1+(Inputs!$B$17+1)/100)*(5000/(6000+Inputs!$B$43*(1-(Inputs!$B$20+0)/100)))*(1+(Inputs!$B$25+((C312=TRUE)*(F312-Calc!F25))+((C313=TRUE)*(F313-Calc!F26))+B322)/100)*(1+(IF(Skills!A6="DARK_IMPALE",Inputs!$B$18+0,Inputs!$B$19+((C310=TRUE)*(F310-Calc!F23))))/100)*((1+(((C300=TRUE)*F300*IF(AND(Inputs!$B$39&lt;&gt;"pvp",Inputs!$B$44&gt;0),(((R300-1)*(Skills!T13*(1+Inputs!$B$35/100))+MIN((Skills!T13*(1+Inputs!$B$35/100)),MAX(0,Inputs!$B$44-((R300-1)*Skills!D13))))/Inputs!$B$44),IF(Inputs!$B$39="pvp",MIN((Skills!T13*(1+Inputs!$B$35/100)),15)/15,(Skills!T13*(1+Inputs!$B$35/100))/Skills!D13)))+((C301=TRUE)*F301*IF(AND(Inputs!$B$39&lt;&gt;"pvp",Inputs!$B$44&gt;0),(((R301-1)*(Skills!T14*(1+Inputs!$B$35/100))+MIN((Skills!T14*(1+Inputs!$B$35/100)),MAX(0,Inputs!$B$44-((R301-1)*Skills!D14))))/Inputs!$B$44),IF(Inputs!$B$39="pvp",MIN((Skills!T14*(1+Inputs!$B$35/100)),15)/15,(Skills!T14*(1+Inputs!$B$35/100))/Skills!D14)))+((C302=TRUE)*F302*IF(AND(Inputs!$B$39&lt;&gt;"pvp",Inputs!$B$44&gt;0),(((R302-1)*(Skills!T15*(1+Inputs!$B$35/100))+MIN((Skills!T15*(1+Inputs!$B$35/100)),MAX(0,Inputs!$B$44-((R302-1)*Skills!D15))))/Inputs!$B$44),IF(Inputs!$B$39="pvp",MIN((Skills!T15*(1+Inputs!$B$35/100)),15)/15,(Skills!T15*(1+Inputs!$B$35/100))/Skills!D15)))+((C303=TRUE)*F303*IF(AND(Inputs!$B$39&lt;&gt;"pvp",Inputs!$B$44&gt;0),(((R303-1)*(Skills!T16*(1+Inputs!$B$35/100))+MIN((Skills!T16*(1+Inputs!$B$35/100)),MAX(0,Inputs!$B$44-((R303-1)*Skills!D16))))/Inputs!$B$44),IF(Inputs!$B$39="pvp",MIN((Skills!T16*(1+Inputs!$B$35/100)),15)/15,(Skills!T16*(1+Inputs!$B$35/100))/Skills!D16)))+0)/100)*I293)</f>
        <v/>
      </c>
      <c r="L293">
        <f>K293*(MIN(Inputs!$B$23+((C309=TRUE)*(F309-Calc!F22)),Inputs!$B$24+((C311=TRUE)*(F311-Calc!F24)))/100+(Inputs!$B$24+((C311=TRUE)*(F311-Calc!F24)))/100)/2</f>
        <v/>
      </c>
      <c r="M293">
        <f>L293*(1+(Inputs!$B$11+0+B321)/100)</f>
        <v/>
      </c>
      <c r="N293">
        <f>L293*(1-MIN((Inputs!$B$10+0+B316),100)/100)+M293*(MIN((Inputs!$B$10+0+B316),100)/100)</f>
        <v/>
      </c>
      <c r="O293">
        <f>(1-Summary!$B$55)*T293+Summary!$B$55*V293</f>
        <v/>
      </c>
      <c r="P293">
        <f>IF(B326=0,0,O293/B326)</f>
        <v/>
      </c>
      <c r="Q293">
        <f>IFERROR(1/IF(Inputs!$B$39="pvp",15,MAX(0.1,Skills!D6-IF(Skills!E6=TRUE,Inputs!$B$33,0))),0)</f>
        <v/>
      </c>
      <c r="R293">
        <f>IF(AND(Inputs!$B$39&lt;&gt;"pvp",Inputs!$B$44&gt;0),IF(MAX(0,Inputs!$B$44-B323)&lt;=0,0,(INT(MAX(0,Inputs!$B$44-B323)/IF(Inputs!$B$39="pvp",15,MAX(0.1,Skills!D6-IF(Skills!E6=TRUE,Inputs!$B$33,0))))+1)),0)</f>
        <v/>
      </c>
      <c r="S293">
        <f>IFERROR(O293/N293,0)</f>
        <v/>
      </c>
      <c r="T293">
        <f>IF(C293,(H293*N293*IF(AND(Inputs!$B$39&lt;&gt;"pvp",Inputs!$B$44&gt;0),((Skills!G6*((R293-1)*IF(Skills!H6&gt;0,Skills!I6/Skills!H6,1)+IF(Skills!H6&gt;0,MIN(Skills!I6,MAX(0,MAX(0,Inputs!$B$44-B323)-((R293-1)*IF(Inputs!$B$39="pvp",15,MAX(0.1,Skills!D6-IF(Skills!E6=TRUE,Inputs!$B$33,0))))))/Skills!H6,1)))/Inputs!$B$44),G293*Q293))*IF(Inputs!$B$39="pvp",1,1+(Inputs!$B$21+0+Skills!P6+((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0)</f>
        <v/>
      </c>
      <c r="V293">
        <f>IF(C293,(H293*N293*IF(AND(Inputs!$B$39&lt;&gt;"pvp",Inputs!$B$44&gt;0),((Skills!G6*((R293-1)*IF(Skills!H6&gt;0,Skills!I6/Skills!H6,1)+IF(Skills!H6&gt;0,MIN(Skills!I6,MAX(0,MAX(0,Inputs!$B$44-B323)-((R293-1)*IF(Inputs!$B$39="pvp",15,MAX(0.1,Skills!D6-IF(Skills!E6=TRUE,Inputs!$B$33,0))))))/Skills!H6,1)))/Inputs!$B$44),G293*Q293))*IF(Inputs!$B$39="pvp",1,(1+(Inputs!$B$22+Skills!Q6+((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MIN(Skills!R6,Inputs!$B$38))),0)</f>
        <v/>
      </c>
    </row>
    <row r="294">
      <c r="A294">
        <f>Skills!A7</f>
        <v/>
      </c>
      <c r="B294">
        <f>Skills!B7</f>
        <v/>
      </c>
      <c r="C294">
        <f>Inputs!$B$3&gt;=40</f>
        <v/>
      </c>
      <c r="D294">
        <f>IF(Skills!C7=1,60+Inputs!$B$26+Inputs!$B$30,IF(Skills!C7=2,90+Inputs!$B$27+Inputs!$B$30,IF(Skills!C7=3,120+Inputs!$B$28+Inputs!$B$30,MAX(0,(Inputs!$B$3-100)*3)+Inputs!$B$29+Inputs!$B$30)))</f>
        <v/>
      </c>
      <c r="E294">
        <f>INDEX(FactorTable!$B$2:$Y$301, MATCH(ROUND(MIN(300,MAX(1,D294)),0), FactorTable!$A$2:$A$301,0), Skills!M7+1)</f>
        <v/>
      </c>
      <c r="F294">
        <f>IF(Skills!N7=TRUE,(Skills!L7/10)*(E294/1000),Skills!L7/10)+Skills!O7</f>
        <v/>
      </c>
      <c r="G294">
        <f>Skills!G7*IF(Skills!H7&gt;0,Skills!I7/Skills!H7,1)</f>
        <v/>
      </c>
      <c r="H294">
        <f>1-(1-Skills!J7/100)^Skills!K7</f>
        <v/>
      </c>
      <c r="I294" t="inlineStr">
        <is>
          <t>1</t>
        </is>
      </c>
      <c r="J294">
        <f>((Inputs!$B$6*(1+Inputs!$B$7/100))+(((Inputs!$B$13*(1+Inputs!$B$14/100))-(Inputs!$B$13*(1+Inputs!$B$14/100)))+0.25*(Inputs!$B$15-Inputs!$B$15))*(1+Inputs!$B$7/100))*(F294/100)</f>
        <v/>
      </c>
      <c r="K294">
        <f>J294*(1+(((Inputs!$B$13+IF(Inputs!$B$3&gt;=38,(10*INDEX(FactorTable!$B$2:$Y$301, MATCH(ROUND(MIN(300,MAX(1,Inputs!$B$3)),0), FactorTable!$A$2:$A$301,0), 23)/1000)/100*(Inputs!$B$8*(1+Inputs!$B$9/100)),0))*(1+Inputs!$B$14/100))*0.01+Inputs!$B$15*0.0025)/100)*(1+Inputs!$B$16/100)*(1+(Inputs!$B$17+1)/100)*(5000/(6000+Inputs!$B$43*(1-(Inputs!$B$20+0)/100)))*(1+(Inputs!$B$25+((C312=TRUE)*(F312-Calc!F25))+((C313=TRUE)*(F313-Calc!F26))+B322)/100)*(1+0.75*IF(C298=TRUE,F298,0)/100)*(1+(IF(Skills!A7="DARK_IMPALE",Inputs!$B$18+0,Inputs!$B$19+((C310=TRUE)*(F310-Calc!F23))))/100)*((1+(((C300=TRUE)*F300*IF(AND(Inputs!$B$39&lt;&gt;"pvp",Inputs!$B$44&gt;0),(((R300-1)*(Skills!T13*(1+Inputs!$B$35/100))+MIN((Skills!T13*(1+Inputs!$B$35/100)),MAX(0,Inputs!$B$44-((R300-1)*Skills!D13))))/Inputs!$B$44),IF(Inputs!$B$39="pvp",MIN((Skills!T13*(1+Inputs!$B$35/100)),15)/15,(Skills!T13*(1+Inputs!$B$35/100))/Skills!D13)))+((C301=TRUE)*F301*IF(AND(Inputs!$B$39&lt;&gt;"pvp",Inputs!$B$44&gt;0),(((R301-1)*(Skills!T14*(1+Inputs!$B$35/100))+MIN((Skills!T14*(1+Inputs!$B$35/100)),MAX(0,Inputs!$B$44-((R301-1)*Skills!D14))))/Inputs!$B$44),IF(Inputs!$B$39="pvp",MIN((Skills!T14*(1+Inputs!$B$35/100)),15)/15,(Skills!T14*(1+Inputs!$B$35/100))/Skills!D14)))+((C302=TRUE)*F302*IF(AND(Inputs!$B$39&lt;&gt;"pvp",Inputs!$B$44&gt;0),(((R302-1)*(Skills!T15*(1+Inputs!$B$35/100))+MIN((Skills!T15*(1+Inputs!$B$35/100)),MAX(0,Inputs!$B$44-((R302-1)*Skills!D15))))/Inputs!$B$44),IF(Inputs!$B$39="pvp",MIN((Skills!T15*(1+Inputs!$B$35/100)),15)/15,(Skills!T15*(1+Inputs!$B$35/100))/Skills!D15)))+((C303=TRUE)*F303*IF(AND(Inputs!$B$39&lt;&gt;"pvp",Inputs!$B$44&gt;0),(((R303-1)*(Skills!T16*(1+Inputs!$B$35/100))+MIN((Skills!T16*(1+Inputs!$B$35/100)),MAX(0,Inputs!$B$44-((R303-1)*Skills!D16))))/Inputs!$B$44),IF(Inputs!$B$39="pvp",MIN((Skills!T16*(1+Inputs!$B$35/100)),15)/15,(Skills!T16*(1+Inputs!$B$35/100))/Skills!D16)))+0)/100)*I294)</f>
        <v/>
      </c>
      <c r="L294">
        <f>K294*(MIN(Inputs!$B$23+((C309=TRUE)*(F309-Calc!F22)),Inputs!$B$24+((C311=TRUE)*(F311-Calc!F24)))/100+(Inputs!$B$24+((C311=TRUE)*(F311-Calc!F24)))/100)/2</f>
        <v/>
      </c>
      <c r="M294">
        <f>L294*(1+(Inputs!$B$11+0+B321)/100)</f>
        <v/>
      </c>
      <c r="N294">
        <f>L294*(1-MIN((Inputs!$B$10+0+B316),100)/100)+M294*(MIN((Inputs!$B$10+0+B316),100)/100)</f>
        <v/>
      </c>
      <c r="O294">
        <f>(1-Summary!$B$55)*T294+Summary!$B$55*V294</f>
        <v/>
      </c>
      <c r="P294">
        <f>IF(B326=0,0,O294/B326)</f>
        <v/>
      </c>
      <c r="Q294">
        <f>IFERROR(1/IF(Inputs!$B$39="pvp",15,MAX(0.1,Skills!D7-IF(Skills!E7=TRUE,Inputs!$B$33,0))),0)</f>
        <v/>
      </c>
      <c r="R294">
        <f>IF(AND(Inputs!$B$39&lt;&gt;"pvp",Inputs!$B$44&gt;0),IF(MAX(0,Inputs!$B$44-B323)&lt;=0,0,(INT(MAX(0,Inputs!$B$44-B323)/IF(Inputs!$B$39="pvp",15,MAX(0.1,Skills!D7-IF(Skills!E7=TRUE,Inputs!$B$33,0))))+1)),0)</f>
        <v/>
      </c>
      <c r="S294">
        <f>IFERROR(O294/N294,0)</f>
        <v/>
      </c>
      <c r="T294">
        <f>IF(C294,(H294*N294*IF(AND(Inputs!$B$39&lt;&gt;"pvp",Inputs!$B$44&gt;0),((Skills!G7*((R294-1)*IF(Skills!H7&gt;0,Skills!I7/Skills!H7,1)+IF(Skills!H7&gt;0,MIN(Skills!I7,MAX(0,MAX(0,Inputs!$B$44-B323)-((R294-1)*IF(Inputs!$B$39="pvp",15,MAX(0.1,Skills!D7-IF(Skills!E7=TRUE,Inputs!$B$33,0))))))/Skills!H7,1)))/Inputs!$B$44),G294*Q294))*IF(Inputs!$B$39="pvp",1,1+(Inputs!$B$21+0+Skills!P7+((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0)</f>
        <v/>
      </c>
      <c r="V294">
        <f>IF(C294,(H294*N294*IF(AND(Inputs!$B$39&lt;&gt;"pvp",Inputs!$B$44&gt;0),((Skills!G7*((R294-1)*IF(Skills!H7&gt;0,Skills!I7/Skills!H7,1)+IF(Skills!H7&gt;0,MIN(Skills!I7,MAX(0,MAX(0,Inputs!$B$44-B323)-((R294-1)*IF(Inputs!$B$39="pvp",15,MAX(0.1,Skills!D7-IF(Skills!E7=TRUE,Inputs!$B$33,0))))))/Skills!H7,1)))/Inputs!$B$44),G294*Q294))*IF(Inputs!$B$39="pvp",1,(1+(Inputs!$B$22+Skills!Q7+((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MIN(Skills!R7,Inputs!$B$38))),0)</f>
        <v/>
      </c>
    </row>
    <row r="295">
      <c r="A295">
        <f>Skills!A8</f>
        <v/>
      </c>
      <c r="B295">
        <f>Skills!B8</f>
        <v/>
      </c>
      <c r="C295">
        <f>Inputs!$B$3&gt;=75</f>
        <v/>
      </c>
      <c r="D295">
        <f>IF(Skills!C8=1,60+Inputs!$B$26+Inputs!$B$30,IF(Skills!C8=2,90+Inputs!$B$27+Inputs!$B$30,IF(Skills!C8=3,120+Inputs!$B$28+Inputs!$B$30,MAX(0,(Inputs!$B$3-100)*3)+Inputs!$B$29+Inputs!$B$30)))</f>
        <v/>
      </c>
      <c r="E295">
        <f>INDEX(FactorTable!$B$2:$Y$301, MATCH(ROUND(MIN(300,MAX(1,D295)),0), FactorTable!$A$2:$A$301,0), Skills!M8+1)</f>
        <v/>
      </c>
      <c r="F295">
        <f>IF(Skills!N8=TRUE,(Skills!L8/10)*(E295/1000),Skills!L8/10)+Skills!O8</f>
        <v/>
      </c>
      <c r="G295" t="inlineStr"/>
      <c r="H295" t="inlineStr"/>
      <c r="I295" t="inlineStr">
        <is>
          <t>1</t>
        </is>
      </c>
      <c r="J295" t="inlineStr"/>
      <c r="K295" t="inlineStr"/>
      <c r="L295" t="inlineStr"/>
      <c r="M295" t="inlineStr"/>
      <c r="N295" t="inlineStr"/>
      <c r="O295" t="inlineStr"/>
      <c r="P295" t="inlineStr"/>
      <c r="Q295" t="inlineStr"/>
      <c r="R295" t="inlineStr"/>
      <c r="S295" t="inlineStr"/>
    </row>
    <row r="296">
      <c r="A296">
        <f>Skills!A9</f>
        <v/>
      </c>
      <c r="B296">
        <f>Skills!B9</f>
        <v/>
      </c>
      <c r="C296">
        <f>Inputs!$B$3&gt;=60</f>
        <v/>
      </c>
      <c r="D296">
        <f>IF(Skills!C9=1,60+Inputs!$B$26+Inputs!$B$30,IF(Skills!C9=2,90+Inputs!$B$27+Inputs!$B$30,IF(Skills!C9=3,120+Inputs!$B$28+Inputs!$B$30,MAX(0,(Inputs!$B$3-100)*3)+Inputs!$B$29+Inputs!$B$30)))</f>
        <v/>
      </c>
      <c r="E296">
        <f>INDEX(FactorTable!$B$2:$Y$301, MATCH(ROUND(MIN(300,MAX(1,D296)),0), FactorTable!$A$2:$A$301,0), Skills!M9+1)</f>
        <v/>
      </c>
      <c r="F296">
        <f>IF(Skills!N9=TRUE,(Skills!L9/10)*(E296/1000),Skills!L9/10)+Skills!O9</f>
        <v/>
      </c>
      <c r="G296">
        <f>Skills!G9*IF(Skills!H9&gt;0,Skills!I9/Skills!H9,1)</f>
        <v/>
      </c>
      <c r="H296">
        <f>1-(1-Skills!J9/100)^Skills!K9</f>
        <v/>
      </c>
      <c r="I296" t="inlineStr">
        <is>
          <t>1</t>
        </is>
      </c>
      <c r="J296">
        <f>((Inputs!$B$6*(1+Inputs!$B$7/100))+(((Inputs!$B$13*(1+Inputs!$B$14/100))-(Inputs!$B$13*(1+Inputs!$B$14/100)))+0.25*(Inputs!$B$15-Inputs!$B$15))*(1+Inputs!$B$7/100))*(F296/100)</f>
        <v/>
      </c>
      <c r="K296">
        <f>J296*(1+(((Inputs!$B$13+IF(Inputs!$B$3&gt;=38,(10*INDEX(FactorTable!$B$2:$Y$301, MATCH(ROUND(MIN(300,MAX(1,Inputs!$B$3)),0), FactorTable!$A$2:$A$301,0), 23)/1000)/100*(Inputs!$B$8*(1+Inputs!$B$9/100)),0))*(1+Inputs!$B$14/100))*0.01+Inputs!$B$15*0.0025)/100)*(1+Inputs!$B$16/100)*(1+(Inputs!$B$17+1)/100)*(5000/(6000+Inputs!$B$43*(1-(Inputs!$B$20+0)/100)))*(1+(Inputs!$B$25+((C312=TRUE)*(F312-Calc!F25))+((C313=TRUE)*(F313-Calc!F26))+B322)/100)*(1+1.0*IF(C298=TRUE,F298,0)/100)*(1+(IF(Skills!A9="DARK_IMPALE",Inputs!$B$18+0,Inputs!$B$19+((C310=TRUE)*(F310-Calc!F23))))/100)*((1+(((C300=TRUE)*F300*IF(AND(Inputs!$B$39&lt;&gt;"pvp",Inputs!$B$44&gt;0),(((R300-1)*(Skills!T13*(1+Inputs!$B$35/100))+MIN((Skills!T13*(1+Inputs!$B$35/100)),MAX(0,Inputs!$B$44-((R300-1)*Skills!D13))))/Inputs!$B$44),IF(Inputs!$B$39="pvp",MIN((Skills!T13*(1+Inputs!$B$35/100)),15)/15,(Skills!T13*(1+Inputs!$B$35/100))/Skills!D13)))+((C301=TRUE)*F301*IF(AND(Inputs!$B$39&lt;&gt;"pvp",Inputs!$B$44&gt;0),(((R301-1)*(Skills!T14*(1+Inputs!$B$35/100))+MIN((Skills!T14*(1+Inputs!$B$35/100)),MAX(0,Inputs!$B$44-((R301-1)*Skills!D14))))/Inputs!$B$44),IF(Inputs!$B$39="pvp",MIN((Skills!T14*(1+Inputs!$B$35/100)),15)/15,(Skills!T14*(1+Inputs!$B$35/100))/Skills!D14)))+((C302=TRUE)*F302*IF(AND(Inputs!$B$39&lt;&gt;"pvp",Inputs!$B$44&gt;0),(((R302-1)*(Skills!T15*(1+Inputs!$B$35/100))+MIN((Skills!T15*(1+Inputs!$B$35/100)),MAX(0,Inputs!$B$44-((R302-1)*Skills!D15))))/Inputs!$B$44),IF(Inputs!$B$39="pvp",MIN((Skills!T15*(1+Inputs!$B$35/100)),15)/15,(Skills!T15*(1+Inputs!$B$35/100))/Skills!D15)))+((C303=TRUE)*F303*IF(AND(Inputs!$B$39&lt;&gt;"pvp",Inputs!$B$44&gt;0),(((R303-1)*(Skills!T16*(1+Inputs!$B$35/100))+MIN((Skills!T16*(1+Inputs!$B$35/100)),MAX(0,Inputs!$B$44-((R303-1)*Skills!D16))))/Inputs!$B$44),IF(Inputs!$B$39="pvp",MIN((Skills!T16*(1+Inputs!$B$35/100)),15)/15,(Skills!T16*(1+Inputs!$B$35/100))/Skills!D16)))+0)/100)*I296)</f>
        <v/>
      </c>
      <c r="L296">
        <f>K296*(MIN(Inputs!$B$23+((C309=TRUE)*(F309-Calc!F22)),Inputs!$B$24+((C311=TRUE)*(F311-Calc!F24)))/100+(Inputs!$B$24+((C311=TRUE)*(F311-Calc!F24)))/100)/2</f>
        <v/>
      </c>
      <c r="M296">
        <f>L296*(1+(Inputs!$B$11+0+B321)/100)</f>
        <v/>
      </c>
      <c r="N296">
        <f>L296*(1-MIN((Inputs!$B$10+0+B316),100)/100)+M296*(MIN((Inputs!$B$10+0+B316),100)/100)</f>
        <v/>
      </c>
      <c r="O296">
        <f>(1-Summary!$B$55)*T296+Summary!$B$55*V296</f>
        <v/>
      </c>
      <c r="P296">
        <f>IF(B326=0,0,O296/B326)</f>
        <v/>
      </c>
      <c r="Q296">
        <f>IFERROR(1/IF(Inputs!$B$39="pvp",15,MAX(0.1,Skills!D9-IF(Skills!E9=TRUE,Inputs!$B$33,0))),0)</f>
        <v/>
      </c>
      <c r="R296">
        <f>IF(AND(Inputs!$B$39&lt;&gt;"pvp",Inputs!$B$44&gt;0),IF(MAX(0,Inputs!$B$44-B323)&lt;=0,0,(INT(MAX(0,Inputs!$B$44-B323)/IF(Inputs!$B$39="pvp",15,MAX(0.1,Skills!D9-IF(Skills!E9=TRUE,Inputs!$B$33,0))))+1)),0)</f>
        <v/>
      </c>
      <c r="S296">
        <f>IFERROR(O296/N296,0)</f>
        <v/>
      </c>
      <c r="T296">
        <f>IF(C296,(H296*N296*IF(AND(Inputs!$B$39&lt;&gt;"pvp",Inputs!$B$44&gt;0),((Skills!G9*((R296-1)*IF(Skills!H9&gt;0,Skills!I9/Skills!H9,1)+IF(Skills!H9&gt;0,MIN(Skills!I9,MAX(0,MAX(0,Inputs!$B$44-B323)-((R296-1)*IF(Inputs!$B$39="pvp",15,MAX(0.1,Skills!D9-IF(Skills!E9=TRUE,Inputs!$B$33,0))))))/Skills!H9,1)))/Inputs!$B$44),G296*Q296))*IF(Inputs!$B$39="pvp",1,1+(Inputs!$B$21+0+Skills!P9+((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0)</f>
        <v/>
      </c>
      <c r="V296">
        <f>IF(C296,(H296*N296*IF(AND(Inputs!$B$39&lt;&gt;"pvp",Inputs!$B$44&gt;0),((Skills!G9*((R296-1)*IF(Skills!H9&gt;0,Skills!I9/Skills!H9,1)+IF(Skills!H9&gt;0,MIN(Skills!I9,MAX(0,MAX(0,Inputs!$B$44-B323)-((R296-1)*IF(Inputs!$B$39="pvp",15,MAX(0.1,Skills!D9-IF(Skills!E9=TRUE,Inputs!$B$33,0))))))/Skills!H9,1)))/Inputs!$B$44),G296*Q296))*IF(Inputs!$B$39="pvp",1,(1+(Inputs!$B$22+Skills!Q9+((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MIN(Skills!R9,Inputs!$B$38))),0)</f>
        <v/>
      </c>
    </row>
    <row r="297">
      <c r="A297">
        <f>Skills!A10</f>
        <v/>
      </c>
      <c r="B297">
        <f>Skills!B10</f>
        <v/>
      </c>
      <c r="C297">
        <f>Inputs!$B$3&gt;=110</f>
        <v/>
      </c>
      <c r="D297">
        <f>IF(Skills!C10=1,60+Inputs!$B$26+Inputs!$B$30,IF(Skills!C10=2,90+Inputs!$B$27+Inputs!$B$30,IF(Skills!C10=3,120+Inputs!$B$28+Inputs!$B$30,MAX(0,(Inputs!$B$3-100)*3)+Inputs!$B$29+Inputs!$B$30)))</f>
        <v/>
      </c>
      <c r="E297">
        <f>INDEX(FactorTable!$B$2:$Y$301, MATCH(ROUND(MIN(300,MAX(1,D297)),0), FactorTable!$A$2:$A$301,0), Skills!M10+1)</f>
        <v/>
      </c>
      <c r="F297">
        <f>IF(Skills!N10=TRUE,(Skills!L10/10)*(E297/1000),Skills!L10/10)+Skills!O10</f>
        <v/>
      </c>
      <c r="G297">
        <f>Skills!G10*IF(Skills!H10&gt;0,Skills!I10/Skills!H10,1)</f>
        <v/>
      </c>
      <c r="H297">
        <f>1-(1-Skills!J10/100)^Skills!K10</f>
        <v/>
      </c>
      <c r="I297" t="inlineStr">
        <is>
          <t>1</t>
        </is>
      </c>
      <c r="J297">
        <f>((Inputs!$B$6*(1+Inputs!$B$7/100))+(((Inputs!$B$13*(1+Inputs!$B$14/100))-(Inputs!$B$13*(1+Inputs!$B$14/100)))+0.25*(Inputs!$B$15-Inputs!$B$15))*(1+Inputs!$B$7/100))*(F297/100)</f>
        <v/>
      </c>
      <c r="K297">
        <f>J297*(1+(((Inputs!$B$13+IF(Inputs!$B$3&gt;=38,(10*INDEX(FactorTable!$B$2:$Y$301, MATCH(ROUND(MIN(300,MAX(1,Inputs!$B$3)),0), FactorTable!$A$2:$A$301,0), 23)/1000)/100*(Inputs!$B$8*(1+Inputs!$B$9/100)),0))*(1+Inputs!$B$14/100))*0.01+Inputs!$B$15*0.0025)/100)*(1+Inputs!$B$16/100)*(1+(Inputs!$B$17+1)/100)*(5000/(6000+Inputs!$B$43*(1-(Inputs!$B$20+0)/100)))*(1+(Inputs!$B$25+((C312=TRUE)*(F312-Calc!F25))+((C313=TRUE)*(F313-Calc!F26))+B322)/100)*(1+(IF(Skills!A10="DARK_IMPALE",Inputs!$B$18+0,Inputs!$B$19+((C310=TRUE)*(F310-Calc!F23))))/100)*((1+(((C300=TRUE)*F300*IF(AND(Inputs!$B$39&lt;&gt;"pvp",Inputs!$B$44&gt;0),(((R300-1)*(Skills!T13*(1+Inputs!$B$35/100))+MIN((Skills!T13*(1+Inputs!$B$35/100)),MAX(0,Inputs!$B$44-((R300-1)*Skills!D13))))/Inputs!$B$44),IF(Inputs!$B$39="pvp",MIN((Skills!T13*(1+Inputs!$B$35/100)),15)/15,(Skills!T13*(1+Inputs!$B$35/100))/Skills!D13)))+((C301=TRUE)*F301*IF(AND(Inputs!$B$39&lt;&gt;"pvp",Inputs!$B$44&gt;0),(((R301-1)*(Skills!T14*(1+Inputs!$B$35/100))+MIN((Skills!T14*(1+Inputs!$B$35/100)),MAX(0,Inputs!$B$44-((R301-1)*Skills!D14))))/Inputs!$B$44),IF(Inputs!$B$39="pvp",MIN((Skills!T14*(1+Inputs!$B$35/100)),15)/15,(Skills!T14*(1+Inputs!$B$35/100))/Skills!D14)))+((C302=TRUE)*F302*IF(AND(Inputs!$B$39&lt;&gt;"pvp",Inputs!$B$44&gt;0),(((R302-1)*(Skills!T15*(1+Inputs!$B$35/100))+MIN((Skills!T15*(1+Inputs!$B$35/100)),MAX(0,Inputs!$B$44-((R302-1)*Skills!D15))))/Inputs!$B$44),IF(Inputs!$B$39="pvp",MIN((Skills!T15*(1+Inputs!$B$35/100)),15)/15,(Skills!T15*(1+Inputs!$B$35/100))/Skills!D15)))+((C303=TRUE)*F303*IF(AND(Inputs!$B$39&lt;&gt;"pvp",Inputs!$B$44&gt;0),(((R303-1)*(Skills!T16*(1+Inputs!$B$35/100))+MIN((Skills!T16*(1+Inputs!$B$35/100)),MAX(0,Inputs!$B$44-((R303-1)*Skills!D16))))/Inputs!$B$44),IF(Inputs!$B$39="pvp",MIN((Skills!T16*(1+Inputs!$B$35/100)),15)/15,(Skills!T16*(1+Inputs!$B$35/100))/Skills!D16)))+0)/100)*I297)</f>
        <v/>
      </c>
      <c r="L297">
        <f>K297*(MIN(Inputs!$B$23+((C309=TRUE)*(F309-Calc!F22)),Inputs!$B$24+((C311=TRUE)*(F311-Calc!F24)))/100+(Inputs!$B$24+((C311=TRUE)*(F311-Calc!F24)))/100)/2</f>
        <v/>
      </c>
      <c r="M297">
        <f>L297*(1+(Inputs!$B$11+0+B321)/100)</f>
        <v/>
      </c>
      <c r="N297">
        <f>L297*(1-MIN((Inputs!$B$10+0+B316),100)/100)+M297*(MIN((Inputs!$B$10+0+B316),100)/100)</f>
        <v/>
      </c>
      <c r="O297">
        <f>(1-Summary!$B$55)*T297+Summary!$B$55*V297</f>
        <v/>
      </c>
      <c r="P297">
        <f>IF(B326=0,0,O297/B326)</f>
        <v/>
      </c>
      <c r="Q297">
        <f>IFERROR(1/IF(Inputs!$B$39="pvp",15,MAX(0.1,Skills!D10-IF(Skills!E10=TRUE,Inputs!$B$33,0))),0)</f>
        <v/>
      </c>
      <c r="R297">
        <f>IF(AND(Inputs!$B$39&lt;&gt;"pvp",Inputs!$B$44&gt;0),IF(MAX(0,Inputs!$B$44-B323)&lt;=0,0,(INT(MAX(0,Inputs!$B$44-B323)/IF(Inputs!$B$39="pvp",15,MAX(0.1,Skills!D10-IF(Skills!E10=TRUE,Inputs!$B$33,0))))+1)),0)</f>
        <v/>
      </c>
      <c r="S297">
        <f>IFERROR(O297/N297,0)</f>
        <v/>
      </c>
      <c r="T297">
        <f>IF(C297,(H297*N297*IF(AND(Inputs!$B$39&lt;&gt;"pvp",Inputs!$B$44&gt;0),((Skills!G10*((R297-1)*IF(Skills!H10&gt;0,Skills!I10/Skills!H10,1)+IF(Skills!H10&gt;0,MIN(Skills!I10,MAX(0,MAX(0,Inputs!$B$44-B323)-((R297-1)*IF(Inputs!$B$39="pvp",15,MAX(0.1,Skills!D10-IF(Skills!E10=TRUE,Inputs!$B$33,0))))))/Skills!H10,1)))/Inputs!$B$44),G297*Q297))*IF(Inputs!$B$39="pvp",1,1+(Inputs!$B$21+0+Skills!P10+((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0)</f>
        <v/>
      </c>
      <c r="V297">
        <f>IF(C297,(H297*N297*IF(AND(Inputs!$B$39&lt;&gt;"pvp",Inputs!$B$44&gt;0),((Skills!G10*((R297-1)*IF(Skills!H10&gt;0,Skills!I10/Skills!H10,1)+IF(Skills!H10&gt;0,MIN(Skills!I10,MAX(0,MAX(0,Inputs!$B$44-B323)-((R297-1)*IF(Inputs!$B$39="pvp",15,MAX(0.1,Skills!D10-IF(Skills!E10=TRUE,Inputs!$B$33,0))))))/Skills!H10,1)))/Inputs!$B$44),G297*Q297))*IF(Inputs!$B$39="pvp",1,(1+(Inputs!$B$22+Skills!Q10+((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MIN(Skills!R10,Inputs!$B$38))),0)</f>
        <v/>
      </c>
    </row>
    <row r="298">
      <c r="A298">
        <f>Skills!A11</f>
        <v/>
      </c>
      <c r="B298">
        <f>Skills!B11</f>
        <v/>
      </c>
      <c r="C298">
        <f>Inputs!$B$3&gt;=100</f>
        <v/>
      </c>
      <c r="D298">
        <f>IF(Skills!C11=1,60+Inputs!$B$26+Inputs!$B$30,IF(Skills!C11=2,90+Inputs!$B$27+Inputs!$B$30,IF(Skills!C11=3,120+Inputs!$B$28+Inputs!$B$30,MAX(0,(Inputs!$B$3-100)*3)+Inputs!$B$29+Inputs!$B$30)))</f>
        <v/>
      </c>
      <c r="E298">
        <f>INDEX(FactorTable!$B$2:$Y$301, MATCH(ROUND(MIN(300,MAX(1,D298)),0), FactorTable!$A$2:$A$301,0), Skills!M11+1)</f>
        <v/>
      </c>
      <c r="F298">
        <f>IF(Skills!N11=TRUE,(Skills!L11/10)*(E298/1000),Skills!L11/10)+Skills!O11</f>
        <v/>
      </c>
      <c r="G298" t="inlineStr"/>
      <c r="H298" t="inlineStr"/>
      <c r="I298" t="inlineStr">
        <is>
          <t>1</t>
        </is>
      </c>
      <c r="J298" t="inlineStr"/>
      <c r="K298" t="inlineStr"/>
      <c r="L298" t="inlineStr"/>
      <c r="M298" t="inlineStr"/>
      <c r="N298" t="inlineStr"/>
      <c r="O298" t="inlineStr"/>
      <c r="P298" t="inlineStr"/>
      <c r="Q298" t="inlineStr"/>
      <c r="R298" t="inlineStr"/>
      <c r="S298" t="inlineStr"/>
    </row>
    <row r="299">
      <c r="A299">
        <f>Skills!A12</f>
        <v/>
      </c>
      <c r="B299">
        <f>Skills!B12</f>
        <v/>
      </c>
      <c r="C299">
        <f>Inputs!$B$3&gt;=63</f>
        <v/>
      </c>
      <c r="D299">
        <f>IF(Skills!C12=1,60+Inputs!$B$26+Inputs!$B$30,IF(Skills!C12=2,90+Inputs!$B$27+Inputs!$B$30,IF(Skills!C12=3,120+Inputs!$B$28+Inputs!$B$30,MAX(0,(Inputs!$B$3-100)*3)+Inputs!$B$29+Inputs!$B$30)))</f>
        <v/>
      </c>
      <c r="E299">
        <f>INDEX(FactorTable!$B$2:$Y$301, MATCH(ROUND(MIN(300,MAX(1,D299)),0), FactorTable!$A$2:$A$301,0), Skills!M12+1)</f>
        <v/>
      </c>
      <c r="F299">
        <f>IF(Skills!N12=TRUE,(Skills!L12/10)*(E299/1000),Skills!L12/10)+Skills!O12</f>
        <v/>
      </c>
      <c r="G299">
        <f>Skills!G12*IF(Skills!H12&gt;0,Skills!I12/Skills!H12,1)</f>
        <v/>
      </c>
      <c r="H299">
        <f>1-(1-Skills!J12/100)^Skills!K12</f>
        <v/>
      </c>
      <c r="I299" t="inlineStr">
        <is>
          <t>1</t>
        </is>
      </c>
      <c r="J299">
        <f>((Inputs!$B$6*(1+Inputs!$B$7/100))+(((Inputs!$B$13*(1+Inputs!$B$14/100))-(Inputs!$B$13*(1+Inputs!$B$14/100)))+0.25*(Inputs!$B$15-Inputs!$B$15))*(1+Inputs!$B$7/100))*(F299/100)</f>
        <v/>
      </c>
      <c r="K299">
        <f>J299*(1+(((Inputs!$B$13+IF(Inputs!$B$3&gt;=38,(10*INDEX(FactorTable!$B$2:$Y$301, MATCH(ROUND(MIN(300,MAX(1,Inputs!$B$3)),0), FactorTable!$A$2:$A$301,0), 23)/1000)/100*(Inputs!$B$8*(1+Inputs!$B$9/100)),0))*(1+Inputs!$B$14/100))*0.01+Inputs!$B$15*0.0025)/100)*(1+Inputs!$B$16/100)*(1+(Inputs!$B$17+1)/100)*(5000/(6000+Inputs!$B$43*(1-(Inputs!$B$20+0)/100)))*(1+(Inputs!$B$25+((C312=TRUE)*(F312-Calc!F25))+((C313=TRUE)*(F313-Calc!F26))+B322)/100)*(1+0.75*IF(C298=TRUE,F298,0)/100)*(1+(IF(Skills!A12="DARK_IMPALE",Inputs!$B$18+0,Inputs!$B$19+((C310=TRUE)*(F310-Calc!F23))))/100)*((1+(((C300=TRUE)*F300*IF(AND(Inputs!$B$39&lt;&gt;"pvp",Inputs!$B$44&gt;0),(((R300-1)*(Skills!T13*(1+Inputs!$B$35/100))+MIN((Skills!T13*(1+Inputs!$B$35/100)),MAX(0,Inputs!$B$44-((R300-1)*Skills!D13))))/Inputs!$B$44),IF(Inputs!$B$39="pvp",MIN((Skills!T13*(1+Inputs!$B$35/100)),15)/15,(Skills!T13*(1+Inputs!$B$35/100))/Skills!D13)))+((C301=TRUE)*F301*IF(AND(Inputs!$B$39&lt;&gt;"pvp",Inputs!$B$44&gt;0),(((R301-1)*(Skills!T14*(1+Inputs!$B$35/100))+MIN((Skills!T14*(1+Inputs!$B$35/100)),MAX(0,Inputs!$B$44-((R301-1)*Skills!D14))))/Inputs!$B$44),IF(Inputs!$B$39="pvp",MIN((Skills!T14*(1+Inputs!$B$35/100)),15)/15,(Skills!T14*(1+Inputs!$B$35/100))/Skills!D14)))+((C302=TRUE)*F302*IF(AND(Inputs!$B$39&lt;&gt;"pvp",Inputs!$B$44&gt;0),(((R302-1)*(Skills!T15*(1+Inputs!$B$35/100))+MIN((Skills!T15*(1+Inputs!$B$35/100)),MAX(0,Inputs!$B$44-((R302-1)*Skills!D15))))/Inputs!$B$44),IF(Inputs!$B$39="pvp",MIN((Skills!T15*(1+Inputs!$B$35/100)),15)/15,(Skills!T15*(1+Inputs!$B$35/100))/Skills!D15)))+((C303=TRUE)*F303*IF(AND(Inputs!$B$39&lt;&gt;"pvp",Inputs!$B$44&gt;0),(((R303-1)*(Skills!T16*(1+Inputs!$B$35/100))+MIN((Skills!T16*(1+Inputs!$B$35/100)),MAX(0,Inputs!$B$44-((R303-1)*Skills!D16))))/Inputs!$B$44),IF(Inputs!$B$39="pvp",MIN((Skills!T16*(1+Inputs!$B$35/100)),15)/15,(Skills!T16*(1+Inputs!$B$35/100))/Skills!D16)))+0)/100)*I299)</f>
        <v/>
      </c>
      <c r="L299">
        <f>K299*(MIN(Inputs!$B$23+((C309=TRUE)*(F309-Calc!F22)),Inputs!$B$24+((C311=TRUE)*(F311-Calc!F24)))/100+(Inputs!$B$24+((C311=TRUE)*(F311-Calc!F24)))/100)/2</f>
        <v/>
      </c>
      <c r="M299">
        <f>L299*(1+(Inputs!$B$11+0+B321)/100)</f>
        <v/>
      </c>
      <c r="N299">
        <f>L299*(1-MIN((Inputs!$B$10+0+B316),100)/100)+M299*(MIN((Inputs!$B$10+0+B316),100)/100)</f>
        <v/>
      </c>
      <c r="O299">
        <f>(1-Summary!$B$55)*T299+Summary!$B$55*V299</f>
        <v/>
      </c>
      <c r="P299">
        <f>IF(B326=0,0,O299/B326)</f>
        <v/>
      </c>
      <c r="Q299">
        <f>IFERROR(1/IF(Inputs!$B$39="pvp",15,MAX(0.1,Skills!D12-IF(Skills!E12=TRUE,Inputs!$B$33,0))),0)</f>
        <v/>
      </c>
      <c r="R299">
        <f>IF(AND(Inputs!$B$39&lt;&gt;"pvp",Inputs!$B$44&gt;0),IF(MAX(0,Inputs!$B$44-B323)&lt;=0,0,(INT(MAX(0,Inputs!$B$44-B323)/IF(Inputs!$B$39="pvp",15,MAX(0.1,Skills!D12-IF(Skills!E12=TRUE,Inputs!$B$33,0))))+1)),0)</f>
        <v/>
      </c>
      <c r="S299">
        <f>IFERROR(O299/N299,0)</f>
        <v/>
      </c>
      <c r="T299">
        <f>IF(C299,(H299*N299*IF(AND(Inputs!$B$39&lt;&gt;"pvp",Inputs!$B$44&gt;0),((Skills!G12*((R299-1)*IF(Skills!H12&gt;0,Skills!I12/Skills!H12,1)+IF(Skills!H12&gt;0,MIN(Skills!I12,MAX(0,MAX(0,Inputs!$B$44-B323)-((R299-1)*IF(Inputs!$B$39="pvp",15,MAX(0.1,Skills!D12-IF(Skills!E12=TRUE,Inputs!$B$33,0))))))/Skills!H12,1)))/Inputs!$B$44),G299*Q299))*IF(Inputs!$B$39="pvp",1,1+(Inputs!$B$21+0+Skills!P12+((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0)</f>
        <v/>
      </c>
      <c r="V299">
        <f>IF(C299,(H299*N299*IF(AND(Inputs!$B$39&lt;&gt;"pvp",Inputs!$B$44&gt;0),((Skills!G12*((R299-1)*IF(Skills!H12&gt;0,Skills!I12/Skills!H12,1)+IF(Skills!H12&gt;0,MIN(Skills!I12,MAX(0,MAX(0,Inputs!$B$44-B323)-((R299-1)*IF(Inputs!$B$39="pvp",15,MAX(0.1,Skills!D12-IF(Skills!E12=TRUE,Inputs!$B$33,0))))))/Skills!H12,1)))/Inputs!$B$44),G299*Q299))*IF(Inputs!$B$39="pvp",1,(1+(Inputs!$B$22+Skills!Q12+((C304=TRUE)*F304*IF(AND(Inputs!$B$39&lt;&gt;"pvp",Inputs!$B$44&gt;0),(((R304-1)*(Skills!T17*(1+Inputs!$B$35/100))+MIN((Skills!T17*(1+Inputs!$B$35/100)),MAX(0,Inputs!$B$44-((R304-1)*Skills!D17))))/Inputs!$B$44),IF(Inputs!$B$39="pvp",MIN((Skills!T17*(1+Inputs!$B$35/100)),15)/15,(Skills!T17*(1+Inputs!$B$35/100))/Skills!D17)))+((C301=TRUE)*IF(Inputs!$B$39="pvp",20,(1-Summary!$B$55)*(20)+Summary!$B$55*(0))*IF(AND(Inputs!$B$39&lt;&gt;"pvp",Inputs!$B$44&gt;0),(((R301-1)*(Skills!T14*(1+Inputs!$B$35/100))+MIN((Skills!T14*(1+Inputs!$B$35/100)),MAX(0,Inputs!$B$44-((R301-1)*Skills!D14))))/Inputs!$B$44),IF(Inputs!$B$39="pvp",MIN((Skills!T14*(1+Inputs!$B$35/100)),15)/15,(Skills!T14*(1+Inputs!$B$35/100))/Skills!D14))))/100)*(MIN(Skills!R12,Inputs!$B$38))),0)</f>
        <v/>
      </c>
    </row>
    <row r="300">
      <c r="A300">
        <f>Skills!A13</f>
        <v/>
      </c>
      <c r="B300">
        <f>Skills!B13</f>
        <v/>
      </c>
      <c r="C300">
        <f>Inputs!$B$3&gt;=69</f>
        <v/>
      </c>
      <c r="D300">
        <f>IF(Skills!C13=1,60+Inputs!$B$26+Inputs!$B$30,IF(Skills!C13=2,90+Inputs!$B$27+Inputs!$B$30,IF(Skills!C13=3,120+Inputs!$B$28+Inputs!$B$30,MAX(0,(Inputs!$B$3-100)*3)+Inputs!$B$29+Inputs!$B$30)))</f>
        <v/>
      </c>
      <c r="E300">
        <f>INDEX(FactorTable!$B$2:$Y$301, MATCH(ROUND(MIN(300,MAX(1,D300)),0), FactorTable!$A$2:$A$301,0), Skills!M13+1)</f>
        <v/>
      </c>
      <c r="F300">
        <f>IF(Skills!N13=TRUE,(Skills!L13/10)*(E300/1000),Skills!L13/10)+Skills!O13</f>
        <v/>
      </c>
      <c r="G300">
        <f>Skills!G13*IF(Skills!H13&gt;0,Skills!I13/Skills!H13,1)</f>
        <v/>
      </c>
      <c r="H300">
        <f>1-(1-Skills!J13/100)^Skills!K13</f>
        <v/>
      </c>
      <c r="I300" t="inlineStr">
        <is>
          <t>1</t>
        </is>
      </c>
      <c r="J300" t="inlineStr"/>
      <c r="K300" t="inlineStr"/>
      <c r="L300" t="inlineStr"/>
      <c r="M300" t="inlineStr"/>
      <c r="N300" t="inlineStr"/>
      <c r="O300">
        <f>(1-Summary!$B$55)*T300+Summary!$B$55*V300</f>
        <v/>
      </c>
      <c r="P300">
        <f>IF(B326=0,0,O300/B326)</f>
        <v/>
      </c>
      <c r="Q300">
        <f>IFERROR(1/IF(Inputs!$B$39="pvp",15,MAX(0.1,Skills!D13-IF(Skills!E13=TRUE,Inputs!$B$33,0))),0)</f>
        <v/>
      </c>
      <c r="R300">
        <f>IF(AND(Inputs!$B$39&lt;&gt;"pvp",Inputs!$B$44&gt;0),IF(Inputs!$B$44&lt;=0,0,(INT(Inputs!$B$44/IF(Inputs!$B$39="pvp",15,MAX(0.1,Skills!D13-IF(Skills!E13=TRUE,Inputs!$B$33,0))))+1)),0)</f>
        <v/>
      </c>
      <c r="S300">
        <f>IFERROR(O300/N300,0)</f>
        <v/>
      </c>
      <c r="T300" t="n">
        <v>0</v>
      </c>
      <c r="V300" t="n">
        <v>0</v>
      </c>
    </row>
    <row r="301">
      <c r="A301">
        <f>Skills!A14</f>
        <v/>
      </c>
      <c r="B301">
        <f>Skills!B14</f>
        <v/>
      </c>
      <c r="C301">
        <f>Inputs!$B$3&gt;=115</f>
        <v/>
      </c>
      <c r="D301">
        <f>IF(Skills!C14=1,60+Inputs!$B$26+Inputs!$B$30,IF(Skills!C14=2,90+Inputs!$B$27+Inputs!$B$30,IF(Skills!C14=3,120+Inputs!$B$28+Inputs!$B$30,MAX(0,(Inputs!$B$3-100)*3)+Inputs!$B$29+Inputs!$B$30)))</f>
        <v/>
      </c>
      <c r="E301">
        <f>INDEX(FactorTable!$B$2:$Y$301, MATCH(ROUND(MIN(300,MAX(1,D301)),0), FactorTable!$A$2:$A$301,0), Skills!M14+1)</f>
        <v/>
      </c>
      <c r="F301">
        <f>IF(Skills!N14=TRUE,(Skills!L14/10)*(E301/1000),Skills!L14/10)+Skills!O14</f>
        <v/>
      </c>
      <c r="G301">
        <f>Skills!G14*IF(Skills!H14&gt;0,Skills!I14/Skills!H14,1)</f>
        <v/>
      </c>
      <c r="H301">
        <f>1-(1-Skills!J14/100)^Skills!K14</f>
        <v/>
      </c>
      <c r="I301" t="inlineStr">
        <is>
          <t>1</t>
        </is>
      </c>
      <c r="J301" t="inlineStr"/>
      <c r="K301" t="inlineStr"/>
      <c r="L301" t="inlineStr"/>
      <c r="M301" t="inlineStr"/>
      <c r="N301" t="inlineStr"/>
      <c r="O301">
        <f>(1-Summary!$B$55)*T301+Summary!$B$55*V301</f>
        <v/>
      </c>
      <c r="P301">
        <f>IF(B326=0,0,O301/B326)</f>
        <v/>
      </c>
      <c r="Q301">
        <f>IFERROR(1/IF(Inputs!$B$39="pvp",15,MAX(0.1,Skills!D14-IF(Skills!E14=TRUE,Inputs!$B$33,0))),0)</f>
        <v/>
      </c>
      <c r="R301">
        <f>IF(AND(Inputs!$B$39&lt;&gt;"pvp",Inputs!$B$44&gt;0),IF(Inputs!$B$44&lt;=0,0,(INT(Inputs!$B$44/IF(Inputs!$B$39="pvp",15,MAX(0.1,Skills!D14-IF(Skills!E14=TRUE,Inputs!$B$33,0))))+1)),0)</f>
        <v/>
      </c>
      <c r="S301">
        <f>IFERROR(O301/N301,0)</f>
        <v/>
      </c>
      <c r="T301" t="n">
        <v>0</v>
      </c>
      <c r="V301" t="n">
        <v>0</v>
      </c>
    </row>
    <row r="302">
      <c r="A302">
        <f>Skills!A15</f>
        <v/>
      </c>
      <c r="B302">
        <f>Skills!B15</f>
        <v/>
      </c>
      <c r="C302">
        <f>Inputs!$B$3&gt;=66</f>
        <v/>
      </c>
      <c r="D302">
        <f>IF(Skills!C15=1,60+Inputs!$B$26+Inputs!$B$30,IF(Skills!C15=2,90+Inputs!$B$27+Inputs!$B$30,IF(Skills!C15=3,120+Inputs!$B$28+Inputs!$B$30,MAX(0,(Inputs!$B$3-100)*3)+Inputs!$B$29+Inputs!$B$30)))</f>
        <v/>
      </c>
      <c r="E302">
        <f>INDEX(FactorTable!$B$2:$Y$301, MATCH(ROUND(MIN(300,MAX(1,D302)),0), FactorTable!$A$2:$A$301,0), Skills!M15+1)</f>
        <v/>
      </c>
      <c r="F302">
        <f>IF(Skills!N15=TRUE,(Skills!L15/10)*(E302/1000),Skills!L15/10)+Skills!O15</f>
        <v/>
      </c>
      <c r="G302">
        <f>Skills!G15*IF(Skills!H15&gt;0,Skills!I15/Skills!H15,1)</f>
        <v/>
      </c>
      <c r="H302">
        <f>1-(1-Skills!J15/100)^Skills!K15</f>
        <v/>
      </c>
      <c r="I302" t="inlineStr">
        <is>
          <t>1</t>
        </is>
      </c>
      <c r="J302" t="inlineStr"/>
      <c r="K302" t="inlineStr"/>
      <c r="L302" t="inlineStr"/>
      <c r="M302" t="inlineStr"/>
      <c r="N302" t="inlineStr"/>
      <c r="O302">
        <f>(1-Summary!$B$55)*T302+Summary!$B$55*V302</f>
        <v/>
      </c>
      <c r="P302">
        <f>IF(B326=0,0,O302/B326)</f>
        <v/>
      </c>
      <c r="Q302">
        <f>IFERROR(1/IF(Inputs!$B$39="pvp",15,MAX(0.1,Skills!D15-IF(Skills!E15=TRUE,Inputs!$B$33,0))),0)</f>
        <v/>
      </c>
      <c r="R302">
        <f>IF(AND(Inputs!$B$39&lt;&gt;"pvp",Inputs!$B$44&gt;0),IF(Inputs!$B$44&lt;=0,0,(INT(Inputs!$B$44/IF(Inputs!$B$39="pvp",15,MAX(0.1,Skills!D15-IF(Skills!E15=TRUE,Inputs!$B$33,0))))+1)),0)</f>
        <v/>
      </c>
      <c r="S302">
        <f>IFERROR(O302/N302,0)</f>
        <v/>
      </c>
      <c r="T302" t="n">
        <v>0</v>
      </c>
      <c r="V302" t="n">
        <v>0</v>
      </c>
    </row>
    <row r="303">
      <c r="A303">
        <f>Skills!A16</f>
        <v/>
      </c>
      <c r="B303">
        <f>Skills!B16</f>
        <v/>
      </c>
      <c r="C303">
        <f>Inputs!$B$3&gt;=45</f>
        <v/>
      </c>
      <c r="D303">
        <f>IF(Skills!C16=1,60+Inputs!$B$26+Inputs!$B$30,IF(Skills!C16=2,90+Inputs!$B$27+Inputs!$B$30,IF(Skills!C16=3,120+Inputs!$B$28+Inputs!$B$30,MAX(0,(Inputs!$B$3-100)*3)+Inputs!$B$29+Inputs!$B$30)))</f>
        <v/>
      </c>
      <c r="E303">
        <f>INDEX(FactorTable!$B$2:$Y$301, MATCH(ROUND(MIN(300,MAX(1,D303)),0), FactorTable!$A$2:$A$301,0), Skills!M16+1)</f>
        <v/>
      </c>
      <c r="F303">
        <f>IF(Skills!N16=TRUE,(Skills!L16/10)*(E303/1000),Skills!L16/10)+Skills!O16</f>
        <v/>
      </c>
      <c r="G303">
        <f>Skills!G16*IF(Skills!H16&gt;0,Skills!I16/Skills!H16,1)</f>
        <v/>
      </c>
      <c r="H303">
        <f>1-(1-Skills!J16/100)^Skills!K16</f>
        <v/>
      </c>
      <c r="I303" t="inlineStr">
        <is>
          <t>1</t>
        </is>
      </c>
      <c r="J303" t="inlineStr"/>
      <c r="K303" t="inlineStr"/>
      <c r="L303" t="inlineStr"/>
      <c r="M303" t="inlineStr"/>
      <c r="N303" t="inlineStr"/>
      <c r="O303">
        <f>(1-Summary!$B$55)*T303+Summary!$B$55*V303</f>
        <v/>
      </c>
      <c r="P303">
        <f>IF(B326=0,0,O303/B326)</f>
        <v/>
      </c>
      <c r="Q303">
        <f>IFERROR(1/IF(Inputs!$B$39="pvp",15,MAX(0.1,Skills!D16-IF(Skills!E16=TRUE,Inputs!$B$33,0))),0)</f>
        <v/>
      </c>
      <c r="R303">
        <f>IF(AND(Inputs!$B$39&lt;&gt;"pvp",Inputs!$B$44&gt;0),IF(Inputs!$B$44&lt;=0,0,(INT(Inputs!$B$44/IF(Inputs!$B$39="pvp",15,MAX(0.1,Skills!D16-IF(Skills!E16=TRUE,Inputs!$B$33,0))))+1)),0)</f>
        <v/>
      </c>
      <c r="S303">
        <f>IFERROR(O303/N303,0)</f>
        <v/>
      </c>
      <c r="T303" t="n">
        <v>0</v>
      </c>
      <c r="V303" t="n">
        <v>0</v>
      </c>
    </row>
    <row r="304">
      <c r="A304">
        <f>Skills!A17</f>
        <v/>
      </c>
      <c r="B304">
        <f>Skills!B17</f>
        <v/>
      </c>
      <c r="C304">
        <f>Inputs!$B$3&gt;=35</f>
        <v/>
      </c>
      <c r="D304">
        <f>IF(Skills!C17=1,60+Inputs!$B$26+Inputs!$B$30,IF(Skills!C17=2,90+Inputs!$B$27+Inputs!$B$30,IF(Skills!C17=3,120+Inputs!$B$28+Inputs!$B$30,MAX(0,(Inputs!$B$3-100)*3)+Inputs!$B$29+Inputs!$B$30)))</f>
        <v/>
      </c>
      <c r="E304">
        <f>INDEX(FactorTable!$B$2:$Y$301, MATCH(ROUND(MIN(300,MAX(1,D304)),0), FactorTable!$A$2:$A$301,0), Skills!M17+1)</f>
        <v/>
      </c>
      <c r="F304">
        <f>IF(Skills!N17=TRUE,(Skills!L17/10)*(E304/1000),Skills!L17/10)+Skills!O17</f>
        <v/>
      </c>
      <c r="G304">
        <f>Skills!G17*IF(Skills!H17&gt;0,Skills!I17/Skills!H17,1)</f>
        <v/>
      </c>
      <c r="H304">
        <f>1-(1-Skills!J17/100)^Skills!K17</f>
        <v/>
      </c>
      <c r="I304" t="inlineStr">
        <is>
          <t>1</t>
        </is>
      </c>
      <c r="J304" t="inlineStr"/>
      <c r="K304" t="inlineStr"/>
      <c r="L304" t="inlineStr"/>
      <c r="M304" t="inlineStr"/>
      <c r="N304" t="inlineStr"/>
      <c r="O304">
        <f>(1-Summary!$B$55)*T304+Summary!$B$55*V304</f>
        <v/>
      </c>
      <c r="P304">
        <f>IF(B326=0,0,O304/B326)</f>
        <v/>
      </c>
      <c r="Q304">
        <f>IFERROR(1/IF(Inputs!$B$39="pvp",15,MAX(0.1,Skills!D17-IF(Skills!E17=TRUE,Inputs!$B$33,0))),0)</f>
        <v/>
      </c>
      <c r="R304">
        <f>IF(AND(Inputs!$B$39&lt;&gt;"pvp",Inputs!$B$44&gt;0),IF(Inputs!$B$44&lt;=0,0,(INT(Inputs!$B$44/IF(Inputs!$B$39="pvp",15,MAX(0.1,Skills!D17-IF(Skills!E17=TRUE,Inputs!$B$33,0))))+1)),0)</f>
        <v/>
      </c>
      <c r="S304">
        <f>IFERROR(O304/N304,0)</f>
        <v/>
      </c>
      <c r="T304" t="n">
        <v>0</v>
      </c>
      <c r="V304" t="n">
        <v>0</v>
      </c>
    </row>
    <row r="305">
      <c r="A305">
        <f>Skills!A18</f>
        <v/>
      </c>
      <c r="B305">
        <f>Skills!B18</f>
        <v/>
      </c>
      <c r="C305">
        <f>Inputs!$B$3&gt;=72</f>
        <v/>
      </c>
      <c r="D305">
        <f>IF(Skills!C18=1,60+Inputs!$B$26+Inputs!$B$30,IF(Skills!C18=2,90+Inputs!$B$27+Inputs!$B$30,IF(Skills!C18=3,120+Inputs!$B$28+Inputs!$B$30,MAX(0,(Inputs!$B$3-100)*3)+Inputs!$B$29+Inputs!$B$30)))</f>
        <v/>
      </c>
      <c r="E305">
        <f>INDEX(FactorTable!$B$2:$Y$301, MATCH(ROUND(MIN(300,MAX(1,D305)),0), FactorTable!$A$2:$A$301,0), Skills!M18+1)</f>
        <v/>
      </c>
      <c r="F305">
        <f>IF(Skills!N18=TRUE,(Skills!L18/10)*(E305/1000),Skills!L18/10)+Skills!O18</f>
        <v/>
      </c>
      <c r="G305">
        <f>Skills!G18*IF(Skills!H18&gt;0,Skills!I18/Skills!H18,1)</f>
        <v/>
      </c>
      <c r="H305">
        <f>1-(1-Skills!J18/100)^Skills!K18</f>
        <v/>
      </c>
      <c r="I305" t="inlineStr">
        <is>
          <t>1</t>
        </is>
      </c>
      <c r="J305" t="inlineStr"/>
      <c r="K305" t="inlineStr"/>
      <c r="L305" t="inlineStr"/>
      <c r="M305" t="inlineStr"/>
      <c r="N305" t="inlineStr"/>
      <c r="O305">
        <f>(1-Summary!$B$55)*T305+Summary!$B$55*V305</f>
        <v/>
      </c>
      <c r="P305">
        <f>IF(B326=0,0,O305/B326)</f>
        <v/>
      </c>
      <c r="Q305">
        <f>IFERROR(1/IF(Inputs!$B$39="pvp",15,MAX(0.1,Skills!D18-IF(Skills!E18=TRUE,Inputs!$B$33,0))),0)</f>
        <v/>
      </c>
      <c r="R305">
        <f>IF(AND(Inputs!$B$39&lt;&gt;"pvp",Inputs!$B$44&gt;0),IF(Inputs!$B$44&lt;=0,0,(INT(Inputs!$B$44/IF(Inputs!$B$39="pvp",15,MAX(0.1,Skills!D18-IF(Skills!E18=TRUE,Inputs!$B$33,0))))+1)),0)</f>
        <v/>
      </c>
      <c r="S305">
        <f>IFERROR(O305/N305,0)</f>
        <v/>
      </c>
      <c r="T305" t="n">
        <v>0</v>
      </c>
      <c r="V305" t="n">
        <v>0</v>
      </c>
    </row>
    <row r="306">
      <c r="A306">
        <f>Skills!A19</f>
        <v/>
      </c>
      <c r="B306">
        <f>Skills!B19</f>
        <v/>
      </c>
      <c r="C306">
        <f>Inputs!$B$3&gt;=72</f>
        <v/>
      </c>
      <c r="D306">
        <f>IF(Skills!C19=1,60+Inputs!$B$26+Inputs!$B$30,IF(Skills!C19=2,90+Inputs!$B$27+Inputs!$B$30,IF(Skills!C19=3,120+Inputs!$B$28+Inputs!$B$30,MAX(0,(Inputs!$B$3-100)*3)+Inputs!$B$29+Inputs!$B$30)))</f>
        <v/>
      </c>
      <c r="E306">
        <f>INDEX(FactorTable!$B$2:$Y$301, MATCH(ROUND(MIN(300,MAX(1,D306)),0), FactorTable!$A$2:$A$301,0), Skills!M19+1)</f>
        <v/>
      </c>
      <c r="F306">
        <f>IF(Skills!N19=TRUE,(Skills!L19/10)*(E306/1000),Skills!L19/10)+Skills!O19</f>
        <v/>
      </c>
      <c r="G306">
        <f>Skills!G19*IF(Skills!H19&gt;0,Skills!I19/Skills!H19,1)</f>
        <v/>
      </c>
      <c r="H306">
        <f>1-(1-Skills!J19/100)^Skills!K19</f>
        <v/>
      </c>
      <c r="I306" t="inlineStr">
        <is>
          <t>1</t>
        </is>
      </c>
      <c r="J306" t="inlineStr"/>
      <c r="K306" t="inlineStr"/>
      <c r="L306" t="inlineStr"/>
      <c r="M306" t="inlineStr"/>
      <c r="N306" t="inlineStr"/>
      <c r="O306">
        <f>(1-Summary!$B$55)*T306+Summary!$B$55*V306</f>
        <v/>
      </c>
      <c r="P306">
        <f>IF(B326=0,0,O306/B326)</f>
        <v/>
      </c>
      <c r="Q306">
        <f>IFERROR(1/IF(Inputs!$B$39="pvp",15,MAX(0.1,Skills!D19-IF(Skills!E19=TRUE,Inputs!$B$33,0))),0)</f>
        <v/>
      </c>
      <c r="R306">
        <f>IF(AND(Inputs!$B$39&lt;&gt;"pvp",Inputs!$B$44&gt;0),IF(Inputs!$B$44&lt;=0,0,(INT(Inputs!$B$44/IF(Inputs!$B$39="pvp",15,MAX(0.1,Skills!D19-IF(Skills!E19=TRUE,Inputs!$B$33,0))))+1)),0)</f>
        <v/>
      </c>
      <c r="S306">
        <f>IFERROR(O306/N306,0)</f>
        <v/>
      </c>
      <c r="T306" t="n">
        <v>0</v>
      </c>
      <c r="V306" t="n">
        <v>0</v>
      </c>
    </row>
    <row r="307">
      <c r="A307">
        <f>Skills!A20</f>
        <v/>
      </c>
      <c r="B307">
        <f>Skills!B20</f>
        <v/>
      </c>
      <c r="C307">
        <f>TRUE</f>
        <v/>
      </c>
      <c r="D307">
        <f>IF(Skills!C20=1,60+Inputs!$B$26+Inputs!$B$30,IF(Skills!C20=2,90+Inputs!$B$27+Inputs!$B$30,IF(Skills!C20=3,120+Inputs!$B$28+Inputs!$B$30,MAX(0,(Inputs!$B$3-100)*3)+Inputs!$B$29+Inputs!$B$30)))</f>
        <v/>
      </c>
      <c r="E307">
        <f>INDEX(FactorTable!$B$2:$Y$301, MATCH(ROUND(MIN(300,MAX(1,D307)),0), FactorTable!$A$2:$A$301,0), Skills!M20+1)</f>
        <v/>
      </c>
      <c r="F307">
        <f>IF(Skills!N20=TRUE,(Skills!L20/10)*(E307/1000),Skills!L20/10)+Skills!O20</f>
        <v/>
      </c>
      <c r="G307">
        <f>Skills!G20*IF(Skills!H20&gt;0,Skills!I20/Skills!H20,1)</f>
        <v/>
      </c>
      <c r="H307">
        <f>1-(1-Skills!J20/100)^Skills!K20</f>
        <v/>
      </c>
      <c r="I307" t="inlineStr">
        <is>
          <t>1</t>
        </is>
      </c>
      <c r="J307" t="inlineStr"/>
      <c r="K307" t="inlineStr"/>
      <c r="L307" t="inlineStr"/>
      <c r="M307" t="inlineStr"/>
      <c r="N307" t="inlineStr"/>
      <c r="O307">
        <f>(1-Summary!$B$55)*T307+Summary!$B$55*V307</f>
        <v/>
      </c>
      <c r="P307">
        <f>IF(B326=0,0,O307/B326)</f>
        <v/>
      </c>
      <c r="Q307">
        <f>IFERROR(1/IF(Inputs!$B$39="pvp",15,MAX(0.1,Skills!D20-IF(Skills!E20=TRUE,Inputs!$B$33,0))),0)</f>
        <v/>
      </c>
      <c r="R307">
        <f>IF(AND(Inputs!$B$39&lt;&gt;"pvp",Inputs!$B$44&gt;0),IF(Inputs!$B$44&lt;=0,0,(INT(Inputs!$B$44/IF(Inputs!$B$39="pvp",15,MAX(0.1,Skills!D20-IF(Skills!E20=TRUE,Inputs!$B$33,0))))+1)),0)</f>
        <v/>
      </c>
      <c r="S307">
        <f>IFERROR(O307/N307,0)</f>
        <v/>
      </c>
      <c r="T307" t="n">
        <v>0</v>
      </c>
      <c r="V307" t="n">
        <v>0</v>
      </c>
    </row>
    <row r="308">
      <c r="A308">
        <f>Skills!A21</f>
        <v/>
      </c>
      <c r="B308">
        <f>Skills!B21</f>
        <v/>
      </c>
      <c r="C308">
        <f>Inputs!$B$3&gt;=33</f>
        <v/>
      </c>
      <c r="D308">
        <f>IF(Skills!C21=1,60+Inputs!$B$26+Inputs!$B$30,IF(Skills!C21=2,90+Inputs!$B$27+Inputs!$B$30,IF(Skills!C21=3,120+Inputs!$B$28+Inputs!$B$30,MAX(0,(Inputs!$B$3-100)*3)+Inputs!$B$29+Inputs!$B$30)))</f>
        <v/>
      </c>
      <c r="E308">
        <f>INDEX(FactorTable!$B$2:$Y$301, MATCH(ROUND(MIN(300,MAX(1,D308)),0), FactorTable!$A$2:$A$301,0), Skills!M21+1)</f>
        <v/>
      </c>
      <c r="F308">
        <f>IF(Skills!N21=TRUE,(Skills!L21/10)*(E308/1000),Skills!L21/10)+Skills!O21</f>
        <v/>
      </c>
      <c r="G308">
        <f>Skills!G21*IF(Skills!H21&gt;0,Skills!I21/Skills!H21,1)</f>
        <v/>
      </c>
      <c r="H308">
        <f>1-(1-Skills!J21/100)^Skills!K21</f>
        <v/>
      </c>
      <c r="I308" t="inlineStr">
        <is>
          <t>1</t>
        </is>
      </c>
      <c r="J308" t="inlineStr"/>
      <c r="K308" t="inlineStr"/>
      <c r="L308" t="inlineStr"/>
      <c r="M308" t="inlineStr"/>
      <c r="N308" t="inlineStr"/>
      <c r="O308">
        <f>(1-Summary!$B$55)*T308+Summary!$B$55*V308</f>
        <v/>
      </c>
      <c r="P308">
        <f>IF(B326=0,0,O308/B326)</f>
        <v/>
      </c>
      <c r="Q308" t="n">
        <v>0</v>
      </c>
      <c r="R308" t="n">
        <v>0</v>
      </c>
      <c r="S308">
        <f>IFERROR(O308/N308,0)</f>
        <v/>
      </c>
      <c r="T308" t="n">
        <v>0</v>
      </c>
      <c r="V308" t="n">
        <v>0</v>
      </c>
    </row>
    <row r="309">
      <c r="A309">
        <f>Skills!A22</f>
        <v/>
      </c>
      <c r="B309">
        <f>Skills!B22</f>
        <v/>
      </c>
      <c r="C309">
        <f>Inputs!$B$3&gt;=43</f>
        <v/>
      </c>
      <c r="D309">
        <f>IF(Skills!C22=1,60+Inputs!$B$26+Inputs!$B$30,IF(Skills!C22=2,90+Inputs!$B$27+Inputs!$B$30,IF(Skills!C22=3,120+Inputs!$B$28+Inputs!$B$30,MAX(0,(Inputs!$B$3-100)*3)+Inputs!$B$29+Inputs!$B$30)))</f>
        <v/>
      </c>
      <c r="E309">
        <f>INDEX(FactorTable!$B$2:$Y$301, MATCH(ROUND(MIN(300,MAX(1,D309)),0), FactorTable!$A$2:$A$301,0), Skills!M22+1)</f>
        <v/>
      </c>
      <c r="F309">
        <f>IF(Skills!N22=TRUE,(Skills!L22/10)*(E309/1000),Skills!L22/10)+Skills!O22</f>
        <v/>
      </c>
      <c r="G309">
        <f>Skills!G22*IF(Skills!H22&gt;0,Skills!I22/Skills!H22,1)</f>
        <v/>
      </c>
      <c r="H309">
        <f>1-(1-Skills!J22/100)^Skills!K22</f>
        <v/>
      </c>
      <c r="I309" t="inlineStr">
        <is>
          <t>1</t>
        </is>
      </c>
      <c r="J309" t="inlineStr"/>
      <c r="K309" t="inlineStr"/>
      <c r="L309" t="inlineStr"/>
      <c r="M309" t="inlineStr"/>
      <c r="N309" t="inlineStr"/>
      <c r="O309">
        <f>(1-Summary!$B$55)*T309+Summary!$B$55*V309</f>
        <v/>
      </c>
      <c r="P309">
        <f>IF(B326=0,0,O309/B326)</f>
        <v/>
      </c>
      <c r="Q309" t="n">
        <v>0</v>
      </c>
      <c r="R309" t="n">
        <v>0</v>
      </c>
      <c r="S309">
        <f>IFERROR(O309/N309,0)</f>
        <v/>
      </c>
      <c r="T309" t="n">
        <v>0</v>
      </c>
      <c r="V309" t="n">
        <v>0</v>
      </c>
    </row>
    <row r="310">
      <c r="A310">
        <f>Skills!A23</f>
        <v/>
      </c>
      <c r="B310">
        <f>Skills!B23</f>
        <v/>
      </c>
      <c r="C310">
        <f>Inputs!$B$3&gt;=120</f>
        <v/>
      </c>
      <c r="D310">
        <f>IF(Skills!C23=1,60+Inputs!$B$26+Inputs!$B$30,IF(Skills!C23=2,90+Inputs!$B$27+Inputs!$B$30,IF(Skills!C23=3,120+Inputs!$B$28+Inputs!$B$30,MAX(0,(Inputs!$B$3-100)*3)+Inputs!$B$29+Inputs!$B$30)))</f>
        <v/>
      </c>
      <c r="E310">
        <f>INDEX(FactorTable!$B$2:$Y$301, MATCH(ROUND(MIN(300,MAX(1,D310)),0), FactorTable!$A$2:$A$301,0), Skills!M23+1)</f>
        <v/>
      </c>
      <c r="F310">
        <f>IF(Skills!N23=TRUE,(Skills!L23/10)*(E310/1000),Skills!L23/10)+Skills!O23</f>
        <v/>
      </c>
      <c r="G310">
        <f>Skills!G23*IF(Skills!H23&gt;0,Skills!I23/Skills!H23,1)</f>
        <v/>
      </c>
      <c r="H310">
        <f>1-(1-Skills!J23/100)^Skills!K23</f>
        <v/>
      </c>
      <c r="I310" t="inlineStr">
        <is>
          <t>1</t>
        </is>
      </c>
      <c r="J310" t="inlineStr"/>
      <c r="K310" t="inlineStr"/>
      <c r="L310" t="inlineStr"/>
      <c r="M310" t="inlineStr"/>
      <c r="N310" t="inlineStr"/>
      <c r="O310">
        <f>(1-Summary!$B$55)*T310+Summary!$B$55*V310</f>
        <v/>
      </c>
      <c r="P310">
        <f>IF(B326=0,0,O310/B326)</f>
        <v/>
      </c>
      <c r="Q310" t="n">
        <v>0</v>
      </c>
      <c r="R310" t="n">
        <v>0</v>
      </c>
      <c r="S310">
        <f>IFERROR(O310/N310,0)</f>
        <v/>
      </c>
      <c r="T310" t="n">
        <v>0</v>
      </c>
      <c r="V310" t="n">
        <v>0</v>
      </c>
    </row>
    <row r="311">
      <c r="A311">
        <f>Skills!A24</f>
        <v/>
      </c>
      <c r="B311">
        <f>Skills!B24</f>
        <v/>
      </c>
      <c r="C311">
        <f>Inputs!$B$3&gt;=120</f>
        <v/>
      </c>
      <c r="D311">
        <f>IF(Skills!C24=1,60+Inputs!$B$26+Inputs!$B$30,IF(Skills!C24=2,90+Inputs!$B$27+Inputs!$B$30,IF(Skills!C24=3,120+Inputs!$B$28+Inputs!$B$30,MAX(0,(Inputs!$B$3-100)*3)+Inputs!$B$29+Inputs!$B$30)))</f>
        <v/>
      </c>
      <c r="E311">
        <f>INDEX(FactorTable!$B$2:$Y$301, MATCH(ROUND(MIN(300,MAX(1,D311)),0), FactorTable!$A$2:$A$301,0), Skills!M24+1)</f>
        <v/>
      </c>
      <c r="F311">
        <f>IF(Skills!N24=TRUE,(Skills!L24/10)*(E311/1000),Skills!L24/10)+Skills!O24</f>
        <v/>
      </c>
      <c r="G311">
        <f>Skills!G24*IF(Skills!H24&gt;0,Skills!I24/Skills!H24,1)</f>
        <v/>
      </c>
      <c r="H311">
        <f>1-(1-Skills!J24/100)^Skills!K24</f>
        <v/>
      </c>
      <c r="I311" t="inlineStr">
        <is>
          <t>1</t>
        </is>
      </c>
      <c r="J311" t="inlineStr"/>
      <c r="K311" t="inlineStr"/>
      <c r="L311" t="inlineStr"/>
      <c r="M311" t="inlineStr"/>
      <c r="N311" t="inlineStr"/>
      <c r="O311">
        <f>(1-Summary!$B$55)*T311+Summary!$B$55*V311</f>
        <v/>
      </c>
      <c r="P311">
        <f>IF(B326=0,0,O311/B326)</f>
        <v/>
      </c>
      <c r="Q311" t="n">
        <v>0</v>
      </c>
      <c r="R311" t="n">
        <v>0</v>
      </c>
      <c r="S311">
        <f>IFERROR(O311/N311,0)</f>
        <v/>
      </c>
      <c r="T311" t="n">
        <v>0</v>
      </c>
      <c r="V311" t="n">
        <v>0</v>
      </c>
    </row>
    <row r="312">
      <c r="A312">
        <f>Skills!A25</f>
        <v/>
      </c>
      <c r="B312">
        <f>Skills!B25</f>
        <v/>
      </c>
      <c r="C312">
        <f>Inputs!$B$3&gt;=125</f>
        <v/>
      </c>
      <c r="D312">
        <f>IF(Skills!C25=1,60+Inputs!$B$26+Inputs!$B$30,IF(Skills!C25=2,90+Inputs!$B$27+Inputs!$B$30,IF(Skills!C25=3,120+Inputs!$B$28+Inputs!$B$30,MAX(0,(Inputs!$B$3-100)*3)+Inputs!$B$29+Inputs!$B$30)))</f>
        <v/>
      </c>
      <c r="E312">
        <f>INDEX(FactorTable!$B$2:$Y$301, MATCH(ROUND(MIN(300,MAX(1,D312)),0), FactorTable!$A$2:$A$301,0), Skills!M25+1)</f>
        <v/>
      </c>
      <c r="F312">
        <f>IF(Skills!N25=TRUE,(Skills!L25/10)*(E312/1000),Skills!L25/10)+Skills!O25</f>
        <v/>
      </c>
      <c r="G312">
        <f>Skills!G25*IF(Skills!H25&gt;0,Skills!I25/Skills!H25,1)</f>
        <v/>
      </c>
      <c r="H312">
        <f>1-(1-Skills!J25/100)^Skills!K25</f>
        <v/>
      </c>
      <c r="I312" t="inlineStr">
        <is>
          <t>1</t>
        </is>
      </c>
      <c r="J312" t="inlineStr"/>
      <c r="K312" t="inlineStr"/>
      <c r="L312" t="inlineStr"/>
      <c r="M312" t="inlineStr"/>
      <c r="N312" t="inlineStr"/>
      <c r="O312">
        <f>(1-Summary!$B$55)*T312+Summary!$B$55*V312</f>
        <v/>
      </c>
      <c r="P312">
        <f>IF(B326=0,0,O312/B326)</f>
        <v/>
      </c>
      <c r="Q312" t="n">
        <v>0</v>
      </c>
      <c r="R312" t="n">
        <v>0</v>
      </c>
      <c r="S312">
        <f>IFERROR(O312/N312,0)</f>
        <v/>
      </c>
      <c r="T312" t="n">
        <v>0</v>
      </c>
      <c r="V312" t="n">
        <v>0</v>
      </c>
    </row>
    <row r="313">
      <c r="A313">
        <f>Skills!A26</f>
        <v/>
      </c>
      <c r="B313">
        <f>Skills!B26</f>
        <v/>
      </c>
      <c r="C313">
        <f>Inputs!$B$3&gt;=107</f>
        <v/>
      </c>
      <c r="D313">
        <f>IF(Skills!C26=1,60+Inputs!$B$26+Inputs!$B$30,IF(Skills!C26=2,90+Inputs!$B$27+Inputs!$B$30,IF(Skills!C26=3,120+Inputs!$B$28+Inputs!$B$30,MAX(0,(Inputs!$B$3-100)*3)+Inputs!$B$29+Inputs!$B$30)))</f>
        <v/>
      </c>
      <c r="E313">
        <f>INDEX(FactorTable!$B$2:$Y$301, MATCH(ROUND(MIN(300,MAX(1,D313)),0), FactorTable!$A$2:$A$301,0), Skills!M26+1)</f>
        <v/>
      </c>
      <c r="F313">
        <f>IF(Skills!N26=TRUE,(Skills!L26/10)*(E313/1000),Skills!L26/10)+Skills!O26</f>
        <v/>
      </c>
      <c r="G313">
        <f>Skills!G26*IF(Skills!H26&gt;0,Skills!I26/Skills!H26,1)</f>
        <v/>
      </c>
      <c r="H313">
        <f>1-(1-Skills!J26/100)^Skills!K26</f>
        <v/>
      </c>
      <c r="I313" t="inlineStr">
        <is>
          <t>1</t>
        </is>
      </c>
      <c r="J313" t="inlineStr"/>
      <c r="K313" t="inlineStr"/>
      <c r="L313" t="inlineStr"/>
      <c r="M313" t="inlineStr"/>
      <c r="N313" t="inlineStr"/>
      <c r="O313">
        <f>(1-Summary!$B$55)*T313+Summary!$B$55*V313</f>
        <v/>
      </c>
      <c r="P313">
        <f>IF(B326=0,0,O313/B326)</f>
        <v/>
      </c>
      <c r="Q313" t="n">
        <v>0</v>
      </c>
      <c r="R313" t="n">
        <v>0</v>
      </c>
      <c r="S313">
        <f>IFERROR(O313/N313,0)</f>
        <v/>
      </c>
      <c r="T313" t="n">
        <v>0</v>
      </c>
      <c r="V313" t="n">
        <v>0</v>
      </c>
    </row>
    <row r="315">
      <c r="A315" t="inlineStr">
        <is>
          <t>Attack% Bucket Multiplier</t>
        </is>
      </c>
      <c r="B315">
        <f>(1+(((C300=TRUE)*F300*IF(AND(Inputs!$B$39&lt;&gt;"pvp",Inputs!$B$44&gt;0),(((R300-1)*(Skills!T13*(1+Inputs!$B$35/100))+MIN((Skills!T13*(1+Inputs!$B$35/100)),MAX(0,Inputs!$B$44-((R300-1)*Skills!D13))))/Inputs!$B$44),IF(Inputs!$B$39="pvp",MIN((Skills!T13*(1+Inputs!$B$35/100)),15)/15,(Skills!T13*(1+Inputs!$B$35/100))/Skills!D13)))+((C301=TRUE)*F301*IF(AND(Inputs!$B$39&lt;&gt;"pvp",Inputs!$B$44&gt;0),(((R301-1)*(Skills!T14*(1+Inputs!$B$35/100))+MIN((Skills!T14*(1+Inputs!$B$35/100)),MAX(0,Inputs!$B$44-((R301-1)*Skills!D14))))/Inputs!$B$44),IF(Inputs!$B$39="pvp",MIN((Skills!T14*(1+Inputs!$B$35/100)),15)/15,(Skills!T14*(1+Inputs!$B$35/100))/Skills!D14)))+((C302=TRUE)*F302*IF(AND(Inputs!$B$39&lt;&gt;"pvp",Inputs!$B$44&gt;0),(((R302-1)*(Skills!T15*(1+Inputs!$B$35/100))+MIN((Skills!T15*(1+Inputs!$B$35/100)),MAX(0,Inputs!$B$44-((R302-1)*Skills!D15))))/Inputs!$B$44),IF(Inputs!$B$39="pvp",MIN((Skills!T15*(1+Inputs!$B$35/100)),15)/15,(Skills!T15*(1+Inputs!$B$35/100))/Skills!D15)))+((C303=TRUE)*F303*IF(AND(Inputs!$B$39&lt;&gt;"pvp",Inputs!$B$44&gt;0),(((R303-1)*(Skills!T16*(1+Inputs!$B$35/100))+MIN((Skills!T16*(1+Inputs!$B$35/100)),MAX(0,Inputs!$B$44-((R303-1)*Skills!D16))))/Inputs!$B$44),IF(Inputs!$B$39="pvp",MIN((Skills!T16*(1+Inputs!$B$35/100)),15)/15,(Skills!T16*(1+Inputs!$B$35/100))/Skills!D16)))+0)/100)</f>
        <v/>
      </c>
    </row>
    <row r="316">
      <c r="A316" t="inlineStr">
        <is>
          <t>Global Crit Rate Bonus % (Lord of Darkness)</t>
        </is>
      </c>
      <c r="B316">
        <f>((C305=TRUE)*F305*(Skills!J18/100)*IF(AND(Inputs!$B$39&lt;&gt;"pvp",Inputs!$B$44&gt;0),(((R305-1)*(Skills!T18*(1+Inputs!$B$35/100))+MIN((Skills!T18*(1+Inputs!$B$35/100)),MAX(0,Inputs!$B$44-((R305-1)*Skills!D18))))/Inputs!$B$44),IF(Inputs!$B$39="pvp",MIN((Skills!T18*(1+Inputs!$B$35/100)),15)/15,(Skills!T18*(1+Inputs!$B$35/100))/Skills!D18)))</f>
        <v/>
      </c>
    </row>
    <row r="317">
      <c r="A317" t="inlineStr">
        <is>
          <t>Attack Speed Buff Bonus %</t>
        </is>
      </c>
      <c r="B317">
        <f>((C307=TRUE)*F307*IF(AND(Inputs!$B$39&lt;&gt;"pvp",Inputs!$B$44&gt;0),(((R307-1)*(Skills!T20*(1+Inputs!$B$35/100))+MIN((Skills!T20*(1+Inputs!$B$35/100)),MAX(0,Inputs!$B$44-((R307-1)*Skills!D20))))/Inputs!$B$44),IF(Inputs!$B$39="pvp",MIN((Skills!T20*(1+Inputs!$B$35/100)),15)/15,(Skills!T20*(1+Inputs!$B$35/100))/Skills!D20)))</f>
        <v/>
      </c>
    </row>
    <row r="318">
      <c r="A318" t="inlineStr">
        <is>
          <t>Actions Per Second</t>
        </is>
      </c>
      <c r="B318">
        <f>1+MIN(150,150*(1-(1-(Inputs!$B$12+((C308=TRUE)*(F308-Calc!F21)))/150)*(1-B317/150)))/100</f>
        <v/>
      </c>
    </row>
    <row r="319">
      <c r="A319" t="inlineStr">
        <is>
          <t>Skill + Buff Cast Rate</t>
        </is>
      </c>
      <c r="B319">
        <f>IF(AND(Inputs!$B$39&lt;&gt;"pvp",Inputs!$B$44&gt;0),SUMPRODUCT((Skills!E2:E26=TRUE)*(C289:C313=TRUE)*R289:R313*Skills!F2:F26)/Inputs!$B$44,SUMPRODUCT((Skills!E2:E26=TRUE)*(C289:C313=TRUE)*Q289:Q313*Skills!F2:F26))</f>
        <v/>
      </c>
    </row>
    <row r="320">
      <c r="A320" t="inlineStr">
        <is>
          <t>Dark Impale Casts Per Second</t>
        </is>
      </c>
      <c r="B320">
        <f>MAX(0,B318-B319)</f>
        <v/>
      </c>
    </row>
    <row r="321">
      <c r="A321" t="inlineStr">
        <is>
          <t>Global Critical Damage Bonus % (Lord of Darkness)</t>
        </is>
      </c>
      <c r="B321">
        <f>((C306=TRUE)*F306*(Skills!J19/100)*IF(AND(Inputs!$B$39&lt;&gt;"pvp",Inputs!$B$44&gt;0),(((R306-1)*(Skills!T19*(1+Inputs!$B$35/100))+MIN((Skills!T19*(1+Inputs!$B$35/100)),MAX(0,Inputs!$B$44-((R306-1)*Skills!D19))))/Inputs!$B$44),IF(Inputs!$B$39="pvp",MIN((Skills!T19*(1+Inputs!$B$35/100)),15)/15,(Skills!T19*(1+Inputs!$B$35/100))/Skills!D19)))</f>
        <v/>
      </c>
    </row>
    <row r="322">
      <c r="A322" t="inlineStr">
        <is>
          <t>Global Final Damage Bonus % (unused)</t>
        </is>
      </c>
      <c r="B322" t="n">
        <v>0</v>
      </c>
    </row>
    <row r="323">
      <c r="A323" t="inlineStr">
        <is>
          <t>Buff-Casting Startup Delay (s, fixed-duration only)</t>
        </is>
      </c>
      <c r="B323">
        <f>IF(AND(Inputs!$B$39&lt;&gt;"pvp",Inputs!$B$44&gt;0),SUMPRODUCT((Skills!T2:T26&gt;0)*(Skills!E2:E26=TRUE)*(C289:C313=TRUE))/B318,0)</f>
        <v/>
      </c>
    </row>
    <row r="324">
      <c r="A324" t="inlineStr">
        <is>
          <t>Boss-Only Total DPS (this block's swept value)</t>
        </is>
      </c>
      <c r="B324">
        <f>SUM(T289:T313)</f>
        <v/>
      </c>
    </row>
    <row r="325">
      <c r="A325" t="inlineStr">
        <is>
          <t>Normal-Only Total DPS (this block's swept value)</t>
        </is>
      </c>
      <c r="B325">
        <f>SUM(V289:V313)</f>
        <v/>
      </c>
    </row>
    <row r="326">
      <c r="A326" s="5" t="inlineStr">
        <is>
          <t>TOTAL DPS</t>
        </is>
      </c>
      <c r="B326" s="5">
        <f>SUM(O289:O313)</f>
        <v/>
      </c>
    </row>
    <row r="329">
      <c r="A329" s="5" t="inlineStr">
        <is>
          <t>Stat: BOSS_DAMAGE %</t>
        </is>
      </c>
    </row>
    <row r="330">
      <c r="A330" s="9" t="inlineStr">
        <is>
          <t>Key</t>
        </is>
      </c>
      <c r="B330" s="9" t="inlineStr">
        <is>
          <t>Name</t>
        </is>
      </c>
      <c r="C330" s="9" t="inlineStr">
        <is>
          <t>Unlocked</t>
        </is>
      </c>
      <c r="D330" s="9" t="inlineStr">
        <is>
          <t>InputLevel</t>
        </is>
      </c>
      <c r="E330" s="9" t="inlineStr">
        <is>
          <t>Factor</t>
        </is>
      </c>
      <c r="F330" s="9" t="inlineStr">
        <is>
          <t>CoefficientPercent</t>
        </is>
      </c>
      <c r="G330" s="9" t="inlineStr">
        <is>
          <t>EffectiveHits</t>
        </is>
      </c>
      <c r="H330" s="9" t="inlineStr">
        <is>
          <t>ProcProbability</t>
        </is>
      </c>
      <c r="I330" s="9" t="inlineStr">
        <is>
          <t>MapleHeroMultiplier</t>
        </is>
      </c>
      <c r="J330" s="9" t="inlineStr">
        <is>
          <t>BaseDamage</t>
        </is>
      </c>
      <c r="K330" s="9" t="inlineStr">
        <is>
          <t>BaseHitDamage</t>
        </is>
      </c>
      <c r="L330" s="9" t="inlineStr">
        <is>
          <t>NonCritAvg</t>
        </is>
      </c>
      <c r="M330" s="9" t="inlineStr">
        <is>
          <t>CritAvg</t>
        </is>
      </c>
      <c r="N330" s="9" t="inlineStr">
        <is>
          <t>ExpectedDamage(perHit)</t>
        </is>
      </c>
      <c r="O330" s="9" t="inlineStr">
        <is>
          <t>DPS</t>
        </is>
      </c>
      <c r="P330" s="9" t="inlineStr">
        <is>
          <t>% of Total</t>
        </is>
      </c>
      <c r="Q330" s="9" t="inlineStr">
        <is>
          <t>InvCooldown</t>
        </is>
      </c>
      <c r="R330" s="9" t="inlineStr">
        <is>
          <t>CastsInFight</t>
        </is>
      </c>
      <c r="S330" s="9" t="inlineStr">
        <is>
          <t>HitRate(perSec)</t>
        </is>
      </c>
      <c r="U330" t="inlineStr">
        <is>
          <t>helpers</t>
        </is>
      </c>
    </row>
    <row r="331">
      <c r="A331">
        <f>Skills!A2</f>
        <v/>
      </c>
      <c r="B331">
        <f>Skills!B2</f>
        <v/>
      </c>
      <c r="C331">
        <f>Inputs!$B$3&gt;=100</f>
        <v/>
      </c>
      <c r="D331" t="inlineStr"/>
      <c r="E331" t="inlineStr"/>
      <c r="F331">
        <f>U333+Skills!O2</f>
        <v/>
      </c>
      <c r="G331">
        <f>Skills!G2*IF(Skills!H2&gt;0,Skills!I2/Skills!H2,1)</f>
        <v/>
      </c>
      <c r="H331">
        <f>1-(1-Skills!J2/100)^Skills!K2</f>
        <v/>
      </c>
      <c r="I331" t="inlineStr">
        <is>
          <t>1</t>
        </is>
      </c>
      <c r="J331">
        <f>((Inputs!$B$6*(1+Inputs!$B$7/100))+(((Inputs!$B$13*(1+Inputs!$B$14/100))-(Inputs!$B$13*(1+Inputs!$B$14/100)))+0.25*(Inputs!$B$15-Inputs!$B$15))*(1+Inputs!$B$7/100))*(F331/100)</f>
        <v/>
      </c>
      <c r="K331">
        <f>J331*(1+(((Inputs!$B$13+IF(Inputs!$B$3&gt;=38,(10*INDEX(FactorTable!$B$2:$Y$301, MATCH(ROUND(MIN(300,MAX(1,Inputs!$B$3)),0), FactorTable!$A$2:$A$301,0), 23)/1000)/100*(Inputs!$B$8*(1+Inputs!$B$9/100)),0))*(1+Inputs!$B$14/100))*0.01+Inputs!$B$15*0.0025)/100)*(1+Inputs!$B$16/100)*(1+Inputs!$B$17/100)*(5000/(6000+Inputs!$B$43*(1-(Inputs!$B$20+0)/100)))*(1+(Inputs!$B$25+((C354=TRUE)*(F354-Calc!F25))+((C355=TRUE)*(F355-Calc!F26))+B364)/100)*(1+(IF(Skills!A2="DARK_IMPALE",Inputs!$B$18+0,Inputs!$B$19+((C352=TRUE)*(F352-Calc!F23))))/100)*((1+(((C342=TRUE)*F342*IF(AND(Inputs!$B$39&lt;&gt;"pvp",Inputs!$B$44&gt;0),(((R342-1)*(Skills!T13*(1+Inputs!$B$35/100))+MIN((Skills!T13*(1+Inputs!$B$35/100)),MAX(0,Inputs!$B$44-((R342-1)*Skills!D13))))/Inputs!$B$44),IF(Inputs!$B$39="pvp",MIN((Skills!T13*(1+Inputs!$B$35/100)),15)/15,(Skills!T13*(1+Inputs!$B$35/100))/Skills!D13)))+((C343=TRUE)*F343*IF(AND(Inputs!$B$39&lt;&gt;"pvp",Inputs!$B$44&gt;0),(((R343-1)*(Skills!T14*(1+Inputs!$B$35/100))+MIN((Skills!T14*(1+Inputs!$B$35/100)),MAX(0,Inputs!$B$44-((R343-1)*Skills!D14))))/Inputs!$B$44),IF(Inputs!$B$39="pvp",MIN((Skills!T14*(1+Inputs!$B$35/100)),15)/15,(Skills!T14*(1+Inputs!$B$35/100))/Skills!D14)))+((C344=TRUE)*F344*IF(AND(Inputs!$B$39&lt;&gt;"pvp",Inputs!$B$44&gt;0),(((R344-1)*(Skills!T15*(1+Inputs!$B$35/100))+MIN((Skills!T15*(1+Inputs!$B$35/100)),MAX(0,Inputs!$B$44-((R344-1)*Skills!D15))))/Inputs!$B$44),IF(Inputs!$B$39="pvp",MIN((Skills!T15*(1+Inputs!$B$35/100)),15)/15,(Skills!T15*(1+Inputs!$B$35/100))/Skills!D15)))+((C345=TRUE)*F345*IF(AND(Inputs!$B$39&lt;&gt;"pvp",Inputs!$B$44&gt;0),(((R345-1)*(Skills!T16*(1+Inputs!$B$35/100))+MIN((Skills!T16*(1+Inputs!$B$35/100)),MAX(0,Inputs!$B$44-((R345-1)*Skills!D16))))/Inputs!$B$44),IF(Inputs!$B$39="pvp",MIN((Skills!T16*(1+Inputs!$B$35/100)),15)/15,(Skills!T16*(1+Inputs!$B$35/100))/Skills!D16)))+0)/100)*I331)</f>
        <v/>
      </c>
      <c r="L331">
        <f>K331*(MIN(Inputs!$B$23+((C351=TRUE)*(F351-Calc!F22)),Inputs!$B$24+((C353=TRUE)*(F353-Calc!F24)))/100+(Inputs!$B$24+((C353=TRUE)*(F353-Calc!F24)))/100)/2</f>
        <v/>
      </c>
      <c r="M331">
        <f>L331*(1+(Inputs!$B$11+0+B363)/100)</f>
        <v/>
      </c>
      <c r="N331">
        <f>L331*(1-MIN((Inputs!$B$10+0+B358),100)/100)+M331*(MIN((Inputs!$B$10+0+B358),100)/100)</f>
        <v/>
      </c>
      <c r="O331">
        <f>(1-Summary!$B$55)*T331+Summary!$B$55*V331</f>
        <v/>
      </c>
      <c r="P331">
        <f>IF(B368=0,0,O331/B368)</f>
        <v/>
      </c>
      <c r="Q331" t="n">
        <v>0</v>
      </c>
      <c r="R331" t="n">
        <v>0</v>
      </c>
      <c r="S331">
        <f>IFERROR(O331/N331,0)</f>
        <v/>
      </c>
      <c r="T331">
        <f>IF(C331,(Skills!G2*N331*B362)*IF(Inputs!$B$39="pvp",1,1+((Inputs!$B$21+1)+0+Skills!P2+((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0)</f>
        <v/>
      </c>
      <c r="U331">
        <f>MAX(0,(Inputs!$B$3-100)*3)+Inputs!$B$29+Inputs!$B$30</f>
        <v/>
      </c>
      <c r="V331">
        <f>IF(C331,(Skills!G2*N331*B362)*IF(Inputs!$B$39="pvp",1,(1+(Inputs!$B$22+Skills!Q2+((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MIN((6+Inputs!$B$34),Inputs!$B$38))),0)</f>
        <v/>
      </c>
    </row>
    <row r="332">
      <c r="A332">
        <f>Skills!A3</f>
        <v/>
      </c>
      <c r="B332">
        <f>Skills!B3</f>
        <v/>
      </c>
      <c r="C332">
        <f>Inputs!$B$3&gt;=50</f>
        <v/>
      </c>
      <c r="D332">
        <f>IF(Skills!C3=1,60+Inputs!$B$26+Inputs!$B$30,IF(Skills!C3=2,90+Inputs!$B$27+Inputs!$B$30,IF(Skills!C3=3,120+Inputs!$B$28+Inputs!$B$30,MAX(0,(Inputs!$B$3-100)*3)+Inputs!$B$29+Inputs!$B$30)))</f>
        <v/>
      </c>
      <c r="E332">
        <f>INDEX(FactorTable!$B$2:$Y$301, MATCH(ROUND(MIN(300,MAX(1,D332)),0), FactorTable!$A$2:$A$301,0), Skills!M3+1)</f>
        <v/>
      </c>
      <c r="F332">
        <f>IF(Skills!N3=TRUE,(Skills!L3/10)*(E332/1000),Skills!L3/10)+Skills!O3</f>
        <v/>
      </c>
      <c r="G332" t="inlineStr"/>
      <c r="H332" t="inlineStr"/>
      <c r="I332" t="inlineStr">
        <is>
          <t>1</t>
        </is>
      </c>
      <c r="J332" t="inlineStr"/>
      <c r="K332" t="inlineStr"/>
      <c r="L332" t="inlineStr"/>
      <c r="M332" t="inlineStr"/>
      <c r="N332" t="inlineStr"/>
      <c r="O332" t="inlineStr"/>
      <c r="P332" t="inlineStr"/>
      <c r="Q332" t="inlineStr"/>
      <c r="R332" t="inlineStr"/>
      <c r="S332" t="inlineStr"/>
      <c r="U332">
        <f>INDEX(FactorTable!$B$2:$Y$301, MATCH(ROUND(MIN(300,MAX(1,U331)),0), FactorTable!$A$2:$A$301,0), 22)</f>
        <v/>
      </c>
    </row>
    <row r="333">
      <c r="A333">
        <f>Skills!A4</f>
        <v/>
      </c>
      <c r="B333">
        <f>Skills!B4</f>
        <v/>
      </c>
      <c r="C333">
        <f>Inputs!$B$3&gt;=105</f>
        <v/>
      </c>
      <c r="D333">
        <f>IF(Skills!C4=1,60+Inputs!$B$26+Inputs!$B$30,IF(Skills!C4=2,90+Inputs!$B$27+Inputs!$B$30,IF(Skills!C4=3,120+Inputs!$B$28+Inputs!$B$30,MAX(0,(Inputs!$B$3-100)*3)+Inputs!$B$29+Inputs!$B$30)))</f>
        <v/>
      </c>
      <c r="E333">
        <f>INDEX(FactorTable!$B$2:$Y$301, MATCH(ROUND(MIN(300,MAX(1,D333)),0), FactorTable!$A$2:$A$301,0), Skills!M4+1)</f>
        <v/>
      </c>
      <c r="F333">
        <f>IF(Skills!N4=TRUE,(Skills!L4/10)*(E333/1000),Skills!L4/10)+Skills!O4</f>
        <v/>
      </c>
      <c r="G333" t="inlineStr"/>
      <c r="H333" t="inlineStr"/>
      <c r="I333" t="inlineStr">
        <is>
          <t>1</t>
        </is>
      </c>
      <c r="J333" t="inlineStr"/>
      <c r="K333" t="inlineStr"/>
      <c r="L333" t="inlineStr"/>
      <c r="M333" t="inlineStr"/>
      <c r="N333" t="inlineStr"/>
      <c r="O333" t="inlineStr"/>
      <c r="P333" t="inlineStr"/>
      <c r="Q333" t="inlineStr"/>
      <c r="R333" t="inlineStr"/>
      <c r="S333" t="inlineStr"/>
      <c r="U333">
        <f>290*U332/1000</f>
        <v/>
      </c>
    </row>
    <row r="334">
      <c r="A334">
        <f>Skills!A5</f>
        <v/>
      </c>
      <c r="B334">
        <f>Skills!B5</f>
        <v/>
      </c>
      <c r="C334">
        <f>Inputs!$B$3&gt;=117</f>
        <v/>
      </c>
      <c r="D334">
        <f>IF(Skills!C5=1,60+Inputs!$B$26+Inputs!$B$30,IF(Skills!C5=2,90+Inputs!$B$27+Inputs!$B$30,IF(Skills!C5=3,120+Inputs!$B$28+Inputs!$B$30,MAX(0,(Inputs!$B$3-100)*3)+Inputs!$B$29+Inputs!$B$30)))</f>
        <v/>
      </c>
      <c r="E334">
        <f>INDEX(FactorTable!$B$2:$Y$301, MATCH(ROUND(MIN(300,MAX(1,D334)),0), FactorTable!$A$2:$A$301,0), Skills!M5+1)</f>
        <v/>
      </c>
      <c r="F334">
        <f>IF(Skills!N5=TRUE,(Skills!L5/10)*(E334/1000),Skills!L5/10)+Skills!O5</f>
        <v/>
      </c>
      <c r="G334">
        <f>Skills!G5*IF(Skills!H5&gt;0,Skills!I5/Skills!H5,1)</f>
        <v/>
      </c>
      <c r="H334">
        <f>1-(1-Skills!J5/100)^Skills!K5</f>
        <v/>
      </c>
      <c r="I334" t="inlineStr">
        <is>
          <t>1</t>
        </is>
      </c>
      <c r="J334">
        <f>((Inputs!$B$6*(1+Inputs!$B$7/100))+(((Inputs!$B$13*(1+Inputs!$B$14/100))-(Inputs!$B$13*(1+Inputs!$B$14/100)))+0.25*(Inputs!$B$15-Inputs!$B$15))*(1+Inputs!$B$7/100))*(F334/100)</f>
        <v/>
      </c>
      <c r="K334">
        <f>J334*(1+(((Inputs!$B$13+IF(Inputs!$B$3&gt;=38,(10*INDEX(FactorTable!$B$2:$Y$301, MATCH(ROUND(MIN(300,MAX(1,Inputs!$B$3)),0), FactorTable!$A$2:$A$301,0), 23)/1000)/100*(Inputs!$B$8*(1+Inputs!$B$9/100)),0))*(1+Inputs!$B$14/100))*0.01+Inputs!$B$15*0.0025)/100)*(1+Inputs!$B$16/100)*(1+Inputs!$B$17/100)*(5000/(6000+Inputs!$B$43*(1-(Inputs!$B$20+0)/100)))*(1+(Inputs!$B$25+((C354=TRUE)*(F354-Calc!F25))+((C355=TRUE)*(F355-Calc!F26))+B364)/100)*(1+(IF(Skills!A5="DARK_IMPALE",Inputs!$B$18+0,Inputs!$B$19+((C352=TRUE)*(F352-Calc!F23))))/100)*((1+(((C342=TRUE)*F342*IF(AND(Inputs!$B$39&lt;&gt;"pvp",Inputs!$B$44&gt;0),(((R342-1)*(Skills!T13*(1+Inputs!$B$35/100))+MIN((Skills!T13*(1+Inputs!$B$35/100)),MAX(0,Inputs!$B$44-((R342-1)*Skills!D13))))/Inputs!$B$44),IF(Inputs!$B$39="pvp",MIN((Skills!T13*(1+Inputs!$B$35/100)),15)/15,(Skills!T13*(1+Inputs!$B$35/100))/Skills!D13)))+((C343=TRUE)*F343*IF(AND(Inputs!$B$39&lt;&gt;"pvp",Inputs!$B$44&gt;0),(((R343-1)*(Skills!T14*(1+Inputs!$B$35/100))+MIN((Skills!T14*(1+Inputs!$B$35/100)),MAX(0,Inputs!$B$44-((R343-1)*Skills!D14))))/Inputs!$B$44),IF(Inputs!$B$39="pvp",MIN((Skills!T14*(1+Inputs!$B$35/100)),15)/15,(Skills!T14*(1+Inputs!$B$35/100))/Skills!D14)))+((C344=TRUE)*F344*IF(AND(Inputs!$B$39&lt;&gt;"pvp",Inputs!$B$44&gt;0),(((R344-1)*(Skills!T15*(1+Inputs!$B$35/100))+MIN((Skills!T15*(1+Inputs!$B$35/100)),MAX(0,Inputs!$B$44-((R344-1)*Skills!D15))))/Inputs!$B$44),IF(Inputs!$B$39="pvp",MIN((Skills!T15*(1+Inputs!$B$35/100)),15)/15,(Skills!T15*(1+Inputs!$B$35/100))/Skills!D15)))+((C345=TRUE)*F345*IF(AND(Inputs!$B$39&lt;&gt;"pvp",Inputs!$B$44&gt;0),(((R345-1)*(Skills!T16*(1+Inputs!$B$35/100))+MIN((Skills!T16*(1+Inputs!$B$35/100)),MAX(0,Inputs!$B$44-((R345-1)*Skills!D16))))/Inputs!$B$44),IF(Inputs!$B$39="pvp",MIN((Skills!T16*(1+Inputs!$B$35/100)),15)/15,(Skills!T16*(1+Inputs!$B$35/100))/Skills!D16)))+0)/100)*I334)</f>
        <v/>
      </c>
      <c r="L334">
        <f>K334*(MIN(Inputs!$B$23+((C351=TRUE)*(F351-Calc!F22)),Inputs!$B$24+((C353=TRUE)*(F353-Calc!F24)))/100+(Inputs!$B$24+((C353=TRUE)*(F353-Calc!F24)))/100)/2</f>
        <v/>
      </c>
      <c r="M334">
        <f>L334*(1+(Inputs!$B$11+0+B363)/100)</f>
        <v/>
      </c>
      <c r="N334">
        <f>L334*(1-MIN((Inputs!$B$10+0+B358),100)/100)+M334*(MIN((Inputs!$B$10+0+B358),100)/100)</f>
        <v/>
      </c>
      <c r="O334">
        <f>(1-Summary!$B$55)*T334+Summary!$B$55*V334</f>
        <v/>
      </c>
      <c r="P334">
        <f>IF(B368=0,0,O334/B368)</f>
        <v/>
      </c>
      <c r="Q334">
        <f>IFERROR(1/IF(Inputs!$B$39="pvp",15,MAX(0.1,Skills!D5-IF(Skills!E5=TRUE,Inputs!$B$33,0))),0)</f>
        <v/>
      </c>
      <c r="R334">
        <f>IF(AND(Inputs!$B$39&lt;&gt;"pvp",Inputs!$B$44&gt;0),IF(MAX(0,Inputs!$B$44-B365)&lt;=0,0,(INT(MAX(0,Inputs!$B$44-B365)/IF(Inputs!$B$39="pvp",15,MAX(0.1,Skills!D5-IF(Skills!E5=TRUE,Inputs!$B$33,0))))+1)),0)</f>
        <v/>
      </c>
      <c r="S334">
        <f>IFERROR(O334/N334,0)</f>
        <v/>
      </c>
      <c r="T334">
        <f>IF(C334,(H334*N334*IF(AND(Inputs!$B$39&lt;&gt;"pvp",Inputs!$B$44&gt;0),((Skills!G5*((R334-1)*IF(Skills!H5&gt;0,Skills!I5/Skills!H5,1)+IF(Skills!H5&gt;0,MIN(Skills!I5,MAX(0,MAX(0,Inputs!$B$44-B365)-((R334-1)*IF(Inputs!$B$39="pvp",15,MAX(0.1,Skills!D5-IF(Skills!E5=TRUE,Inputs!$B$33,0))))))/Skills!H5,1)))/Inputs!$B$44),G334*Q334))*IF(Inputs!$B$39="pvp",1,1+((Inputs!$B$21+1)+0+Skills!P5+((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0)</f>
        <v/>
      </c>
      <c r="V334">
        <f>IF(C334,(H334*N334*IF(AND(Inputs!$B$39&lt;&gt;"pvp",Inputs!$B$44&gt;0),((Skills!G5*((R334-1)*IF(Skills!H5&gt;0,Skills!I5/Skills!H5,1)+IF(Skills!H5&gt;0,MIN(Skills!I5,MAX(0,MAX(0,Inputs!$B$44-B365)-((R334-1)*IF(Inputs!$B$39="pvp",15,MAX(0.1,Skills!D5-IF(Skills!E5=TRUE,Inputs!$B$33,0))))))/Skills!H5,1)))/Inputs!$B$44),G334*Q334))*IF(Inputs!$B$39="pvp",1,(1+(Inputs!$B$22+Skills!Q5+((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MIN(Skills!R5,Inputs!$B$38))),0)</f>
        <v/>
      </c>
    </row>
    <row r="335">
      <c r="A335">
        <f>Skills!A6</f>
        <v/>
      </c>
      <c r="B335">
        <f>Skills!B6</f>
        <v/>
      </c>
      <c r="C335">
        <f>Inputs!$B$3&gt;=103</f>
        <v/>
      </c>
      <c r="D335">
        <f>IF(Skills!C6=1,60+Inputs!$B$26+Inputs!$B$30,IF(Skills!C6=2,90+Inputs!$B$27+Inputs!$B$30,IF(Skills!C6=3,120+Inputs!$B$28+Inputs!$B$30,MAX(0,(Inputs!$B$3-100)*3)+Inputs!$B$29+Inputs!$B$30)))</f>
        <v/>
      </c>
      <c r="E335">
        <f>INDEX(FactorTable!$B$2:$Y$301, MATCH(ROUND(MIN(300,MAX(1,D335)),0), FactorTable!$A$2:$A$301,0), Skills!M6+1)</f>
        <v/>
      </c>
      <c r="F335">
        <f>IF(Skills!N6=TRUE,(Skills!L6/10)*(E335/1000),Skills!L6/10)+Skills!O6</f>
        <v/>
      </c>
      <c r="G335">
        <f>Skills!G6*IF(Skills!H6&gt;0,Skills!I6/Skills!H6,1)</f>
        <v/>
      </c>
      <c r="H335">
        <f>1-(1-Skills!J6/100)^Skills!K6</f>
        <v/>
      </c>
      <c r="I335" t="inlineStr">
        <is>
          <t>1</t>
        </is>
      </c>
      <c r="J335">
        <f>((Inputs!$B$6*(1+Inputs!$B$7/100))+(((Inputs!$B$13*(1+Inputs!$B$14/100))-(Inputs!$B$13*(1+Inputs!$B$14/100)))+0.25*(Inputs!$B$15-Inputs!$B$15))*(1+Inputs!$B$7/100))*(F335/100)</f>
        <v/>
      </c>
      <c r="K335">
        <f>J335*(1+(((Inputs!$B$13+IF(Inputs!$B$3&gt;=38,(10*INDEX(FactorTable!$B$2:$Y$301, MATCH(ROUND(MIN(300,MAX(1,Inputs!$B$3)),0), FactorTable!$A$2:$A$301,0), 23)/1000)/100*(Inputs!$B$8*(1+Inputs!$B$9/100)),0))*(1+Inputs!$B$14/100))*0.01+Inputs!$B$15*0.0025)/100)*(1+Inputs!$B$16/100)*(1+Inputs!$B$17/100)*(5000/(6000+Inputs!$B$43*(1-(Inputs!$B$20+0)/100)))*(1+(Inputs!$B$25+((C354=TRUE)*(F354-Calc!F25))+((C355=TRUE)*(F355-Calc!F26))+B364)/100)*(1+(IF(Skills!A6="DARK_IMPALE",Inputs!$B$18+0,Inputs!$B$19+((C352=TRUE)*(F352-Calc!F23))))/100)*((1+(((C342=TRUE)*F342*IF(AND(Inputs!$B$39&lt;&gt;"pvp",Inputs!$B$44&gt;0),(((R342-1)*(Skills!T13*(1+Inputs!$B$35/100))+MIN((Skills!T13*(1+Inputs!$B$35/100)),MAX(0,Inputs!$B$44-((R342-1)*Skills!D13))))/Inputs!$B$44),IF(Inputs!$B$39="pvp",MIN((Skills!T13*(1+Inputs!$B$35/100)),15)/15,(Skills!T13*(1+Inputs!$B$35/100))/Skills!D13)))+((C343=TRUE)*F343*IF(AND(Inputs!$B$39&lt;&gt;"pvp",Inputs!$B$44&gt;0),(((R343-1)*(Skills!T14*(1+Inputs!$B$35/100))+MIN((Skills!T14*(1+Inputs!$B$35/100)),MAX(0,Inputs!$B$44-((R343-1)*Skills!D14))))/Inputs!$B$44),IF(Inputs!$B$39="pvp",MIN((Skills!T14*(1+Inputs!$B$35/100)),15)/15,(Skills!T14*(1+Inputs!$B$35/100))/Skills!D14)))+((C344=TRUE)*F344*IF(AND(Inputs!$B$39&lt;&gt;"pvp",Inputs!$B$44&gt;0),(((R344-1)*(Skills!T15*(1+Inputs!$B$35/100))+MIN((Skills!T15*(1+Inputs!$B$35/100)),MAX(0,Inputs!$B$44-((R344-1)*Skills!D15))))/Inputs!$B$44),IF(Inputs!$B$39="pvp",MIN((Skills!T15*(1+Inputs!$B$35/100)),15)/15,(Skills!T15*(1+Inputs!$B$35/100))/Skills!D15)))+((C345=TRUE)*F345*IF(AND(Inputs!$B$39&lt;&gt;"pvp",Inputs!$B$44&gt;0),(((R345-1)*(Skills!T16*(1+Inputs!$B$35/100))+MIN((Skills!T16*(1+Inputs!$B$35/100)),MAX(0,Inputs!$B$44-((R345-1)*Skills!D16))))/Inputs!$B$44),IF(Inputs!$B$39="pvp",MIN((Skills!T16*(1+Inputs!$B$35/100)),15)/15,(Skills!T16*(1+Inputs!$B$35/100))/Skills!D16)))+0)/100)*I335)</f>
        <v/>
      </c>
      <c r="L335">
        <f>K335*(MIN(Inputs!$B$23+((C351=TRUE)*(F351-Calc!F22)),Inputs!$B$24+((C353=TRUE)*(F353-Calc!F24)))/100+(Inputs!$B$24+((C353=TRUE)*(F353-Calc!F24)))/100)/2</f>
        <v/>
      </c>
      <c r="M335">
        <f>L335*(1+(Inputs!$B$11+0+B363)/100)</f>
        <v/>
      </c>
      <c r="N335">
        <f>L335*(1-MIN((Inputs!$B$10+0+B358),100)/100)+M335*(MIN((Inputs!$B$10+0+B358),100)/100)</f>
        <v/>
      </c>
      <c r="O335">
        <f>(1-Summary!$B$55)*T335+Summary!$B$55*V335</f>
        <v/>
      </c>
      <c r="P335">
        <f>IF(B368=0,0,O335/B368)</f>
        <v/>
      </c>
      <c r="Q335">
        <f>IFERROR(1/IF(Inputs!$B$39="pvp",15,MAX(0.1,Skills!D6-IF(Skills!E6=TRUE,Inputs!$B$33,0))),0)</f>
        <v/>
      </c>
      <c r="R335">
        <f>IF(AND(Inputs!$B$39&lt;&gt;"pvp",Inputs!$B$44&gt;0),IF(MAX(0,Inputs!$B$44-B365)&lt;=0,0,(INT(MAX(0,Inputs!$B$44-B365)/IF(Inputs!$B$39="pvp",15,MAX(0.1,Skills!D6-IF(Skills!E6=TRUE,Inputs!$B$33,0))))+1)),0)</f>
        <v/>
      </c>
      <c r="S335">
        <f>IFERROR(O335/N335,0)</f>
        <v/>
      </c>
      <c r="T335">
        <f>IF(C335,(H335*N335*IF(AND(Inputs!$B$39&lt;&gt;"pvp",Inputs!$B$44&gt;0),((Skills!G6*((R335-1)*IF(Skills!H6&gt;0,Skills!I6/Skills!H6,1)+IF(Skills!H6&gt;0,MIN(Skills!I6,MAX(0,MAX(0,Inputs!$B$44-B365)-((R335-1)*IF(Inputs!$B$39="pvp",15,MAX(0.1,Skills!D6-IF(Skills!E6=TRUE,Inputs!$B$33,0))))))/Skills!H6,1)))/Inputs!$B$44),G335*Q335))*IF(Inputs!$B$39="pvp",1,1+((Inputs!$B$21+1)+0+Skills!P6+((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0)</f>
        <v/>
      </c>
      <c r="V335">
        <f>IF(C335,(H335*N335*IF(AND(Inputs!$B$39&lt;&gt;"pvp",Inputs!$B$44&gt;0),((Skills!G6*((R335-1)*IF(Skills!H6&gt;0,Skills!I6/Skills!H6,1)+IF(Skills!H6&gt;0,MIN(Skills!I6,MAX(0,MAX(0,Inputs!$B$44-B365)-((R335-1)*IF(Inputs!$B$39="pvp",15,MAX(0.1,Skills!D6-IF(Skills!E6=TRUE,Inputs!$B$33,0))))))/Skills!H6,1)))/Inputs!$B$44),G335*Q335))*IF(Inputs!$B$39="pvp",1,(1+(Inputs!$B$22+Skills!Q6+((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MIN(Skills!R6,Inputs!$B$38))),0)</f>
        <v/>
      </c>
    </row>
    <row r="336">
      <c r="A336">
        <f>Skills!A7</f>
        <v/>
      </c>
      <c r="B336">
        <f>Skills!B7</f>
        <v/>
      </c>
      <c r="C336">
        <f>Inputs!$B$3&gt;=40</f>
        <v/>
      </c>
      <c r="D336">
        <f>IF(Skills!C7=1,60+Inputs!$B$26+Inputs!$B$30,IF(Skills!C7=2,90+Inputs!$B$27+Inputs!$B$30,IF(Skills!C7=3,120+Inputs!$B$28+Inputs!$B$30,MAX(0,(Inputs!$B$3-100)*3)+Inputs!$B$29+Inputs!$B$30)))</f>
        <v/>
      </c>
      <c r="E336">
        <f>INDEX(FactorTable!$B$2:$Y$301, MATCH(ROUND(MIN(300,MAX(1,D336)),0), FactorTable!$A$2:$A$301,0), Skills!M7+1)</f>
        <v/>
      </c>
      <c r="F336">
        <f>IF(Skills!N7=TRUE,(Skills!L7/10)*(E336/1000),Skills!L7/10)+Skills!O7</f>
        <v/>
      </c>
      <c r="G336">
        <f>Skills!G7*IF(Skills!H7&gt;0,Skills!I7/Skills!H7,1)</f>
        <v/>
      </c>
      <c r="H336">
        <f>1-(1-Skills!J7/100)^Skills!K7</f>
        <v/>
      </c>
      <c r="I336" t="inlineStr">
        <is>
          <t>1</t>
        </is>
      </c>
      <c r="J336">
        <f>((Inputs!$B$6*(1+Inputs!$B$7/100))+(((Inputs!$B$13*(1+Inputs!$B$14/100))-(Inputs!$B$13*(1+Inputs!$B$14/100)))+0.25*(Inputs!$B$15-Inputs!$B$15))*(1+Inputs!$B$7/100))*(F336/100)</f>
        <v/>
      </c>
      <c r="K336">
        <f>J336*(1+(((Inputs!$B$13+IF(Inputs!$B$3&gt;=38,(10*INDEX(FactorTable!$B$2:$Y$301, MATCH(ROUND(MIN(300,MAX(1,Inputs!$B$3)),0), FactorTable!$A$2:$A$301,0), 23)/1000)/100*(Inputs!$B$8*(1+Inputs!$B$9/100)),0))*(1+Inputs!$B$14/100))*0.01+Inputs!$B$15*0.0025)/100)*(1+Inputs!$B$16/100)*(1+Inputs!$B$17/100)*(5000/(6000+Inputs!$B$43*(1-(Inputs!$B$20+0)/100)))*(1+(Inputs!$B$25+((C354=TRUE)*(F354-Calc!F25))+((C355=TRUE)*(F355-Calc!F26))+B364)/100)*(1+0.75*IF(C340=TRUE,F340,0)/100)*(1+(IF(Skills!A7="DARK_IMPALE",Inputs!$B$18+0,Inputs!$B$19+((C352=TRUE)*(F352-Calc!F23))))/100)*((1+(((C342=TRUE)*F342*IF(AND(Inputs!$B$39&lt;&gt;"pvp",Inputs!$B$44&gt;0),(((R342-1)*(Skills!T13*(1+Inputs!$B$35/100))+MIN((Skills!T13*(1+Inputs!$B$35/100)),MAX(0,Inputs!$B$44-((R342-1)*Skills!D13))))/Inputs!$B$44),IF(Inputs!$B$39="pvp",MIN((Skills!T13*(1+Inputs!$B$35/100)),15)/15,(Skills!T13*(1+Inputs!$B$35/100))/Skills!D13)))+((C343=TRUE)*F343*IF(AND(Inputs!$B$39&lt;&gt;"pvp",Inputs!$B$44&gt;0),(((R343-1)*(Skills!T14*(1+Inputs!$B$35/100))+MIN((Skills!T14*(1+Inputs!$B$35/100)),MAX(0,Inputs!$B$44-((R343-1)*Skills!D14))))/Inputs!$B$44),IF(Inputs!$B$39="pvp",MIN((Skills!T14*(1+Inputs!$B$35/100)),15)/15,(Skills!T14*(1+Inputs!$B$35/100))/Skills!D14)))+((C344=TRUE)*F344*IF(AND(Inputs!$B$39&lt;&gt;"pvp",Inputs!$B$44&gt;0),(((R344-1)*(Skills!T15*(1+Inputs!$B$35/100))+MIN((Skills!T15*(1+Inputs!$B$35/100)),MAX(0,Inputs!$B$44-((R344-1)*Skills!D15))))/Inputs!$B$44),IF(Inputs!$B$39="pvp",MIN((Skills!T15*(1+Inputs!$B$35/100)),15)/15,(Skills!T15*(1+Inputs!$B$35/100))/Skills!D15)))+((C345=TRUE)*F345*IF(AND(Inputs!$B$39&lt;&gt;"pvp",Inputs!$B$44&gt;0),(((R345-1)*(Skills!T16*(1+Inputs!$B$35/100))+MIN((Skills!T16*(1+Inputs!$B$35/100)),MAX(0,Inputs!$B$44-((R345-1)*Skills!D16))))/Inputs!$B$44),IF(Inputs!$B$39="pvp",MIN((Skills!T16*(1+Inputs!$B$35/100)),15)/15,(Skills!T16*(1+Inputs!$B$35/100))/Skills!D16)))+0)/100)*I336)</f>
        <v/>
      </c>
      <c r="L336">
        <f>K336*(MIN(Inputs!$B$23+((C351=TRUE)*(F351-Calc!F22)),Inputs!$B$24+((C353=TRUE)*(F353-Calc!F24)))/100+(Inputs!$B$24+((C353=TRUE)*(F353-Calc!F24)))/100)/2</f>
        <v/>
      </c>
      <c r="M336">
        <f>L336*(1+(Inputs!$B$11+0+B363)/100)</f>
        <v/>
      </c>
      <c r="N336">
        <f>L336*(1-MIN((Inputs!$B$10+0+B358),100)/100)+M336*(MIN((Inputs!$B$10+0+B358),100)/100)</f>
        <v/>
      </c>
      <c r="O336">
        <f>(1-Summary!$B$55)*T336+Summary!$B$55*V336</f>
        <v/>
      </c>
      <c r="P336">
        <f>IF(B368=0,0,O336/B368)</f>
        <v/>
      </c>
      <c r="Q336">
        <f>IFERROR(1/IF(Inputs!$B$39="pvp",15,MAX(0.1,Skills!D7-IF(Skills!E7=TRUE,Inputs!$B$33,0))),0)</f>
        <v/>
      </c>
      <c r="R336">
        <f>IF(AND(Inputs!$B$39&lt;&gt;"pvp",Inputs!$B$44&gt;0),IF(MAX(0,Inputs!$B$44-B365)&lt;=0,0,(INT(MAX(0,Inputs!$B$44-B365)/IF(Inputs!$B$39="pvp",15,MAX(0.1,Skills!D7-IF(Skills!E7=TRUE,Inputs!$B$33,0))))+1)),0)</f>
        <v/>
      </c>
      <c r="S336">
        <f>IFERROR(O336/N336,0)</f>
        <v/>
      </c>
      <c r="T336">
        <f>IF(C336,(H336*N336*IF(AND(Inputs!$B$39&lt;&gt;"pvp",Inputs!$B$44&gt;0),((Skills!G7*((R336-1)*IF(Skills!H7&gt;0,Skills!I7/Skills!H7,1)+IF(Skills!H7&gt;0,MIN(Skills!I7,MAX(0,MAX(0,Inputs!$B$44-B365)-((R336-1)*IF(Inputs!$B$39="pvp",15,MAX(0.1,Skills!D7-IF(Skills!E7=TRUE,Inputs!$B$33,0))))))/Skills!H7,1)))/Inputs!$B$44),G336*Q336))*IF(Inputs!$B$39="pvp",1,1+((Inputs!$B$21+1)+0+Skills!P7+((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0)</f>
        <v/>
      </c>
      <c r="V336">
        <f>IF(C336,(H336*N336*IF(AND(Inputs!$B$39&lt;&gt;"pvp",Inputs!$B$44&gt;0),((Skills!G7*((R336-1)*IF(Skills!H7&gt;0,Skills!I7/Skills!H7,1)+IF(Skills!H7&gt;0,MIN(Skills!I7,MAX(0,MAX(0,Inputs!$B$44-B365)-((R336-1)*IF(Inputs!$B$39="pvp",15,MAX(0.1,Skills!D7-IF(Skills!E7=TRUE,Inputs!$B$33,0))))))/Skills!H7,1)))/Inputs!$B$44),G336*Q336))*IF(Inputs!$B$39="pvp",1,(1+(Inputs!$B$22+Skills!Q7+((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MIN(Skills!R7,Inputs!$B$38))),0)</f>
        <v/>
      </c>
    </row>
    <row r="337">
      <c r="A337">
        <f>Skills!A8</f>
        <v/>
      </c>
      <c r="B337">
        <f>Skills!B8</f>
        <v/>
      </c>
      <c r="C337">
        <f>Inputs!$B$3&gt;=75</f>
        <v/>
      </c>
      <c r="D337">
        <f>IF(Skills!C8=1,60+Inputs!$B$26+Inputs!$B$30,IF(Skills!C8=2,90+Inputs!$B$27+Inputs!$B$30,IF(Skills!C8=3,120+Inputs!$B$28+Inputs!$B$30,MAX(0,(Inputs!$B$3-100)*3)+Inputs!$B$29+Inputs!$B$30)))</f>
        <v/>
      </c>
      <c r="E337">
        <f>INDEX(FactorTable!$B$2:$Y$301, MATCH(ROUND(MIN(300,MAX(1,D337)),0), FactorTable!$A$2:$A$301,0), Skills!M8+1)</f>
        <v/>
      </c>
      <c r="F337">
        <f>IF(Skills!N8=TRUE,(Skills!L8/10)*(E337/1000),Skills!L8/10)+Skills!O8</f>
        <v/>
      </c>
      <c r="G337" t="inlineStr"/>
      <c r="H337" t="inlineStr"/>
      <c r="I337" t="inlineStr">
        <is>
          <t>1</t>
        </is>
      </c>
      <c r="J337" t="inlineStr"/>
      <c r="K337" t="inlineStr"/>
      <c r="L337" t="inlineStr"/>
      <c r="M337" t="inlineStr"/>
      <c r="N337" t="inlineStr"/>
      <c r="O337" t="inlineStr"/>
      <c r="P337" t="inlineStr"/>
      <c r="Q337" t="inlineStr"/>
      <c r="R337" t="inlineStr"/>
      <c r="S337" t="inlineStr"/>
    </row>
    <row r="338">
      <c r="A338">
        <f>Skills!A9</f>
        <v/>
      </c>
      <c r="B338">
        <f>Skills!B9</f>
        <v/>
      </c>
      <c r="C338">
        <f>Inputs!$B$3&gt;=60</f>
        <v/>
      </c>
      <c r="D338">
        <f>IF(Skills!C9=1,60+Inputs!$B$26+Inputs!$B$30,IF(Skills!C9=2,90+Inputs!$B$27+Inputs!$B$30,IF(Skills!C9=3,120+Inputs!$B$28+Inputs!$B$30,MAX(0,(Inputs!$B$3-100)*3)+Inputs!$B$29+Inputs!$B$30)))</f>
        <v/>
      </c>
      <c r="E338">
        <f>INDEX(FactorTable!$B$2:$Y$301, MATCH(ROUND(MIN(300,MAX(1,D338)),0), FactorTable!$A$2:$A$301,0), Skills!M9+1)</f>
        <v/>
      </c>
      <c r="F338">
        <f>IF(Skills!N9=TRUE,(Skills!L9/10)*(E338/1000),Skills!L9/10)+Skills!O9</f>
        <v/>
      </c>
      <c r="G338">
        <f>Skills!G9*IF(Skills!H9&gt;0,Skills!I9/Skills!H9,1)</f>
        <v/>
      </c>
      <c r="H338">
        <f>1-(1-Skills!J9/100)^Skills!K9</f>
        <v/>
      </c>
      <c r="I338" t="inlineStr">
        <is>
          <t>1</t>
        </is>
      </c>
      <c r="J338">
        <f>((Inputs!$B$6*(1+Inputs!$B$7/100))+(((Inputs!$B$13*(1+Inputs!$B$14/100))-(Inputs!$B$13*(1+Inputs!$B$14/100)))+0.25*(Inputs!$B$15-Inputs!$B$15))*(1+Inputs!$B$7/100))*(F338/100)</f>
        <v/>
      </c>
      <c r="K338">
        <f>J338*(1+(((Inputs!$B$13+IF(Inputs!$B$3&gt;=38,(10*INDEX(FactorTable!$B$2:$Y$301, MATCH(ROUND(MIN(300,MAX(1,Inputs!$B$3)),0), FactorTable!$A$2:$A$301,0), 23)/1000)/100*(Inputs!$B$8*(1+Inputs!$B$9/100)),0))*(1+Inputs!$B$14/100))*0.01+Inputs!$B$15*0.0025)/100)*(1+Inputs!$B$16/100)*(1+Inputs!$B$17/100)*(5000/(6000+Inputs!$B$43*(1-(Inputs!$B$20+0)/100)))*(1+(Inputs!$B$25+((C354=TRUE)*(F354-Calc!F25))+((C355=TRUE)*(F355-Calc!F26))+B364)/100)*(1+1.0*IF(C340=TRUE,F340,0)/100)*(1+(IF(Skills!A9="DARK_IMPALE",Inputs!$B$18+0,Inputs!$B$19+((C352=TRUE)*(F352-Calc!F23))))/100)*((1+(((C342=TRUE)*F342*IF(AND(Inputs!$B$39&lt;&gt;"pvp",Inputs!$B$44&gt;0),(((R342-1)*(Skills!T13*(1+Inputs!$B$35/100))+MIN((Skills!T13*(1+Inputs!$B$35/100)),MAX(0,Inputs!$B$44-((R342-1)*Skills!D13))))/Inputs!$B$44),IF(Inputs!$B$39="pvp",MIN((Skills!T13*(1+Inputs!$B$35/100)),15)/15,(Skills!T13*(1+Inputs!$B$35/100))/Skills!D13)))+((C343=TRUE)*F343*IF(AND(Inputs!$B$39&lt;&gt;"pvp",Inputs!$B$44&gt;0),(((R343-1)*(Skills!T14*(1+Inputs!$B$35/100))+MIN((Skills!T14*(1+Inputs!$B$35/100)),MAX(0,Inputs!$B$44-((R343-1)*Skills!D14))))/Inputs!$B$44),IF(Inputs!$B$39="pvp",MIN((Skills!T14*(1+Inputs!$B$35/100)),15)/15,(Skills!T14*(1+Inputs!$B$35/100))/Skills!D14)))+((C344=TRUE)*F344*IF(AND(Inputs!$B$39&lt;&gt;"pvp",Inputs!$B$44&gt;0),(((R344-1)*(Skills!T15*(1+Inputs!$B$35/100))+MIN((Skills!T15*(1+Inputs!$B$35/100)),MAX(0,Inputs!$B$44-((R344-1)*Skills!D15))))/Inputs!$B$44),IF(Inputs!$B$39="pvp",MIN((Skills!T15*(1+Inputs!$B$35/100)),15)/15,(Skills!T15*(1+Inputs!$B$35/100))/Skills!D15)))+((C345=TRUE)*F345*IF(AND(Inputs!$B$39&lt;&gt;"pvp",Inputs!$B$44&gt;0),(((R345-1)*(Skills!T16*(1+Inputs!$B$35/100))+MIN((Skills!T16*(1+Inputs!$B$35/100)),MAX(0,Inputs!$B$44-((R345-1)*Skills!D16))))/Inputs!$B$44),IF(Inputs!$B$39="pvp",MIN((Skills!T16*(1+Inputs!$B$35/100)),15)/15,(Skills!T16*(1+Inputs!$B$35/100))/Skills!D16)))+0)/100)*I338)</f>
        <v/>
      </c>
      <c r="L338">
        <f>K338*(MIN(Inputs!$B$23+((C351=TRUE)*(F351-Calc!F22)),Inputs!$B$24+((C353=TRUE)*(F353-Calc!F24)))/100+(Inputs!$B$24+((C353=TRUE)*(F353-Calc!F24)))/100)/2</f>
        <v/>
      </c>
      <c r="M338">
        <f>L338*(1+(Inputs!$B$11+0+B363)/100)</f>
        <v/>
      </c>
      <c r="N338">
        <f>L338*(1-MIN((Inputs!$B$10+0+B358),100)/100)+M338*(MIN((Inputs!$B$10+0+B358),100)/100)</f>
        <v/>
      </c>
      <c r="O338">
        <f>(1-Summary!$B$55)*T338+Summary!$B$55*V338</f>
        <v/>
      </c>
      <c r="P338">
        <f>IF(B368=0,0,O338/B368)</f>
        <v/>
      </c>
      <c r="Q338">
        <f>IFERROR(1/IF(Inputs!$B$39="pvp",15,MAX(0.1,Skills!D9-IF(Skills!E9=TRUE,Inputs!$B$33,0))),0)</f>
        <v/>
      </c>
      <c r="R338">
        <f>IF(AND(Inputs!$B$39&lt;&gt;"pvp",Inputs!$B$44&gt;0),IF(MAX(0,Inputs!$B$44-B365)&lt;=0,0,(INT(MAX(0,Inputs!$B$44-B365)/IF(Inputs!$B$39="pvp",15,MAX(0.1,Skills!D9-IF(Skills!E9=TRUE,Inputs!$B$33,0))))+1)),0)</f>
        <v/>
      </c>
      <c r="S338">
        <f>IFERROR(O338/N338,0)</f>
        <v/>
      </c>
      <c r="T338">
        <f>IF(C338,(H338*N338*IF(AND(Inputs!$B$39&lt;&gt;"pvp",Inputs!$B$44&gt;0),((Skills!G9*((R338-1)*IF(Skills!H9&gt;0,Skills!I9/Skills!H9,1)+IF(Skills!H9&gt;0,MIN(Skills!I9,MAX(0,MAX(0,Inputs!$B$44-B365)-((R338-1)*IF(Inputs!$B$39="pvp",15,MAX(0.1,Skills!D9-IF(Skills!E9=TRUE,Inputs!$B$33,0))))))/Skills!H9,1)))/Inputs!$B$44),G338*Q338))*IF(Inputs!$B$39="pvp",1,1+((Inputs!$B$21+1)+0+Skills!P9+((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0)</f>
        <v/>
      </c>
      <c r="V338">
        <f>IF(C338,(H338*N338*IF(AND(Inputs!$B$39&lt;&gt;"pvp",Inputs!$B$44&gt;0),((Skills!G9*((R338-1)*IF(Skills!H9&gt;0,Skills!I9/Skills!H9,1)+IF(Skills!H9&gt;0,MIN(Skills!I9,MAX(0,MAX(0,Inputs!$B$44-B365)-((R338-1)*IF(Inputs!$B$39="pvp",15,MAX(0.1,Skills!D9-IF(Skills!E9=TRUE,Inputs!$B$33,0))))))/Skills!H9,1)))/Inputs!$B$44),G338*Q338))*IF(Inputs!$B$39="pvp",1,(1+(Inputs!$B$22+Skills!Q9+((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MIN(Skills!R9,Inputs!$B$38))),0)</f>
        <v/>
      </c>
    </row>
    <row r="339">
      <c r="A339">
        <f>Skills!A10</f>
        <v/>
      </c>
      <c r="B339">
        <f>Skills!B10</f>
        <v/>
      </c>
      <c r="C339">
        <f>Inputs!$B$3&gt;=110</f>
        <v/>
      </c>
      <c r="D339">
        <f>IF(Skills!C10=1,60+Inputs!$B$26+Inputs!$B$30,IF(Skills!C10=2,90+Inputs!$B$27+Inputs!$B$30,IF(Skills!C10=3,120+Inputs!$B$28+Inputs!$B$30,MAX(0,(Inputs!$B$3-100)*3)+Inputs!$B$29+Inputs!$B$30)))</f>
        <v/>
      </c>
      <c r="E339">
        <f>INDEX(FactorTable!$B$2:$Y$301, MATCH(ROUND(MIN(300,MAX(1,D339)),0), FactorTable!$A$2:$A$301,0), Skills!M10+1)</f>
        <v/>
      </c>
      <c r="F339">
        <f>IF(Skills!N10=TRUE,(Skills!L10/10)*(E339/1000),Skills!L10/10)+Skills!O10</f>
        <v/>
      </c>
      <c r="G339">
        <f>Skills!G10*IF(Skills!H10&gt;0,Skills!I10/Skills!H10,1)</f>
        <v/>
      </c>
      <c r="H339">
        <f>1-(1-Skills!J10/100)^Skills!K10</f>
        <v/>
      </c>
      <c r="I339" t="inlineStr">
        <is>
          <t>1</t>
        </is>
      </c>
      <c r="J339">
        <f>((Inputs!$B$6*(1+Inputs!$B$7/100))+(((Inputs!$B$13*(1+Inputs!$B$14/100))-(Inputs!$B$13*(1+Inputs!$B$14/100)))+0.25*(Inputs!$B$15-Inputs!$B$15))*(1+Inputs!$B$7/100))*(F339/100)</f>
        <v/>
      </c>
      <c r="K339">
        <f>J339*(1+(((Inputs!$B$13+IF(Inputs!$B$3&gt;=38,(10*INDEX(FactorTable!$B$2:$Y$301, MATCH(ROUND(MIN(300,MAX(1,Inputs!$B$3)),0), FactorTable!$A$2:$A$301,0), 23)/1000)/100*(Inputs!$B$8*(1+Inputs!$B$9/100)),0))*(1+Inputs!$B$14/100))*0.01+Inputs!$B$15*0.0025)/100)*(1+Inputs!$B$16/100)*(1+Inputs!$B$17/100)*(5000/(6000+Inputs!$B$43*(1-(Inputs!$B$20+0)/100)))*(1+(Inputs!$B$25+((C354=TRUE)*(F354-Calc!F25))+((C355=TRUE)*(F355-Calc!F26))+B364)/100)*(1+(IF(Skills!A10="DARK_IMPALE",Inputs!$B$18+0,Inputs!$B$19+((C352=TRUE)*(F352-Calc!F23))))/100)*((1+(((C342=TRUE)*F342*IF(AND(Inputs!$B$39&lt;&gt;"pvp",Inputs!$B$44&gt;0),(((R342-1)*(Skills!T13*(1+Inputs!$B$35/100))+MIN((Skills!T13*(1+Inputs!$B$35/100)),MAX(0,Inputs!$B$44-((R342-1)*Skills!D13))))/Inputs!$B$44),IF(Inputs!$B$39="pvp",MIN((Skills!T13*(1+Inputs!$B$35/100)),15)/15,(Skills!T13*(1+Inputs!$B$35/100))/Skills!D13)))+((C343=TRUE)*F343*IF(AND(Inputs!$B$39&lt;&gt;"pvp",Inputs!$B$44&gt;0),(((R343-1)*(Skills!T14*(1+Inputs!$B$35/100))+MIN((Skills!T14*(1+Inputs!$B$35/100)),MAX(0,Inputs!$B$44-((R343-1)*Skills!D14))))/Inputs!$B$44),IF(Inputs!$B$39="pvp",MIN((Skills!T14*(1+Inputs!$B$35/100)),15)/15,(Skills!T14*(1+Inputs!$B$35/100))/Skills!D14)))+((C344=TRUE)*F344*IF(AND(Inputs!$B$39&lt;&gt;"pvp",Inputs!$B$44&gt;0),(((R344-1)*(Skills!T15*(1+Inputs!$B$35/100))+MIN((Skills!T15*(1+Inputs!$B$35/100)),MAX(0,Inputs!$B$44-((R344-1)*Skills!D15))))/Inputs!$B$44),IF(Inputs!$B$39="pvp",MIN((Skills!T15*(1+Inputs!$B$35/100)),15)/15,(Skills!T15*(1+Inputs!$B$35/100))/Skills!D15)))+((C345=TRUE)*F345*IF(AND(Inputs!$B$39&lt;&gt;"pvp",Inputs!$B$44&gt;0),(((R345-1)*(Skills!T16*(1+Inputs!$B$35/100))+MIN((Skills!T16*(1+Inputs!$B$35/100)),MAX(0,Inputs!$B$44-((R345-1)*Skills!D16))))/Inputs!$B$44),IF(Inputs!$B$39="pvp",MIN((Skills!T16*(1+Inputs!$B$35/100)),15)/15,(Skills!T16*(1+Inputs!$B$35/100))/Skills!D16)))+0)/100)*I339)</f>
        <v/>
      </c>
      <c r="L339">
        <f>K339*(MIN(Inputs!$B$23+((C351=TRUE)*(F351-Calc!F22)),Inputs!$B$24+((C353=TRUE)*(F353-Calc!F24)))/100+(Inputs!$B$24+((C353=TRUE)*(F353-Calc!F24)))/100)/2</f>
        <v/>
      </c>
      <c r="M339">
        <f>L339*(1+(Inputs!$B$11+0+B363)/100)</f>
        <v/>
      </c>
      <c r="N339">
        <f>L339*(1-MIN((Inputs!$B$10+0+B358),100)/100)+M339*(MIN((Inputs!$B$10+0+B358),100)/100)</f>
        <v/>
      </c>
      <c r="O339">
        <f>(1-Summary!$B$55)*T339+Summary!$B$55*V339</f>
        <v/>
      </c>
      <c r="P339">
        <f>IF(B368=0,0,O339/B368)</f>
        <v/>
      </c>
      <c r="Q339">
        <f>IFERROR(1/IF(Inputs!$B$39="pvp",15,MAX(0.1,Skills!D10-IF(Skills!E10=TRUE,Inputs!$B$33,0))),0)</f>
        <v/>
      </c>
      <c r="R339">
        <f>IF(AND(Inputs!$B$39&lt;&gt;"pvp",Inputs!$B$44&gt;0),IF(MAX(0,Inputs!$B$44-B365)&lt;=0,0,(INT(MAX(0,Inputs!$B$44-B365)/IF(Inputs!$B$39="pvp",15,MAX(0.1,Skills!D10-IF(Skills!E10=TRUE,Inputs!$B$33,0))))+1)),0)</f>
        <v/>
      </c>
      <c r="S339">
        <f>IFERROR(O339/N339,0)</f>
        <v/>
      </c>
      <c r="T339">
        <f>IF(C339,(H339*N339*IF(AND(Inputs!$B$39&lt;&gt;"pvp",Inputs!$B$44&gt;0),((Skills!G10*((R339-1)*IF(Skills!H10&gt;0,Skills!I10/Skills!H10,1)+IF(Skills!H10&gt;0,MIN(Skills!I10,MAX(0,MAX(0,Inputs!$B$44-B365)-((R339-1)*IF(Inputs!$B$39="pvp",15,MAX(0.1,Skills!D10-IF(Skills!E10=TRUE,Inputs!$B$33,0))))))/Skills!H10,1)))/Inputs!$B$44),G339*Q339))*IF(Inputs!$B$39="pvp",1,1+((Inputs!$B$21+1)+0+Skills!P10+((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0)</f>
        <v/>
      </c>
      <c r="V339">
        <f>IF(C339,(H339*N339*IF(AND(Inputs!$B$39&lt;&gt;"pvp",Inputs!$B$44&gt;0),((Skills!G10*((R339-1)*IF(Skills!H10&gt;0,Skills!I10/Skills!H10,1)+IF(Skills!H10&gt;0,MIN(Skills!I10,MAX(0,MAX(0,Inputs!$B$44-B365)-((R339-1)*IF(Inputs!$B$39="pvp",15,MAX(0.1,Skills!D10-IF(Skills!E10=TRUE,Inputs!$B$33,0))))))/Skills!H10,1)))/Inputs!$B$44),G339*Q339))*IF(Inputs!$B$39="pvp",1,(1+(Inputs!$B$22+Skills!Q10+((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MIN(Skills!R10,Inputs!$B$38))),0)</f>
        <v/>
      </c>
    </row>
    <row r="340">
      <c r="A340">
        <f>Skills!A11</f>
        <v/>
      </c>
      <c r="B340">
        <f>Skills!B11</f>
        <v/>
      </c>
      <c r="C340">
        <f>Inputs!$B$3&gt;=100</f>
        <v/>
      </c>
      <c r="D340">
        <f>IF(Skills!C11=1,60+Inputs!$B$26+Inputs!$B$30,IF(Skills!C11=2,90+Inputs!$B$27+Inputs!$B$30,IF(Skills!C11=3,120+Inputs!$B$28+Inputs!$B$30,MAX(0,(Inputs!$B$3-100)*3)+Inputs!$B$29+Inputs!$B$30)))</f>
        <v/>
      </c>
      <c r="E340">
        <f>INDEX(FactorTable!$B$2:$Y$301, MATCH(ROUND(MIN(300,MAX(1,D340)),0), FactorTable!$A$2:$A$301,0), Skills!M11+1)</f>
        <v/>
      </c>
      <c r="F340">
        <f>IF(Skills!N11=TRUE,(Skills!L11/10)*(E340/1000),Skills!L11/10)+Skills!O11</f>
        <v/>
      </c>
      <c r="G340" t="inlineStr"/>
      <c r="H340" t="inlineStr"/>
      <c r="I340" t="inlineStr">
        <is>
          <t>1</t>
        </is>
      </c>
      <c r="J340" t="inlineStr"/>
      <c r="K340" t="inlineStr"/>
      <c r="L340" t="inlineStr"/>
      <c r="M340" t="inlineStr"/>
      <c r="N340" t="inlineStr"/>
      <c r="O340" t="inlineStr"/>
      <c r="P340" t="inlineStr"/>
      <c r="Q340" t="inlineStr"/>
      <c r="R340" t="inlineStr"/>
      <c r="S340" t="inlineStr"/>
    </row>
    <row r="341">
      <c r="A341">
        <f>Skills!A12</f>
        <v/>
      </c>
      <c r="B341">
        <f>Skills!B12</f>
        <v/>
      </c>
      <c r="C341">
        <f>Inputs!$B$3&gt;=63</f>
        <v/>
      </c>
      <c r="D341">
        <f>IF(Skills!C12=1,60+Inputs!$B$26+Inputs!$B$30,IF(Skills!C12=2,90+Inputs!$B$27+Inputs!$B$30,IF(Skills!C12=3,120+Inputs!$B$28+Inputs!$B$30,MAX(0,(Inputs!$B$3-100)*3)+Inputs!$B$29+Inputs!$B$30)))</f>
        <v/>
      </c>
      <c r="E341">
        <f>INDEX(FactorTable!$B$2:$Y$301, MATCH(ROUND(MIN(300,MAX(1,D341)),0), FactorTable!$A$2:$A$301,0), Skills!M12+1)</f>
        <v/>
      </c>
      <c r="F341">
        <f>IF(Skills!N12=TRUE,(Skills!L12/10)*(E341/1000),Skills!L12/10)+Skills!O12</f>
        <v/>
      </c>
      <c r="G341">
        <f>Skills!G12*IF(Skills!H12&gt;0,Skills!I12/Skills!H12,1)</f>
        <v/>
      </c>
      <c r="H341">
        <f>1-(1-Skills!J12/100)^Skills!K12</f>
        <v/>
      </c>
      <c r="I341" t="inlineStr">
        <is>
          <t>1</t>
        </is>
      </c>
      <c r="J341">
        <f>((Inputs!$B$6*(1+Inputs!$B$7/100))+(((Inputs!$B$13*(1+Inputs!$B$14/100))-(Inputs!$B$13*(1+Inputs!$B$14/100)))+0.25*(Inputs!$B$15-Inputs!$B$15))*(1+Inputs!$B$7/100))*(F341/100)</f>
        <v/>
      </c>
      <c r="K341">
        <f>J341*(1+(((Inputs!$B$13+IF(Inputs!$B$3&gt;=38,(10*INDEX(FactorTable!$B$2:$Y$301, MATCH(ROUND(MIN(300,MAX(1,Inputs!$B$3)),0), FactorTable!$A$2:$A$301,0), 23)/1000)/100*(Inputs!$B$8*(1+Inputs!$B$9/100)),0))*(1+Inputs!$B$14/100))*0.01+Inputs!$B$15*0.0025)/100)*(1+Inputs!$B$16/100)*(1+Inputs!$B$17/100)*(5000/(6000+Inputs!$B$43*(1-(Inputs!$B$20+0)/100)))*(1+(Inputs!$B$25+((C354=TRUE)*(F354-Calc!F25))+((C355=TRUE)*(F355-Calc!F26))+B364)/100)*(1+0.75*IF(C340=TRUE,F340,0)/100)*(1+(IF(Skills!A12="DARK_IMPALE",Inputs!$B$18+0,Inputs!$B$19+((C352=TRUE)*(F352-Calc!F23))))/100)*((1+(((C342=TRUE)*F342*IF(AND(Inputs!$B$39&lt;&gt;"pvp",Inputs!$B$44&gt;0),(((R342-1)*(Skills!T13*(1+Inputs!$B$35/100))+MIN((Skills!T13*(1+Inputs!$B$35/100)),MAX(0,Inputs!$B$44-((R342-1)*Skills!D13))))/Inputs!$B$44),IF(Inputs!$B$39="pvp",MIN((Skills!T13*(1+Inputs!$B$35/100)),15)/15,(Skills!T13*(1+Inputs!$B$35/100))/Skills!D13)))+((C343=TRUE)*F343*IF(AND(Inputs!$B$39&lt;&gt;"pvp",Inputs!$B$44&gt;0),(((R343-1)*(Skills!T14*(1+Inputs!$B$35/100))+MIN((Skills!T14*(1+Inputs!$B$35/100)),MAX(0,Inputs!$B$44-((R343-1)*Skills!D14))))/Inputs!$B$44),IF(Inputs!$B$39="pvp",MIN((Skills!T14*(1+Inputs!$B$35/100)),15)/15,(Skills!T14*(1+Inputs!$B$35/100))/Skills!D14)))+((C344=TRUE)*F344*IF(AND(Inputs!$B$39&lt;&gt;"pvp",Inputs!$B$44&gt;0),(((R344-1)*(Skills!T15*(1+Inputs!$B$35/100))+MIN((Skills!T15*(1+Inputs!$B$35/100)),MAX(0,Inputs!$B$44-((R344-1)*Skills!D15))))/Inputs!$B$44),IF(Inputs!$B$39="pvp",MIN((Skills!T15*(1+Inputs!$B$35/100)),15)/15,(Skills!T15*(1+Inputs!$B$35/100))/Skills!D15)))+((C345=TRUE)*F345*IF(AND(Inputs!$B$39&lt;&gt;"pvp",Inputs!$B$44&gt;0),(((R345-1)*(Skills!T16*(1+Inputs!$B$35/100))+MIN((Skills!T16*(1+Inputs!$B$35/100)),MAX(0,Inputs!$B$44-((R345-1)*Skills!D16))))/Inputs!$B$44),IF(Inputs!$B$39="pvp",MIN((Skills!T16*(1+Inputs!$B$35/100)),15)/15,(Skills!T16*(1+Inputs!$B$35/100))/Skills!D16)))+0)/100)*I341)</f>
        <v/>
      </c>
      <c r="L341">
        <f>K341*(MIN(Inputs!$B$23+((C351=TRUE)*(F351-Calc!F22)),Inputs!$B$24+((C353=TRUE)*(F353-Calc!F24)))/100+(Inputs!$B$24+((C353=TRUE)*(F353-Calc!F24)))/100)/2</f>
        <v/>
      </c>
      <c r="M341">
        <f>L341*(1+(Inputs!$B$11+0+B363)/100)</f>
        <v/>
      </c>
      <c r="N341">
        <f>L341*(1-MIN((Inputs!$B$10+0+B358),100)/100)+M341*(MIN((Inputs!$B$10+0+B358),100)/100)</f>
        <v/>
      </c>
      <c r="O341">
        <f>(1-Summary!$B$55)*T341+Summary!$B$55*V341</f>
        <v/>
      </c>
      <c r="P341">
        <f>IF(B368=0,0,O341/B368)</f>
        <v/>
      </c>
      <c r="Q341">
        <f>IFERROR(1/IF(Inputs!$B$39="pvp",15,MAX(0.1,Skills!D12-IF(Skills!E12=TRUE,Inputs!$B$33,0))),0)</f>
        <v/>
      </c>
      <c r="R341">
        <f>IF(AND(Inputs!$B$39&lt;&gt;"pvp",Inputs!$B$44&gt;0),IF(MAX(0,Inputs!$B$44-B365)&lt;=0,0,(INT(MAX(0,Inputs!$B$44-B365)/IF(Inputs!$B$39="pvp",15,MAX(0.1,Skills!D12-IF(Skills!E12=TRUE,Inputs!$B$33,0))))+1)),0)</f>
        <v/>
      </c>
      <c r="S341">
        <f>IFERROR(O341/N341,0)</f>
        <v/>
      </c>
      <c r="T341">
        <f>IF(C341,(H341*N341*IF(AND(Inputs!$B$39&lt;&gt;"pvp",Inputs!$B$44&gt;0),((Skills!G12*((R341-1)*IF(Skills!H12&gt;0,Skills!I12/Skills!H12,1)+IF(Skills!H12&gt;0,MIN(Skills!I12,MAX(0,MAX(0,Inputs!$B$44-B365)-((R341-1)*IF(Inputs!$B$39="pvp",15,MAX(0.1,Skills!D12-IF(Skills!E12=TRUE,Inputs!$B$33,0))))))/Skills!H12,1)))/Inputs!$B$44),G341*Q341))*IF(Inputs!$B$39="pvp",1,1+((Inputs!$B$21+1)+0+Skills!P12+((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0)</f>
        <v/>
      </c>
      <c r="V341">
        <f>IF(C341,(H341*N341*IF(AND(Inputs!$B$39&lt;&gt;"pvp",Inputs!$B$44&gt;0),((Skills!G12*((R341-1)*IF(Skills!H12&gt;0,Skills!I12/Skills!H12,1)+IF(Skills!H12&gt;0,MIN(Skills!I12,MAX(0,MAX(0,Inputs!$B$44-B365)-((R341-1)*IF(Inputs!$B$39="pvp",15,MAX(0.1,Skills!D12-IF(Skills!E12=TRUE,Inputs!$B$33,0))))))/Skills!H12,1)))/Inputs!$B$44),G341*Q341))*IF(Inputs!$B$39="pvp",1,(1+(Inputs!$B$22+Skills!Q12+((C346=TRUE)*F346*IF(AND(Inputs!$B$39&lt;&gt;"pvp",Inputs!$B$44&gt;0),(((R346-1)*(Skills!T17*(1+Inputs!$B$35/100))+MIN((Skills!T17*(1+Inputs!$B$35/100)),MAX(0,Inputs!$B$44-((R346-1)*Skills!D17))))/Inputs!$B$44),IF(Inputs!$B$39="pvp",MIN((Skills!T17*(1+Inputs!$B$35/100)),15)/15,(Skills!T17*(1+Inputs!$B$35/100))/Skills!D17)))+((C343=TRUE)*IF(Inputs!$B$39="pvp",20,(1-Summary!$B$55)*(20)+Summary!$B$55*(0))*IF(AND(Inputs!$B$39&lt;&gt;"pvp",Inputs!$B$44&gt;0),(((R343-1)*(Skills!T14*(1+Inputs!$B$35/100))+MIN((Skills!T14*(1+Inputs!$B$35/100)),MAX(0,Inputs!$B$44-((R343-1)*Skills!D14))))/Inputs!$B$44),IF(Inputs!$B$39="pvp",MIN((Skills!T14*(1+Inputs!$B$35/100)),15)/15,(Skills!T14*(1+Inputs!$B$35/100))/Skills!D14))))/100)*(MIN(Skills!R12,Inputs!$B$38))),0)</f>
        <v/>
      </c>
    </row>
    <row r="342">
      <c r="A342">
        <f>Skills!A13</f>
        <v/>
      </c>
      <c r="B342">
        <f>Skills!B13</f>
        <v/>
      </c>
      <c r="C342">
        <f>Inputs!$B$3&gt;=69</f>
        <v/>
      </c>
      <c r="D342">
        <f>IF(Skills!C13=1,60+Inputs!$B$26+Inputs!$B$30,IF(Skills!C13=2,90+Inputs!$B$27+Inputs!$B$30,IF(Skills!C13=3,120+Inputs!$B$28+Inputs!$B$30,MAX(0,(Inputs!$B$3-100)*3)+Inputs!$B$29+Inputs!$B$30)))</f>
        <v/>
      </c>
      <c r="E342">
        <f>INDEX(FactorTable!$B$2:$Y$301, MATCH(ROUND(MIN(300,MAX(1,D342)),0), FactorTable!$A$2:$A$301,0), Skills!M13+1)</f>
        <v/>
      </c>
      <c r="F342">
        <f>IF(Skills!N13=TRUE,(Skills!L13/10)*(E342/1000),Skills!L13/10)+Skills!O13</f>
        <v/>
      </c>
      <c r="G342">
        <f>Skills!G13*IF(Skills!H13&gt;0,Skills!I13/Skills!H13,1)</f>
        <v/>
      </c>
      <c r="H342">
        <f>1-(1-Skills!J13/100)^Skills!K13</f>
        <v/>
      </c>
      <c r="I342" t="inlineStr">
        <is>
          <t>1</t>
        </is>
      </c>
      <c r="J342" t="inlineStr"/>
      <c r="K342" t="inlineStr"/>
      <c r="L342" t="inlineStr"/>
      <c r="M342" t="inlineStr"/>
      <c r="N342" t="inlineStr"/>
      <c r="O342">
        <f>(1-Summary!$B$55)*T342+Summary!$B$55*V342</f>
        <v/>
      </c>
      <c r="P342">
        <f>IF(B368=0,0,O342/B368)</f>
        <v/>
      </c>
      <c r="Q342">
        <f>IFERROR(1/IF(Inputs!$B$39="pvp",15,MAX(0.1,Skills!D13-IF(Skills!E13=TRUE,Inputs!$B$33,0))),0)</f>
        <v/>
      </c>
      <c r="R342">
        <f>IF(AND(Inputs!$B$39&lt;&gt;"pvp",Inputs!$B$44&gt;0),IF(Inputs!$B$44&lt;=0,0,(INT(Inputs!$B$44/IF(Inputs!$B$39="pvp",15,MAX(0.1,Skills!D13-IF(Skills!E13=TRUE,Inputs!$B$33,0))))+1)),0)</f>
        <v/>
      </c>
      <c r="S342">
        <f>IFERROR(O342/N342,0)</f>
        <v/>
      </c>
      <c r="T342" t="n">
        <v>0</v>
      </c>
      <c r="V342" t="n">
        <v>0</v>
      </c>
    </row>
    <row r="343">
      <c r="A343">
        <f>Skills!A14</f>
        <v/>
      </c>
      <c r="B343">
        <f>Skills!B14</f>
        <v/>
      </c>
      <c r="C343">
        <f>Inputs!$B$3&gt;=115</f>
        <v/>
      </c>
      <c r="D343">
        <f>IF(Skills!C14=1,60+Inputs!$B$26+Inputs!$B$30,IF(Skills!C14=2,90+Inputs!$B$27+Inputs!$B$30,IF(Skills!C14=3,120+Inputs!$B$28+Inputs!$B$30,MAX(0,(Inputs!$B$3-100)*3)+Inputs!$B$29+Inputs!$B$30)))</f>
        <v/>
      </c>
      <c r="E343">
        <f>INDEX(FactorTable!$B$2:$Y$301, MATCH(ROUND(MIN(300,MAX(1,D343)),0), FactorTable!$A$2:$A$301,0), Skills!M14+1)</f>
        <v/>
      </c>
      <c r="F343">
        <f>IF(Skills!N14=TRUE,(Skills!L14/10)*(E343/1000),Skills!L14/10)+Skills!O14</f>
        <v/>
      </c>
      <c r="G343">
        <f>Skills!G14*IF(Skills!H14&gt;0,Skills!I14/Skills!H14,1)</f>
        <v/>
      </c>
      <c r="H343">
        <f>1-(1-Skills!J14/100)^Skills!K14</f>
        <v/>
      </c>
      <c r="I343" t="inlineStr">
        <is>
          <t>1</t>
        </is>
      </c>
      <c r="J343" t="inlineStr"/>
      <c r="K343" t="inlineStr"/>
      <c r="L343" t="inlineStr"/>
      <c r="M343" t="inlineStr"/>
      <c r="N343" t="inlineStr"/>
      <c r="O343">
        <f>(1-Summary!$B$55)*T343+Summary!$B$55*V343</f>
        <v/>
      </c>
      <c r="P343">
        <f>IF(B368=0,0,O343/B368)</f>
        <v/>
      </c>
      <c r="Q343">
        <f>IFERROR(1/IF(Inputs!$B$39="pvp",15,MAX(0.1,Skills!D14-IF(Skills!E14=TRUE,Inputs!$B$33,0))),0)</f>
        <v/>
      </c>
      <c r="R343">
        <f>IF(AND(Inputs!$B$39&lt;&gt;"pvp",Inputs!$B$44&gt;0),IF(Inputs!$B$44&lt;=0,0,(INT(Inputs!$B$44/IF(Inputs!$B$39="pvp",15,MAX(0.1,Skills!D14-IF(Skills!E14=TRUE,Inputs!$B$33,0))))+1)),0)</f>
        <v/>
      </c>
      <c r="S343">
        <f>IFERROR(O343/N343,0)</f>
        <v/>
      </c>
      <c r="T343" t="n">
        <v>0</v>
      </c>
      <c r="V343" t="n">
        <v>0</v>
      </c>
    </row>
    <row r="344">
      <c r="A344">
        <f>Skills!A15</f>
        <v/>
      </c>
      <c r="B344">
        <f>Skills!B15</f>
        <v/>
      </c>
      <c r="C344">
        <f>Inputs!$B$3&gt;=66</f>
        <v/>
      </c>
      <c r="D344">
        <f>IF(Skills!C15=1,60+Inputs!$B$26+Inputs!$B$30,IF(Skills!C15=2,90+Inputs!$B$27+Inputs!$B$30,IF(Skills!C15=3,120+Inputs!$B$28+Inputs!$B$30,MAX(0,(Inputs!$B$3-100)*3)+Inputs!$B$29+Inputs!$B$30)))</f>
        <v/>
      </c>
      <c r="E344">
        <f>INDEX(FactorTable!$B$2:$Y$301, MATCH(ROUND(MIN(300,MAX(1,D344)),0), FactorTable!$A$2:$A$301,0), Skills!M15+1)</f>
        <v/>
      </c>
      <c r="F344">
        <f>IF(Skills!N15=TRUE,(Skills!L15/10)*(E344/1000),Skills!L15/10)+Skills!O15</f>
        <v/>
      </c>
      <c r="G344">
        <f>Skills!G15*IF(Skills!H15&gt;0,Skills!I15/Skills!H15,1)</f>
        <v/>
      </c>
      <c r="H344">
        <f>1-(1-Skills!J15/100)^Skills!K15</f>
        <v/>
      </c>
      <c r="I344" t="inlineStr">
        <is>
          <t>1</t>
        </is>
      </c>
      <c r="J344" t="inlineStr"/>
      <c r="K344" t="inlineStr"/>
      <c r="L344" t="inlineStr"/>
      <c r="M344" t="inlineStr"/>
      <c r="N344" t="inlineStr"/>
      <c r="O344">
        <f>(1-Summary!$B$55)*T344+Summary!$B$55*V344</f>
        <v/>
      </c>
      <c r="P344">
        <f>IF(B368=0,0,O344/B368)</f>
        <v/>
      </c>
      <c r="Q344">
        <f>IFERROR(1/IF(Inputs!$B$39="pvp",15,MAX(0.1,Skills!D15-IF(Skills!E15=TRUE,Inputs!$B$33,0))),0)</f>
        <v/>
      </c>
      <c r="R344">
        <f>IF(AND(Inputs!$B$39&lt;&gt;"pvp",Inputs!$B$44&gt;0),IF(Inputs!$B$44&lt;=0,0,(INT(Inputs!$B$44/IF(Inputs!$B$39="pvp",15,MAX(0.1,Skills!D15-IF(Skills!E15=TRUE,Inputs!$B$33,0))))+1)),0)</f>
        <v/>
      </c>
      <c r="S344">
        <f>IFERROR(O344/N344,0)</f>
        <v/>
      </c>
      <c r="T344" t="n">
        <v>0</v>
      </c>
      <c r="V344" t="n">
        <v>0</v>
      </c>
    </row>
    <row r="345">
      <c r="A345">
        <f>Skills!A16</f>
        <v/>
      </c>
      <c r="B345">
        <f>Skills!B16</f>
        <v/>
      </c>
      <c r="C345">
        <f>Inputs!$B$3&gt;=45</f>
        <v/>
      </c>
      <c r="D345">
        <f>IF(Skills!C16=1,60+Inputs!$B$26+Inputs!$B$30,IF(Skills!C16=2,90+Inputs!$B$27+Inputs!$B$30,IF(Skills!C16=3,120+Inputs!$B$28+Inputs!$B$30,MAX(0,(Inputs!$B$3-100)*3)+Inputs!$B$29+Inputs!$B$30)))</f>
        <v/>
      </c>
      <c r="E345">
        <f>INDEX(FactorTable!$B$2:$Y$301, MATCH(ROUND(MIN(300,MAX(1,D345)),0), FactorTable!$A$2:$A$301,0), Skills!M16+1)</f>
        <v/>
      </c>
      <c r="F345">
        <f>IF(Skills!N16=TRUE,(Skills!L16/10)*(E345/1000),Skills!L16/10)+Skills!O16</f>
        <v/>
      </c>
      <c r="G345">
        <f>Skills!G16*IF(Skills!H16&gt;0,Skills!I16/Skills!H16,1)</f>
        <v/>
      </c>
      <c r="H345">
        <f>1-(1-Skills!J16/100)^Skills!K16</f>
        <v/>
      </c>
      <c r="I345" t="inlineStr">
        <is>
          <t>1</t>
        </is>
      </c>
      <c r="J345" t="inlineStr"/>
      <c r="K345" t="inlineStr"/>
      <c r="L345" t="inlineStr"/>
      <c r="M345" t="inlineStr"/>
      <c r="N345" t="inlineStr"/>
      <c r="O345">
        <f>(1-Summary!$B$55)*T345+Summary!$B$55*V345</f>
        <v/>
      </c>
      <c r="P345">
        <f>IF(B368=0,0,O345/B368)</f>
        <v/>
      </c>
      <c r="Q345">
        <f>IFERROR(1/IF(Inputs!$B$39="pvp",15,MAX(0.1,Skills!D16-IF(Skills!E16=TRUE,Inputs!$B$33,0))),0)</f>
        <v/>
      </c>
      <c r="R345">
        <f>IF(AND(Inputs!$B$39&lt;&gt;"pvp",Inputs!$B$44&gt;0),IF(Inputs!$B$44&lt;=0,0,(INT(Inputs!$B$44/IF(Inputs!$B$39="pvp",15,MAX(0.1,Skills!D16-IF(Skills!E16=TRUE,Inputs!$B$33,0))))+1)),0)</f>
        <v/>
      </c>
      <c r="S345">
        <f>IFERROR(O345/N345,0)</f>
        <v/>
      </c>
      <c r="T345" t="n">
        <v>0</v>
      </c>
      <c r="V345" t="n">
        <v>0</v>
      </c>
    </row>
    <row r="346">
      <c r="A346">
        <f>Skills!A17</f>
        <v/>
      </c>
      <c r="B346">
        <f>Skills!B17</f>
        <v/>
      </c>
      <c r="C346">
        <f>Inputs!$B$3&gt;=35</f>
        <v/>
      </c>
      <c r="D346">
        <f>IF(Skills!C17=1,60+Inputs!$B$26+Inputs!$B$30,IF(Skills!C17=2,90+Inputs!$B$27+Inputs!$B$30,IF(Skills!C17=3,120+Inputs!$B$28+Inputs!$B$30,MAX(0,(Inputs!$B$3-100)*3)+Inputs!$B$29+Inputs!$B$30)))</f>
        <v/>
      </c>
      <c r="E346">
        <f>INDEX(FactorTable!$B$2:$Y$301, MATCH(ROUND(MIN(300,MAX(1,D346)),0), FactorTable!$A$2:$A$301,0), Skills!M17+1)</f>
        <v/>
      </c>
      <c r="F346">
        <f>IF(Skills!N17=TRUE,(Skills!L17/10)*(E346/1000),Skills!L17/10)+Skills!O17</f>
        <v/>
      </c>
      <c r="G346">
        <f>Skills!G17*IF(Skills!H17&gt;0,Skills!I17/Skills!H17,1)</f>
        <v/>
      </c>
      <c r="H346">
        <f>1-(1-Skills!J17/100)^Skills!K17</f>
        <v/>
      </c>
      <c r="I346" t="inlineStr">
        <is>
          <t>1</t>
        </is>
      </c>
      <c r="J346" t="inlineStr"/>
      <c r="K346" t="inlineStr"/>
      <c r="L346" t="inlineStr"/>
      <c r="M346" t="inlineStr"/>
      <c r="N346" t="inlineStr"/>
      <c r="O346">
        <f>(1-Summary!$B$55)*T346+Summary!$B$55*V346</f>
        <v/>
      </c>
      <c r="P346">
        <f>IF(B368=0,0,O346/B368)</f>
        <v/>
      </c>
      <c r="Q346">
        <f>IFERROR(1/IF(Inputs!$B$39="pvp",15,MAX(0.1,Skills!D17-IF(Skills!E17=TRUE,Inputs!$B$33,0))),0)</f>
        <v/>
      </c>
      <c r="R346">
        <f>IF(AND(Inputs!$B$39&lt;&gt;"pvp",Inputs!$B$44&gt;0),IF(Inputs!$B$44&lt;=0,0,(INT(Inputs!$B$44/IF(Inputs!$B$39="pvp",15,MAX(0.1,Skills!D17-IF(Skills!E17=TRUE,Inputs!$B$33,0))))+1)),0)</f>
        <v/>
      </c>
      <c r="S346">
        <f>IFERROR(O346/N346,0)</f>
        <v/>
      </c>
      <c r="T346" t="n">
        <v>0</v>
      </c>
      <c r="V346" t="n">
        <v>0</v>
      </c>
    </row>
    <row r="347">
      <c r="A347">
        <f>Skills!A18</f>
        <v/>
      </c>
      <c r="B347">
        <f>Skills!B18</f>
        <v/>
      </c>
      <c r="C347">
        <f>Inputs!$B$3&gt;=72</f>
        <v/>
      </c>
      <c r="D347">
        <f>IF(Skills!C18=1,60+Inputs!$B$26+Inputs!$B$30,IF(Skills!C18=2,90+Inputs!$B$27+Inputs!$B$30,IF(Skills!C18=3,120+Inputs!$B$28+Inputs!$B$30,MAX(0,(Inputs!$B$3-100)*3)+Inputs!$B$29+Inputs!$B$30)))</f>
        <v/>
      </c>
      <c r="E347">
        <f>INDEX(FactorTable!$B$2:$Y$301, MATCH(ROUND(MIN(300,MAX(1,D347)),0), FactorTable!$A$2:$A$301,0), Skills!M18+1)</f>
        <v/>
      </c>
      <c r="F347">
        <f>IF(Skills!N18=TRUE,(Skills!L18/10)*(E347/1000),Skills!L18/10)+Skills!O18</f>
        <v/>
      </c>
      <c r="G347">
        <f>Skills!G18*IF(Skills!H18&gt;0,Skills!I18/Skills!H18,1)</f>
        <v/>
      </c>
      <c r="H347">
        <f>1-(1-Skills!J18/100)^Skills!K18</f>
        <v/>
      </c>
      <c r="I347" t="inlineStr">
        <is>
          <t>1</t>
        </is>
      </c>
      <c r="J347" t="inlineStr"/>
      <c r="K347" t="inlineStr"/>
      <c r="L347" t="inlineStr"/>
      <c r="M347" t="inlineStr"/>
      <c r="N347" t="inlineStr"/>
      <c r="O347">
        <f>(1-Summary!$B$55)*T347+Summary!$B$55*V347</f>
        <v/>
      </c>
      <c r="P347">
        <f>IF(B368=0,0,O347/B368)</f>
        <v/>
      </c>
      <c r="Q347">
        <f>IFERROR(1/IF(Inputs!$B$39="pvp",15,MAX(0.1,Skills!D18-IF(Skills!E18=TRUE,Inputs!$B$33,0))),0)</f>
        <v/>
      </c>
      <c r="R347">
        <f>IF(AND(Inputs!$B$39&lt;&gt;"pvp",Inputs!$B$44&gt;0),IF(Inputs!$B$44&lt;=0,0,(INT(Inputs!$B$44/IF(Inputs!$B$39="pvp",15,MAX(0.1,Skills!D18-IF(Skills!E18=TRUE,Inputs!$B$33,0))))+1)),0)</f>
        <v/>
      </c>
      <c r="S347">
        <f>IFERROR(O347/N347,0)</f>
        <v/>
      </c>
      <c r="T347" t="n">
        <v>0</v>
      </c>
      <c r="V347" t="n">
        <v>0</v>
      </c>
    </row>
    <row r="348">
      <c r="A348">
        <f>Skills!A19</f>
        <v/>
      </c>
      <c r="B348">
        <f>Skills!B19</f>
        <v/>
      </c>
      <c r="C348">
        <f>Inputs!$B$3&gt;=72</f>
        <v/>
      </c>
      <c r="D348">
        <f>IF(Skills!C19=1,60+Inputs!$B$26+Inputs!$B$30,IF(Skills!C19=2,90+Inputs!$B$27+Inputs!$B$30,IF(Skills!C19=3,120+Inputs!$B$28+Inputs!$B$30,MAX(0,(Inputs!$B$3-100)*3)+Inputs!$B$29+Inputs!$B$30)))</f>
        <v/>
      </c>
      <c r="E348">
        <f>INDEX(FactorTable!$B$2:$Y$301, MATCH(ROUND(MIN(300,MAX(1,D348)),0), FactorTable!$A$2:$A$301,0), Skills!M19+1)</f>
        <v/>
      </c>
      <c r="F348">
        <f>IF(Skills!N19=TRUE,(Skills!L19/10)*(E348/1000),Skills!L19/10)+Skills!O19</f>
        <v/>
      </c>
      <c r="G348">
        <f>Skills!G19*IF(Skills!H19&gt;0,Skills!I19/Skills!H19,1)</f>
        <v/>
      </c>
      <c r="H348">
        <f>1-(1-Skills!J19/100)^Skills!K19</f>
        <v/>
      </c>
      <c r="I348" t="inlineStr">
        <is>
          <t>1</t>
        </is>
      </c>
      <c r="J348" t="inlineStr"/>
      <c r="K348" t="inlineStr"/>
      <c r="L348" t="inlineStr"/>
      <c r="M348" t="inlineStr"/>
      <c r="N348" t="inlineStr"/>
      <c r="O348">
        <f>(1-Summary!$B$55)*T348+Summary!$B$55*V348</f>
        <v/>
      </c>
      <c r="P348">
        <f>IF(B368=0,0,O348/B368)</f>
        <v/>
      </c>
      <c r="Q348">
        <f>IFERROR(1/IF(Inputs!$B$39="pvp",15,MAX(0.1,Skills!D19-IF(Skills!E19=TRUE,Inputs!$B$33,0))),0)</f>
        <v/>
      </c>
      <c r="R348">
        <f>IF(AND(Inputs!$B$39&lt;&gt;"pvp",Inputs!$B$44&gt;0),IF(Inputs!$B$44&lt;=0,0,(INT(Inputs!$B$44/IF(Inputs!$B$39="pvp",15,MAX(0.1,Skills!D19-IF(Skills!E19=TRUE,Inputs!$B$33,0))))+1)),0)</f>
        <v/>
      </c>
      <c r="S348">
        <f>IFERROR(O348/N348,0)</f>
        <v/>
      </c>
      <c r="T348" t="n">
        <v>0</v>
      </c>
      <c r="V348" t="n">
        <v>0</v>
      </c>
    </row>
    <row r="349">
      <c r="A349">
        <f>Skills!A20</f>
        <v/>
      </c>
      <c r="B349">
        <f>Skills!B20</f>
        <v/>
      </c>
      <c r="C349">
        <f>TRUE</f>
        <v/>
      </c>
      <c r="D349">
        <f>IF(Skills!C20=1,60+Inputs!$B$26+Inputs!$B$30,IF(Skills!C20=2,90+Inputs!$B$27+Inputs!$B$30,IF(Skills!C20=3,120+Inputs!$B$28+Inputs!$B$30,MAX(0,(Inputs!$B$3-100)*3)+Inputs!$B$29+Inputs!$B$30)))</f>
        <v/>
      </c>
      <c r="E349">
        <f>INDEX(FactorTable!$B$2:$Y$301, MATCH(ROUND(MIN(300,MAX(1,D349)),0), FactorTable!$A$2:$A$301,0), Skills!M20+1)</f>
        <v/>
      </c>
      <c r="F349">
        <f>IF(Skills!N20=TRUE,(Skills!L20/10)*(E349/1000),Skills!L20/10)+Skills!O20</f>
        <v/>
      </c>
      <c r="G349">
        <f>Skills!G20*IF(Skills!H20&gt;0,Skills!I20/Skills!H20,1)</f>
        <v/>
      </c>
      <c r="H349">
        <f>1-(1-Skills!J20/100)^Skills!K20</f>
        <v/>
      </c>
      <c r="I349" t="inlineStr">
        <is>
          <t>1</t>
        </is>
      </c>
      <c r="J349" t="inlineStr"/>
      <c r="K349" t="inlineStr"/>
      <c r="L349" t="inlineStr"/>
      <c r="M349" t="inlineStr"/>
      <c r="N349" t="inlineStr"/>
      <c r="O349">
        <f>(1-Summary!$B$55)*T349+Summary!$B$55*V349</f>
        <v/>
      </c>
      <c r="P349">
        <f>IF(B368=0,0,O349/B368)</f>
        <v/>
      </c>
      <c r="Q349">
        <f>IFERROR(1/IF(Inputs!$B$39="pvp",15,MAX(0.1,Skills!D20-IF(Skills!E20=TRUE,Inputs!$B$33,0))),0)</f>
        <v/>
      </c>
      <c r="R349">
        <f>IF(AND(Inputs!$B$39&lt;&gt;"pvp",Inputs!$B$44&gt;0),IF(Inputs!$B$44&lt;=0,0,(INT(Inputs!$B$44/IF(Inputs!$B$39="pvp",15,MAX(0.1,Skills!D20-IF(Skills!E20=TRUE,Inputs!$B$33,0))))+1)),0)</f>
        <v/>
      </c>
      <c r="S349">
        <f>IFERROR(O349/N349,0)</f>
        <v/>
      </c>
      <c r="T349" t="n">
        <v>0</v>
      </c>
      <c r="V349" t="n">
        <v>0</v>
      </c>
    </row>
    <row r="350">
      <c r="A350">
        <f>Skills!A21</f>
        <v/>
      </c>
      <c r="B350">
        <f>Skills!B21</f>
        <v/>
      </c>
      <c r="C350">
        <f>Inputs!$B$3&gt;=33</f>
        <v/>
      </c>
      <c r="D350">
        <f>IF(Skills!C21=1,60+Inputs!$B$26+Inputs!$B$30,IF(Skills!C21=2,90+Inputs!$B$27+Inputs!$B$30,IF(Skills!C21=3,120+Inputs!$B$28+Inputs!$B$30,MAX(0,(Inputs!$B$3-100)*3)+Inputs!$B$29+Inputs!$B$30)))</f>
        <v/>
      </c>
      <c r="E350">
        <f>INDEX(FactorTable!$B$2:$Y$301, MATCH(ROUND(MIN(300,MAX(1,D350)),0), FactorTable!$A$2:$A$301,0), Skills!M21+1)</f>
        <v/>
      </c>
      <c r="F350">
        <f>IF(Skills!N21=TRUE,(Skills!L21/10)*(E350/1000),Skills!L21/10)+Skills!O21</f>
        <v/>
      </c>
      <c r="G350">
        <f>Skills!G21*IF(Skills!H21&gt;0,Skills!I21/Skills!H21,1)</f>
        <v/>
      </c>
      <c r="H350">
        <f>1-(1-Skills!J21/100)^Skills!K21</f>
        <v/>
      </c>
      <c r="I350" t="inlineStr">
        <is>
          <t>1</t>
        </is>
      </c>
      <c r="J350" t="inlineStr"/>
      <c r="K350" t="inlineStr"/>
      <c r="L350" t="inlineStr"/>
      <c r="M350" t="inlineStr"/>
      <c r="N350" t="inlineStr"/>
      <c r="O350">
        <f>(1-Summary!$B$55)*T350+Summary!$B$55*V350</f>
        <v/>
      </c>
      <c r="P350">
        <f>IF(B368=0,0,O350/B368)</f>
        <v/>
      </c>
      <c r="Q350" t="n">
        <v>0</v>
      </c>
      <c r="R350" t="n">
        <v>0</v>
      </c>
      <c r="S350">
        <f>IFERROR(O350/N350,0)</f>
        <v/>
      </c>
      <c r="T350" t="n">
        <v>0</v>
      </c>
      <c r="V350" t="n">
        <v>0</v>
      </c>
    </row>
    <row r="351">
      <c r="A351">
        <f>Skills!A22</f>
        <v/>
      </c>
      <c r="B351">
        <f>Skills!B22</f>
        <v/>
      </c>
      <c r="C351">
        <f>Inputs!$B$3&gt;=43</f>
        <v/>
      </c>
      <c r="D351">
        <f>IF(Skills!C22=1,60+Inputs!$B$26+Inputs!$B$30,IF(Skills!C22=2,90+Inputs!$B$27+Inputs!$B$30,IF(Skills!C22=3,120+Inputs!$B$28+Inputs!$B$30,MAX(0,(Inputs!$B$3-100)*3)+Inputs!$B$29+Inputs!$B$30)))</f>
        <v/>
      </c>
      <c r="E351">
        <f>INDEX(FactorTable!$B$2:$Y$301, MATCH(ROUND(MIN(300,MAX(1,D351)),0), FactorTable!$A$2:$A$301,0), Skills!M22+1)</f>
        <v/>
      </c>
      <c r="F351">
        <f>IF(Skills!N22=TRUE,(Skills!L22/10)*(E351/1000),Skills!L22/10)+Skills!O22</f>
        <v/>
      </c>
      <c r="G351">
        <f>Skills!G22*IF(Skills!H22&gt;0,Skills!I22/Skills!H22,1)</f>
        <v/>
      </c>
      <c r="H351">
        <f>1-(1-Skills!J22/100)^Skills!K22</f>
        <v/>
      </c>
      <c r="I351" t="inlineStr">
        <is>
          <t>1</t>
        </is>
      </c>
      <c r="J351" t="inlineStr"/>
      <c r="K351" t="inlineStr"/>
      <c r="L351" t="inlineStr"/>
      <c r="M351" t="inlineStr"/>
      <c r="N351" t="inlineStr"/>
      <c r="O351">
        <f>(1-Summary!$B$55)*T351+Summary!$B$55*V351</f>
        <v/>
      </c>
      <c r="P351">
        <f>IF(B368=0,0,O351/B368)</f>
        <v/>
      </c>
      <c r="Q351" t="n">
        <v>0</v>
      </c>
      <c r="R351" t="n">
        <v>0</v>
      </c>
      <c r="S351">
        <f>IFERROR(O351/N351,0)</f>
        <v/>
      </c>
      <c r="T351" t="n">
        <v>0</v>
      </c>
      <c r="V351" t="n">
        <v>0</v>
      </c>
    </row>
    <row r="352">
      <c r="A352">
        <f>Skills!A23</f>
        <v/>
      </c>
      <c r="B352">
        <f>Skills!B23</f>
        <v/>
      </c>
      <c r="C352">
        <f>Inputs!$B$3&gt;=120</f>
        <v/>
      </c>
      <c r="D352">
        <f>IF(Skills!C23=1,60+Inputs!$B$26+Inputs!$B$30,IF(Skills!C23=2,90+Inputs!$B$27+Inputs!$B$30,IF(Skills!C23=3,120+Inputs!$B$28+Inputs!$B$30,MAX(0,(Inputs!$B$3-100)*3)+Inputs!$B$29+Inputs!$B$30)))</f>
        <v/>
      </c>
      <c r="E352">
        <f>INDEX(FactorTable!$B$2:$Y$301, MATCH(ROUND(MIN(300,MAX(1,D352)),0), FactorTable!$A$2:$A$301,0), Skills!M23+1)</f>
        <v/>
      </c>
      <c r="F352">
        <f>IF(Skills!N23=TRUE,(Skills!L23/10)*(E352/1000),Skills!L23/10)+Skills!O23</f>
        <v/>
      </c>
      <c r="G352">
        <f>Skills!G23*IF(Skills!H23&gt;0,Skills!I23/Skills!H23,1)</f>
        <v/>
      </c>
      <c r="H352">
        <f>1-(1-Skills!J23/100)^Skills!K23</f>
        <v/>
      </c>
      <c r="I352" t="inlineStr">
        <is>
          <t>1</t>
        </is>
      </c>
      <c r="J352" t="inlineStr"/>
      <c r="K352" t="inlineStr"/>
      <c r="L352" t="inlineStr"/>
      <c r="M352" t="inlineStr"/>
      <c r="N352" t="inlineStr"/>
      <c r="O352">
        <f>(1-Summary!$B$55)*T352+Summary!$B$55*V352</f>
        <v/>
      </c>
      <c r="P352">
        <f>IF(B368=0,0,O352/B368)</f>
        <v/>
      </c>
      <c r="Q352" t="n">
        <v>0</v>
      </c>
      <c r="R352" t="n">
        <v>0</v>
      </c>
      <c r="S352">
        <f>IFERROR(O352/N352,0)</f>
        <v/>
      </c>
      <c r="T352" t="n">
        <v>0</v>
      </c>
      <c r="V352" t="n">
        <v>0</v>
      </c>
    </row>
    <row r="353">
      <c r="A353">
        <f>Skills!A24</f>
        <v/>
      </c>
      <c r="B353">
        <f>Skills!B24</f>
        <v/>
      </c>
      <c r="C353">
        <f>Inputs!$B$3&gt;=120</f>
        <v/>
      </c>
      <c r="D353">
        <f>IF(Skills!C24=1,60+Inputs!$B$26+Inputs!$B$30,IF(Skills!C24=2,90+Inputs!$B$27+Inputs!$B$30,IF(Skills!C24=3,120+Inputs!$B$28+Inputs!$B$30,MAX(0,(Inputs!$B$3-100)*3)+Inputs!$B$29+Inputs!$B$30)))</f>
        <v/>
      </c>
      <c r="E353">
        <f>INDEX(FactorTable!$B$2:$Y$301, MATCH(ROUND(MIN(300,MAX(1,D353)),0), FactorTable!$A$2:$A$301,0), Skills!M24+1)</f>
        <v/>
      </c>
      <c r="F353">
        <f>IF(Skills!N24=TRUE,(Skills!L24/10)*(E353/1000),Skills!L24/10)+Skills!O24</f>
        <v/>
      </c>
      <c r="G353">
        <f>Skills!G24*IF(Skills!H24&gt;0,Skills!I24/Skills!H24,1)</f>
        <v/>
      </c>
      <c r="H353">
        <f>1-(1-Skills!J24/100)^Skills!K24</f>
        <v/>
      </c>
      <c r="I353" t="inlineStr">
        <is>
          <t>1</t>
        </is>
      </c>
      <c r="J353" t="inlineStr"/>
      <c r="K353" t="inlineStr"/>
      <c r="L353" t="inlineStr"/>
      <c r="M353" t="inlineStr"/>
      <c r="N353" t="inlineStr"/>
      <c r="O353">
        <f>(1-Summary!$B$55)*T353+Summary!$B$55*V353</f>
        <v/>
      </c>
      <c r="P353">
        <f>IF(B368=0,0,O353/B368)</f>
        <v/>
      </c>
      <c r="Q353" t="n">
        <v>0</v>
      </c>
      <c r="R353" t="n">
        <v>0</v>
      </c>
      <c r="S353">
        <f>IFERROR(O353/N353,0)</f>
        <v/>
      </c>
      <c r="T353" t="n">
        <v>0</v>
      </c>
      <c r="V353" t="n">
        <v>0</v>
      </c>
    </row>
    <row r="354">
      <c r="A354">
        <f>Skills!A25</f>
        <v/>
      </c>
      <c r="B354">
        <f>Skills!B25</f>
        <v/>
      </c>
      <c r="C354">
        <f>Inputs!$B$3&gt;=125</f>
        <v/>
      </c>
      <c r="D354">
        <f>IF(Skills!C25=1,60+Inputs!$B$26+Inputs!$B$30,IF(Skills!C25=2,90+Inputs!$B$27+Inputs!$B$30,IF(Skills!C25=3,120+Inputs!$B$28+Inputs!$B$30,MAX(0,(Inputs!$B$3-100)*3)+Inputs!$B$29+Inputs!$B$30)))</f>
        <v/>
      </c>
      <c r="E354">
        <f>INDEX(FactorTable!$B$2:$Y$301, MATCH(ROUND(MIN(300,MAX(1,D354)),0), FactorTable!$A$2:$A$301,0), Skills!M25+1)</f>
        <v/>
      </c>
      <c r="F354">
        <f>IF(Skills!N25=TRUE,(Skills!L25/10)*(E354/1000),Skills!L25/10)+Skills!O25</f>
        <v/>
      </c>
      <c r="G354">
        <f>Skills!G25*IF(Skills!H25&gt;0,Skills!I25/Skills!H25,1)</f>
        <v/>
      </c>
      <c r="H354">
        <f>1-(1-Skills!J25/100)^Skills!K25</f>
        <v/>
      </c>
      <c r="I354" t="inlineStr">
        <is>
          <t>1</t>
        </is>
      </c>
      <c r="J354" t="inlineStr"/>
      <c r="K354" t="inlineStr"/>
      <c r="L354" t="inlineStr"/>
      <c r="M354" t="inlineStr"/>
      <c r="N354" t="inlineStr"/>
      <c r="O354">
        <f>(1-Summary!$B$55)*T354+Summary!$B$55*V354</f>
        <v/>
      </c>
      <c r="P354">
        <f>IF(B368=0,0,O354/B368)</f>
        <v/>
      </c>
      <c r="Q354" t="n">
        <v>0</v>
      </c>
      <c r="R354" t="n">
        <v>0</v>
      </c>
      <c r="S354">
        <f>IFERROR(O354/N354,0)</f>
        <v/>
      </c>
      <c r="T354" t="n">
        <v>0</v>
      </c>
      <c r="V354" t="n">
        <v>0</v>
      </c>
    </row>
    <row r="355">
      <c r="A355">
        <f>Skills!A26</f>
        <v/>
      </c>
      <c r="B355">
        <f>Skills!B26</f>
        <v/>
      </c>
      <c r="C355">
        <f>Inputs!$B$3&gt;=107</f>
        <v/>
      </c>
      <c r="D355">
        <f>IF(Skills!C26=1,60+Inputs!$B$26+Inputs!$B$30,IF(Skills!C26=2,90+Inputs!$B$27+Inputs!$B$30,IF(Skills!C26=3,120+Inputs!$B$28+Inputs!$B$30,MAX(0,(Inputs!$B$3-100)*3)+Inputs!$B$29+Inputs!$B$30)))</f>
        <v/>
      </c>
      <c r="E355">
        <f>INDEX(FactorTable!$B$2:$Y$301, MATCH(ROUND(MIN(300,MAX(1,D355)),0), FactorTable!$A$2:$A$301,0), Skills!M26+1)</f>
        <v/>
      </c>
      <c r="F355">
        <f>IF(Skills!N26=TRUE,(Skills!L26/10)*(E355/1000),Skills!L26/10)+Skills!O26</f>
        <v/>
      </c>
      <c r="G355">
        <f>Skills!G26*IF(Skills!H26&gt;0,Skills!I26/Skills!H26,1)</f>
        <v/>
      </c>
      <c r="H355">
        <f>1-(1-Skills!J26/100)^Skills!K26</f>
        <v/>
      </c>
      <c r="I355" t="inlineStr">
        <is>
          <t>1</t>
        </is>
      </c>
      <c r="J355" t="inlineStr"/>
      <c r="K355" t="inlineStr"/>
      <c r="L355" t="inlineStr"/>
      <c r="M355" t="inlineStr"/>
      <c r="N355" t="inlineStr"/>
      <c r="O355">
        <f>(1-Summary!$B$55)*T355+Summary!$B$55*V355</f>
        <v/>
      </c>
      <c r="P355">
        <f>IF(B368=0,0,O355/B368)</f>
        <v/>
      </c>
      <c r="Q355" t="n">
        <v>0</v>
      </c>
      <c r="R355" t="n">
        <v>0</v>
      </c>
      <c r="S355">
        <f>IFERROR(O355/N355,0)</f>
        <v/>
      </c>
      <c r="T355" t="n">
        <v>0</v>
      </c>
      <c r="V355" t="n">
        <v>0</v>
      </c>
    </row>
    <row r="357">
      <c r="A357" t="inlineStr">
        <is>
          <t>Attack% Bucket Multiplier</t>
        </is>
      </c>
      <c r="B357">
        <f>(1+(((C342=TRUE)*F342*IF(AND(Inputs!$B$39&lt;&gt;"pvp",Inputs!$B$44&gt;0),(((R342-1)*(Skills!T13*(1+Inputs!$B$35/100))+MIN((Skills!T13*(1+Inputs!$B$35/100)),MAX(0,Inputs!$B$44-((R342-1)*Skills!D13))))/Inputs!$B$44),IF(Inputs!$B$39="pvp",MIN((Skills!T13*(1+Inputs!$B$35/100)),15)/15,(Skills!T13*(1+Inputs!$B$35/100))/Skills!D13)))+((C343=TRUE)*F343*IF(AND(Inputs!$B$39&lt;&gt;"pvp",Inputs!$B$44&gt;0),(((R343-1)*(Skills!T14*(1+Inputs!$B$35/100))+MIN((Skills!T14*(1+Inputs!$B$35/100)),MAX(0,Inputs!$B$44-((R343-1)*Skills!D14))))/Inputs!$B$44),IF(Inputs!$B$39="pvp",MIN((Skills!T14*(1+Inputs!$B$35/100)),15)/15,(Skills!T14*(1+Inputs!$B$35/100))/Skills!D14)))+((C344=TRUE)*F344*IF(AND(Inputs!$B$39&lt;&gt;"pvp",Inputs!$B$44&gt;0),(((R344-1)*(Skills!T15*(1+Inputs!$B$35/100))+MIN((Skills!T15*(1+Inputs!$B$35/100)),MAX(0,Inputs!$B$44-((R344-1)*Skills!D15))))/Inputs!$B$44),IF(Inputs!$B$39="pvp",MIN((Skills!T15*(1+Inputs!$B$35/100)),15)/15,(Skills!T15*(1+Inputs!$B$35/100))/Skills!D15)))+((C345=TRUE)*F345*IF(AND(Inputs!$B$39&lt;&gt;"pvp",Inputs!$B$44&gt;0),(((R345-1)*(Skills!T16*(1+Inputs!$B$35/100))+MIN((Skills!T16*(1+Inputs!$B$35/100)),MAX(0,Inputs!$B$44-((R345-1)*Skills!D16))))/Inputs!$B$44),IF(Inputs!$B$39="pvp",MIN((Skills!T16*(1+Inputs!$B$35/100)),15)/15,(Skills!T16*(1+Inputs!$B$35/100))/Skills!D16)))+0)/100)</f>
        <v/>
      </c>
    </row>
    <row r="358">
      <c r="A358" t="inlineStr">
        <is>
          <t>Global Crit Rate Bonus % (Lord of Darkness)</t>
        </is>
      </c>
      <c r="B358">
        <f>((C347=TRUE)*F347*(Skills!J18/100)*IF(AND(Inputs!$B$39&lt;&gt;"pvp",Inputs!$B$44&gt;0),(((R347-1)*(Skills!T18*(1+Inputs!$B$35/100))+MIN((Skills!T18*(1+Inputs!$B$35/100)),MAX(0,Inputs!$B$44-((R347-1)*Skills!D18))))/Inputs!$B$44),IF(Inputs!$B$39="pvp",MIN((Skills!T18*(1+Inputs!$B$35/100)),15)/15,(Skills!T18*(1+Inputs!$B$35/100))/Skills!D18)))</f>
        <v/>
      </c>
    </row>
    <row r="359">
      <c r="A359" t="inlineStr">
        <is>
          <t>Attack Speed Buff Bonus %</t>
        </is>
      </c>
      <c r="B359">
        <f>((C349=TRUE)*F349*IF(AND(Inputs!$B$39&lt;&gt;"pvp",Inputs!$B$44&gt;0),(((R349-1)*(Skills!T20*(1+Inputs!$B$35/100))+MIN((Skills!T20*(1+Inputs!$B$35/100)),MAX(0,Inputs!$B$44-((R349-1)*Skills!D20))))/Inputs!$B$44),IF(Inputs!$B$39="pvp",MIN((Skills!T20*(1+Inputs!$B$35/100)),15)/15,(Skills!T20*(1+Inputs!$B$35/100))/Skills!D20)))</f>
        <v/>
      </c>
    </row>
    <row r="360">
      <c r="A360" t="inlineStr">
        <is>
          <t>Actions Per Second</t>
        </is>
      </c>
      <c r="B360">
        <f>1+MIN(150,150*(1-(1-(Inputs!$B$12+((C350=TRUE)*(F350-Calc!F21)))/150)*(1-B359/150)))/100</f>
        <v/>
      </c>
    </row>
    <row r="361">
      <c r="A361" t="inlineStr">
        <is>
          <t>Skill + Buff Cast Rate</t>
        </is>
      </c>
      <c r="B361">
        <f>IF(AND(Inputs!$B$39&lt;&gt;"pvp",Inputs!$B$44&gt;0),SUMPRODUCT((Skills!E2:E26=TRUE)*(C331:C355=TRUE)*R331:R355*Skills!F2:F26)/Inputs!$B$44,SUMPRODUCT((Skills!E2:E26=TRUE)*(C331:C355=TRUE)*Q331:Q355*Skills!F2:F26))</f>
        <v/>
      </c>
    </row>
    <row r="362">
      <c r="A362" t="inlineStr">
        <is>
          <t>Dark Impale Casts Per Second</t>
        </is>
      </c>
      <c r="B362">
        <f>MAX(0,B360-B361)</f>
        <v/>
      </c>
    </row>
    <row r="363">
      <c r="A363" t="inlineStr">
        <is>
          <t>Global Critical Damage Bonus % (Lord of Darkness)</t>
        </is>
      </c>
      <c r="B363">
        <f>((C348=TRUE)*F348*(Skills!J19/100)*IF(AND(Inputs!$B$39&lt;&gt;"pvp",Inputs!$B$44&gt;0),(((R348-1)*(Skills!T19*(1+Inputs!$B$35/100))+MIN((Skills!T19*(1+Inputs!$B$35/100)),MAX(0,Inputs!$B$44-((R348-1)*Skills!D19))))/Inputs!$B$44),IF(Inputs!$B$39="pvp",MIN((Skills!T19*(1+Inputs!$B$35/100)),15)/15,(Skills!T19*(1+Inputs!$B$35/100))/Skills!D19)))</f>
        <v/>
      </c>
    </row>
    <row r="364">
      <c r="A364" t="inlineStr">
        <is>
          <t>Global Final Damage Bonus % (unused)</t>
        </is>
      </c>
      <c r="B364" t="n">
        <v>0</v>
      </c>
    </row>
    <row r="365">
      <c r="A365" t="inlineStr">
        <is>
          <t>Buff-Casting Startup Delay (s, fixed-duration only)</t>
        </is>
      </c>
      <c r="B365">
        <f>IF(AND(Inputs!$B$39&lt;&gt;"pvp",Inputs!$B$44&gt;0),SUMPRODUCT((Skills!T2:T26&gt;0)*(Skills!E2:E26=TRUE)*(C331:C355=TRUE))/B360,0)</f>
        <v/>
      </c>
    </row>
    <row r="366">
      <c r="A366" t="inlineStr">
        <is>
          <t>Boss-Only Total DPS (this block's swept value)</t>
        </is>
      </c>
      <c r="B366">
        <f>SUM(T331:T355)</f>
        <v/>
      </c>
    </row>
    <row r="367">
      <c r="A367" t="inlineStr">
        <is>
          <t>Normal-Only Total DPS (this block's swept value)</t>
        </is>
      </c>
      <c r="B367">
        <f>SUM(V331:V355)</f>
        <v/>
      </c>
    </row>
    <row r="368">
      <c r="A368" s="5" t="inlineStr">
        <is>
          <t>TOTAL DPS</t>
        </is>
      </c>
      <c r="B368" s="5">
        <f>SUM(O331:O355)</f>
        <v/>
      </c>
    </row>
    <row r="371">
      <c r="A371" s="5" t="inlineStr">
        <is>
          <t>Stat: NORMAL_DAMAGE %</t>
        </is>
      </c>
    </row>
    <row r="372">
      <c r="A372" s="9" t="inlineStr">
        <is>
          <t>Key</t>
        </is>
      </c>
      <c r="B372" s="9" t="inlineStr">
        <is>
          <t>Name</t>
        </is>
      </c>
      <c r="C372" s="9" t="inlineStr">
        <is>
          <t>Unlocked</t>
        </is>
      </c>
      <c r="D372" s="9" t="inlineStr">
        <is>
          <t>InputLevel</t>
        </is>
      </c>
      <c r="E372" s="9" t="inlineStr">
        <is>
          <t>Factor</t>
        </is>
      </c>
      <c r="F372" s="9" t="inlineStr">
        <is>
          <t>CoefficientPercent</t>
        </is>
      </c>
      <c r="G372" s="9" t="inlineStr">
        <is>
          <t>EffectiveHits</t>
        </is>
      </c>
      <c r="H372" s="9" t="inlineStr">
        <is>
          <t>ProcProbability</t>
        </is>
      </c>
      <c r="I372" s="9" t="inlineStr">
        <is>
          <t>MapleHeroMultiplier</t>
        </is>
      </c>
      <c r="J372" s="9" t="inlineStr">
        <is>
          <t>BaseDamage</t>
        </is>
      </c>
      <c r="K372" s="9" t="inlineStr">
        <is>
          <t>BaseHitDamage</t>
        </is>
      </c>
      <c r="L372" s="9" t="inlineStr">
        <is>
          <t>NonCritAvg</t>
        </is>
      </c>
      <c r="M372" s="9" t="inlineStr">
        <is>
          <t>CritAvg</t>
        </is>
      </c>
      <c r="N372" s="9" t="inlineStr">
        <is>
          <t>ExpectedDamage(perHit)</t>
        </is>
      </c>
      <c r="O372" s="9" t="inlineStr">
        <is>
          <t>DPS</t>
        </is>
      </c>
      <c r="P372" s="9" t="inlineStr">
        <is>
          <t>% of Total</t>
        </is>
      </c>
      <c r="Q372" s="9" t="inlineStr">
        <is>
          <t>InvCooldown</t>
        </is>
      </c>
      <c r="R372" s="9" t="inlineStr">
        <is>
          <t>CastsInFight</t>
        </is>
      </c>
      <c r="S372" s="9" t="inlineStr">
        <is>
          <t>HitRate(perSec)</t>
        </is>
      </c>
      <c r="U372" t="inlineStr">
        <is>
          <t>helpers</t>
        </is>
      </c>
    </row>
    <row r="373">
      <c r="A373">
        <f>Skills!A2</f>
        <v/>
      </c>
      <c r="B373">
        <f>Skills!B2</f>
        <v/>
      </c>
      <c r="C373">
        <f>Inputs!$B$3&gt;=100</f>
        <v/>
      </c>
      <c r="D373" t="inlineStr"/>
      <c r="E373" t="inlineStr"/>
      <c r="F373">
        <f>U375+Skills!O2</f>
        <v/>
      </c>
      <c r="G373">
        <f>Skills!G2*IF(Skills!H2&gt;0,Skills!I2/Skills!H2,1)</f>
        <v/>
      </c>
      <c r="H373">
        <f>1-(1-Skills!J2/100)^Skills!K2</f>
        <v/>
      </c>
      <c r="I373" t="inlineStr">
        <is>
          <t>1</t>
        </is>
      </c>
      <c r="J373">
        <f>((Inputs!$B$6*(1+Inputs!$B$7/100))+(((Inputs!$B$13*(1+Inputs!$B$14/100))-(Inputs!$B$13*(1+Inputs!$B$14/100)))+0.25*(Inputs!$B$15-Inputs!$B$15))*(1+Inputs!$B$7/100))*(F373/100)</f>
        <v/>
      </c>
      <c r="K373">
        <f>J373*(1+(((Inputs!$B$13+IF(Inputs!$B$3&gt;=38,(10*INDEX(FactorTable!$B$2:$Y$301, MATCH(ROUND(MIN(300,MAX(1,Inputs!$B$3)),0), FactorTable!$A$2:$A$301,0), 23)/1000)/100*(Inputs!$B$8*(1+Inputs!$B$9/100)),0))*(1+Inputs!$B$14/100))*0.01+Inputs!$B$15*0.0025)/100)*(1+Inputs!$B$16/100)*(1+Inputs!$B$17/100)*(5000/(6000+Inputs!$B$43*(1-(Inputs!$B$20+0)/100)))*(1+(Inputs!$B$25+((C396=TRUE)*(F396-Calc!F25))+((C397=TRUE)*(F397-Calc!F26))+B406)/100)*(1+(IF(Skills!A2="DARK_IMPALE",Inputs!$B$18+0,Inputs!$B$19+((C394=TRUE)*(F394-Calc!F23))))/100)*((1+(((C384=TRUE)*F384*IF(AND(Inputs!$B$39&lt;&gt;"pvp",Inputs!$B$44&gt;0),(((R384-1)*(Skills!T13*(1+Inputs!$B$35/100))+MIN((Skills!T13*(1+Inputs!$B$35/100)),MAX(0,Inputs!$B$44-((R384-1)*Skills!D13))))/Inputs!$B$44),IF(Inputs!$B$39="pvp",MIN((Skills!T13*(1+Inputs!$B$35/100)),15)/15,(Skills!T13*(1+Inputs!$B$35/100))/Skills!D13)))+((C385=TRUE)*F385*IF(AND(Inputs!$B$39&lt;&gt;"pvp",Inputs!$B$44&gt;0),(((R385-1)*(Skills!T14*(1+Inputs!$B$35/100))+MIN((Skills!T14*(1+Inputs!$B$35/100)),MAX(0,Inputs!$B$44-((R385-1)*Skills!D14))))/Inputs!$B$44),IF(Inputs!$B$39="pvp",MIN((Skills!T14*(1+Inputs!$B$35/100)),15)/15,(Skills!T14*(1+Inputs!$B$35/100))/Skills!D14)))+((C386=TRUE)*F386*IF(AND(Inputs!$B$39&lt;&gt;"pvp",Inputs!$B$44&gt;0),(((R386-1)*(Skills!T15*(1+Inputs!$B$35/100))+MIN((Skills!T15*(1+Inputs!$B$35/100)),MAX(0,Inputs!$B$44-((R386-1)*Skills!D15))))/Inputs!$B$44),IF(Inputs!$B$39="pvp",MIN((Skills!T15*(1+Inputs!$B$35/100)),15)/15,(Skills!T15*(1+Inputs!$B$35/100))/Skills!D15)))+((C387=TRUE)*F387*IF(AND(Inputs!$B$39&lt;&gt;"pvp",Inputs!$B$44&gt;0),(((R387-1)*(Skills!T16*(1+Inputs!$B$35/100))+MIN((Skills!T16*(1+Inputs!$B$35/100)),MAX(0,Inputs!$B$44-((R387-1)*Skills!D16))))/Inputs!$B$44),IF(Inputs!$B$39="pvp",MIN((Skills!T16*(1+Inputs!$B$35/100)),15)/15,(Skills!T16*(1+Inputs!$B$35/100))/Skills!D16)))+0)/100)*I373)</f>
        <v/>
      </c>
      <c r="L373">
        <f>K373*(MIN(Inputs!$B$23+((C393=TRUE)*(F393-Calc!F22)),Inputs!$B$24+((C395=TRUE)*(F395-Calc!F24)))/100+(Inputs!$B$24+((C395=TRUE)*(F395-Calc!F24)))/100)/2</f>
        <v/>
      </c>
      <c r="M373">
        <f>L373*(1+(Inputs!$B$11+0+B405)/100)</f>
        <v/>
      </c>
      <c r="N373">
        <f>L373*(1-MIN((Inputs!$B$10+0+B400),100)/100)+M373*(MIN((Inputs!$B$10+0+B400),100)/100)</f>
        <v/>
      </c>
      <c r="O373">
        <f>(1-Summary!$B$55)*T373+Summary!$B$55*V373</f>
        <v/>
      </c>
      <c r="P373">
        <f>IF(B410=0,0,O373/B410)</f>
        <v/>
      </c>
      <c r="Q373" t="n">
        <v>0</v>
      </c>
      <c r="R373" t="n">
        <v>0</v>
      </c>
      <c r="S373">
        <f>IFERROR(O373/N373,0)</f>
        <v/>
      </c>
      <c r="T373">
        <f>IF(C373,(Skills!G2*N373*B404)*IF(Inputs!$B$39="pvp",1,1+(Inputs!$B$21+0+Skills!P2+((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0)</f>
        <v/>
      </c>
      <c r="U373">
        <f>MAX(0,(Inputs!$B$3-100)*3)+Inputs!$B$29+Inputs!$B$30</f>
        <v/>
      </c>
      <c r="V373">
        <f>IF(C373,(Skills!G2*N373*B404)*IF(Inputs!$B$39="pvp",1,(1+((Inputs!$B$22+1)+Skills!Q2+((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MIN((6+Inputs!$B$34),Inputs!$B$38))),0)</f>
        <v/>
      </c>
    </row>
    <row r="374">
      <c r="A374">
        <f>Skills!A3</f>
        <v/>
      </c>
      <c r="B374">
        <f>Skills!B3</f>
        <v/>
      </c>
      <c r="C374">
        <f>Inputs!$B$3&gt;=50</f>
        <v/>
      </c>
      <c r="D374">
        <f>IF(Skills!C3=1,60+Inputs!$B$26+Inputs!$B$30,IF(Skills!C3=2,90+Inputs!$B$27+Inputs!$B$30,IF(Skills!C3=3,120+Inputs!$B$28+Inputs!$B$30,MAX(0,(Inputs!$B$3-100)*3)+Inputs!$B$29+Inputs!$B$30)))</f>
        <v/>
      </c>
      <c r="E374">
        <f>INDEX(FactorTable!$B$2:$Y$301, MATCH(ROUND(MIN(300,MAX(1,D374)),0), FactorTable!$A$2:$A$301,0), Skills!M3+1)</f>
        <v/>
      </c>
      <c r="F374">
        <f>IF(Skills!N3=TRUE,(Skills!L3/10)*(E374/1000),Skills!L3/10)+Skills!O3</f>
        <v/>
      </c>
      <c r="G374" t="inlineStr"/>
      <c r="H374" t="inlineStr"/>
      <c r="I374" t="inlineStr">
        <is>
          <t>1</t>
        </is>
      </c>
      <c r="J374" t="inlineStr"/>
      <c r="K374" t="inlineStr"/>
      <c r="L374" t="inlineStr"/>
      <c r="M374" t="inlineStr"/>
      <c r="N374" t="inlineStr"/>
      <c r="O374" t="inlineStr"/>
      <c r="P374" t="inlineStr"/>
      <c r="Q374" t="inlineStr"/>
      <c r="R374" t="inlineStr"/>
      <c r="S374" t="inlineStr"/>
      <c r="U374">
        <f>INDEX(FactorTable!$B$2:$Y$301, MATCH(ROUND(MIN(300,MAX(1,U373)),0), FactorTable!$A$2:$A$301,0), 22)</f>
        <v/>
      </c>
    </row>
    <row r="375">
      <c r="A375">
        <f>Skills!A4</f>
        <v/>
      </c>
      <c r="B375">
        <f>Skills!B4</f>
        <v/>
      </c>
      <c r="C375">
        <f>Inputs!$B$3&gt;=105</f>
        <v/>
      </c>
      <c r="D375">
        <f>IF(Skills!C4=1,60+Inputs!$B$26+Inputs!$B$30,IF(Skills!C4=2,90+Inputs!$B$27+Inputs!$B$30,IF(Skills!C4=3,120+Inputs!$B$28+Inputs!$B$30,MAX(0,(Inputs!$B$3-100)*3)+Inputs!$B$29+Inputs!$B$30)))</f>
        <v/>
      </c>
      <c r="E375">
        <f>INDEX(FactorTable!$B$2:$Y$301, MATCH(ROUND(MIN(300,MAX(1,D375)),0), FactorTable!$A$2:$A$301,0), Skills!M4+1)</f>
        <v/>
      </c>
      <c r="F375">
        <f>IF(Skills!N4=TRUE,(Skills!L4/10)*(E375/1000),Skills!L4/10)+Skills!O4</f>
        <v/>
      </c>
      <c r="G375" t="inlineStr"/>
      <c r="H375" t="inlineStr"/>
      <c r="I375" t="inlineStr">
        <is>
          <t>1</t>
        </is>
      </c>
      <c r="J375" t="inlineStr"/>
      <c r="K375" t="inlineStr"/>
      <c r="L375" t="inlineStr"/>
      <c r="M375" t="inlineStr"/>
      <c r="N375" t="inlineStr"/>
      <c r="O375" t="inlineStr"/>
      <c r="P375" t="inlineStr"/>
      <c r="Q375" t="inlineStr"/>
      <c r="R375" t="inlineStr"/>
      <c r="S375" t="inlineStr"/>
      <c r="U375">
        <f>290*U374/1000</f>
        <v/>
      </c>
    </row>
    <row r="376">
      <c r="A376">
        <f>Skills!A5</f>
        <v/>
      </c>
      <c r="B376">
        <f>Skills!B5</f>
        <v/>
      </c>
      <c r="C376">
        <f>Inputs!$B$3&gt;=117</f>
        <v/>
      </c>
      <c r="D376">
        <f>IF(Skills!C5=1,60+Inputs!$B$26+Inputs!$B$30,IF(Skills!C5=2,90+Inputs!$B$27+Inputs!$B$30,IF(Skills!C5=3,120+Inputs!$B$28+Inputs!$B$30,MAX(0,(Inputs!$B$3-100)*3)+Inputs!$B$29+Inputs!$B$30)))</f>
        <v/>
      </c>
      <c r="E376">
        <f>INDEX(FactorTable!$B$2:$Y$301, MATCH(ROUND(MIN(300,MAX(1,D376)),0), FactorTable!$A$2:$A$301,0), Skills!M5+1)</f>
        <v/>
      </c>
      <c r="F376">
        <f>IF(Skills!N5=TRUE,(Skills!L5/10)*(E376/1000),Skills!L5/10)+Skills!O5</f>
        <v/>
      </c>
      <c r="G376">
        <f>Skills!G5*IF(Skills!H5&gt;0,Skills!I5/Skills!H5,1)</f>
        <v/>
      </c>
      <c r="H376">
        <f>1-(1-Skills!J5/100)^Skills!K5</f>
        <v/>
      </c>
      <c r="I376" t="inlineStr">
        <is>
          <t>1</t>
        </is>
      </c>
      <c r="J376">
        <f>((Inputs!$B$6*(1+Inputs!$B$7/100))+(((Inputs!$B$13*(1+Inputs!$B$14/100))-(Inputs!$B$13*(1+Inputs!$B$14/100)))+0.25*(Inputs!$B$15-Inputs!$B$15))*(1+Inputs!$B$7/100))*(F376/100)</f>
        <v/>
      </c>
      <c r="K376">
        <f>J376*(1+(((Inputs!$B$13+IF(Inputs!$B$3&gt;=38,(10*INDEX(FactorTable!$B$2:$Y$301, MATCH(ROUND(MIN(300,MAX(1,Inputs!$B$3)),0), FactorTable!$A$2:$A$301,0), 23)/1000)/100*(Inputs!$B$8*(1+Inputs!$B$9/100)),0))*(1+Inputs!$B$14/100))*0.01+Inputs!$B$15*0.0025)/100)*(1+Inputs!$B$16/100)*(1+Inputs!$B$17/100)*(5000/(6000+Inputs!$B$43*(1-(Inputs!$B$20+0)/100)))*(1+(Inputs!$B$25+((C396=TRUE)*(F396-Calc!F25))+((C397=TRUE)*(F397-Calc!F26))+B406)/100)*(1+(IF(Skills!A5="DARK_IMPALE",Inputs!$B$18+0,Inputs!$B$19+((C394=TRUE)*(F394-Calc!F23))))/100)*((1+(((C384=TRUE)*F384*IF(AND(Inputs!$B$39&lt;&gt;"pvp",Inputs!$B$44&gt;0),(((R384-1)*(Skills!T13*(1+Inputs!$B$35/100))+MIN((Skills!T13*(1+Inputs!$B$35/100)),MAX(0,Inputs!$B$44-((R384-1)*Skills!D13))))/Inputs!$B$44),IF(Inputs!$B$39="pvp",MIN((Skills!T13*(1+Inputs!$B$35/100)),15)/15,(Skills!T13*(1+Inputs!$B$35/100))/Skills!D13)))+((C385=TRUE)*F385*IF(AND(Inputs!$B$39&lt;&gt;"pvp",Inputs!$B$44&gt;0),(((R385-1)*(Skills!T14*(1+Inputs!$B$35/100))+MIN((Skills!T14*(1+Inputs!$B$35/100)),MAX(0,Inputs!$B$44-((R385-1)*Skills!D14))))/Inputs!$B$44),IF(Inputs!$B$39="pvp",MIN((Skills!T14*(1+Inputs!$B$35/100)),15)/15,(Skills!T14*(1+Inputs!$B$35/100))/Skills!D14)))+((C386=TRUE)*F386*IF(AND(Inputs!$B$39&lt;&gt;"pvp",Inputs!$B$44&gt;0),(((R386-1)*(Skills!T15*(1+Inputs!$B$35/100))+MIN((Skills!T15*(1+Inputs!$B$35/100)),MAX(0,Inputs!$B$44-((R386-1)*Skills!D15))))/Inputs!$B$44),IF(Inputs!$B$39="pvp",MIN((Skills!T15*(1+Inputs!$B$35/100)),15)/15,(Skills!T15*(1+Inputs!$B$35/100))/Skills!D15)))+((C387=TRUE)*F387*IF(AND(Inputs!$B$39&lt;&gt;"pvp",Inputs!$B$44&gt;0),(((R387-1)*(Skills!T16*(1+Inputs!$B$35/100))+MIN((Skills!T16*(1+Inputs!$B$35/100)),MAX(0,Inputs!$B$44-((R387-1)*Skills!D16))))/Inputs!$B$44),IF(Inputs!$B$39="pvp",MIN((Skills!T16*(1+Inputs!$B$35/100)),15)/15,(Skills!T16*(1+Inputs!$B$35/100))/Skills!D16)))+0)/100)*I376)</f>
        <v/>
      </c>
      <c r="L376">
        <f>K376*(MIN(Inputs!$B$23+((C393=TRUE)*(F393-Calc!F22)),Inputs!$B$24+((C395=TRUE)*(F395-Calc!F24)))/100+(Inputs!$B$24+((C395=TRUE)*(F395-Calc!F24)))/100)/2</f>
        <v/>
      </c>
      <c r="M376">
        <f>L376*(1+(Inputs!$B$11+0+B405)/100)</f>
        <v/>
      </c>
      <c r="N376">
        <f>L376*(1-MIN((Inputs!$B$10+0+B400),100)/100)+M376*(MIN((Inputs!$B$10+0+B400),100)/100)</f>
        <v/>
      </c>
      <c r="O376">
        <f>(1-Summary!$B$55)*T376+Summary!$B$55*V376</f>
        <v/>
      </c>
      <c r="P376">
        <f>IF(B410=0,0,O376/B410)</f>
        <v/>
      </c>
      <c r="Q376">
        <f>IFERROR(1/IF(Inputs!$B$39="pvp",15,MAX(0.1,Skills!D5-IF(Skills!E5=TRUE,Inputs!$B$33,0))),0)</f>
        <v/>
      </c>
      <c r="R376">
        <f>IF(AND(Inputs!$B$39&lt;&gt;"pvp",Inputs!$B$44&gt;0),IF(MAX(0,Inputs!$B$44-B407)&lt;=0,0,(INT(MAX(0,Inputs!$B$44-B407)/IF(Inputs!$B$39="pvp",15,MAX(0.1,Skills!D5-IF(Skills!E5=TRUE,Inputs!$B$33,0))))+1)),0)</f>
        <v/>
      </c>
      <c r="S376">
        <f>IFERROR(O376/N376,0)</f>
        <v/>
      </c>
      <c r="T376">
        <f>IF(C376,(H376*N376*IF(AND(Inputs!$B$39&lt;&gt;"pvp",Inputs!$B$44&gt;0),((Skills!G5*((R376-1)*IF(Skills!H5&gt;0,Skills!I5/Skills!H5,1)+IF(Skills!H5&gt;0,MIN(Skills!I5,MAX(0,MAX(0,Inputs!$B$44-B407)-((R376-1)*IF(Inputs!$B$39="pvp",15,MAX(0.1,Skills!D5-IF(Skills!E5=TRUE,Inputs!$B$33,0))))))/Skills!H5,1)))/Inputs!$B$44),G376*Q376))*IF(Inputs!$B$39="pvp",1,1+(Inputs!$B$21+0+Skills!P5+((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0)</f>
        <v/>
      </c>
      <c r="V376">
        <f>IF(C376,(H376*N376*IF(AND(Inputs!$B$39&lt;&gt;"pvp",Inputs!$B$44&gt;0),((Skills!G5*((R376-1)*IF(Skills!H5&gt;0,Skills!I5/Skills!H5,1)+IF(Skills!H5&gt;0,MIN(Skills!I5,MAX(0,MAX(0,Inputs!$B$44-B407)-((R376-1)*IF(Inputs!$B$39="pvp",15,MAX(0.1,Skills!D5-IF(Skills!E5=TRUE,Inputs!$B$33,0))))))/Skills!H5,1)))/Inputs!$B$44),G376*Q376))*IF(Inputs!$B$39="pvp",1,(1+((Inputs!$B$22+1)+Skills!Q5+((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MIN(Skills!R5,Inputs!$B$38))),0)</f>
        <v/>
      </c>
    </row>
    <row r="377">
      <c r="A377">
        <f>Skills!A6</f>
        <v/>
      </c>
      <c r="B377">
        <f>Skills!B6</f>
        <v/>
      </c>
      <c r="C377">
        <f>Inputs!$B$3&gt;=103</f>
        <v/>
      </c>
      <c r="D377">
        <f>IF(Skills!C6=1,60+Inputs!$B$26+Inputs!$B$30,IF(Skills!C6=2,90+Inputs!$B$27+Inputs!$B$30,IF(Skills!C6=3,120+Inputs!$B$28+Inputs!$B$30,MAX(0,(Inputs!$B$3-100)*3)+Inputs!$B$29+Inputs!$B$30)))</f>
        <v/>
      </c>
      <c r="E377">
        <f>INDEX(FactorTable!$B$2:$Y$301, MATCH(ROUND(MIN(300,MAX(1,D377)),0), FactorTable!$A$2:$A$301,0), Skills!M6+1)</f>
        <v/>
      </c>
      <c r="F377">
        <f>IF(Skills!N6=TRUE,(Skills!L6/10)*(E377/1000),Skills!L6/10)+Skills!O6</f>
        <v/>
      </c>
      <c r="G377">
        <f>Skills!G6*IF(Skills!H6&gt;0,Skills!I6/Skills!H6,1)</f>
        <v/>
      </c>
      <c r="H377">
        <f>1-(1-Skills!J6/100)^Skills!K6</f>
        <v/>
      </c>
      <c r="I377" t="inlineStr">
        <is>
          <t>1</t>
        </is>
      </c>
      <c r="J377">
        <f>((Inputs!$B$6*(1+Inputs!$B$7/100))+(((Inputs!$B$13*(1+Inputs!$B$14/100))-(Inputs!$B$13*(1+Inputs!$B$14/100)))+0.25*(Inputs!$B$15-Inputs!$B$15))*(1+Inputs!$B$7/100))*(F377/100)</f>
        <v/>
      </c>
      <c r="K377">
        <f>J377*(1+(((Inputs!$B$13+IF(Inputs!$B$3&gt;=38,(10*INDEX(FactorTable!$B$2:$Y$301, MATCH(ROUND(MIN(300,MAX(1,Inputs!$B$3)),0), FactorTable!$A$2:$A$301,0), 23)/1000)/100*(Inputs!$B$8*(1+Inputs!$B$9/100)),0))*(1+Inputs!$B$14/100))*0.01+Inputs!$B$15*0.0025)/100)*(1+Inputs!$B$16/100)*(1+Inputs!$B$17/100)*(5000/(6000+Inputs!$B$43*(1-(Inputs!$B$20+0)/100)))*(1+(Inputs!$B$25+((C396=TRUE)*(F396-Calc!F25))+((C397=TRUE)*(F397-Calc!F26))+B406)/100)*(1+(IF(Skills!A6="DARK_IMPALE",Inputs!$B$18+0,Inputs!$B$19+((C394=TRUE)*(F394-Calc!F23))))/100)*((1+(((C384=TRUE)*F384*IF(AND(Inputs!$B$39&lt;&gt;"pvp",Inputs!$B$44&gt;0),(((R384-1)*(Skills!T13*(1+Inputs!$B$35/100))+MIN((Skills!T13*(1+Inputs!$B$35/100)),MAX(0,Inputs!$B$44-((R384-1)*Skills!D13))))/Inputs!$B$44),IF(Inputs!$B$39="pvp",MIN((Skills!T13*(1+Inputs!$B$35/100)),15)/15,(Skills!T13*(1+Inputs!$B$35/100))/Skills!D13)))+((C385=TRUE)*F385*IF(AND(Inputs!$B$39&lt;&gt;"pvp",Inputs!$B$44&gt;0),(((R385-1)*(Skills!T14*(1+Inputs!$B$35/100))+MIN((Skills!T14*(1+Inputs!$B$35/100)),MAX(0,Inputs!$B$44-((R385-1)*Skills!D14))))/Inputs!$B$44),IF(Inputs!$B$39="pvp",MIN((Skills!T14*(1+Inputs!$B$35/100)),15)/15,(Skills!T14*(1+Inputs!$B$35/100))/Skills!D14)))+((C386=TRUE)*F386*IF(AND(Inputs!$B$39&lt;&gt;"pvp",Inputs!$B$44&gt;0),(((R386-1)*(Skills!T15*(1+Inputs!$B$35/100))+MIN((Skills!T15*(1+Inputs!$B$35/100)),MAX(0,Inputs!$B$44-((R386-1)*Skills!D15))))/Inputs!$B$44),IF(Inputs!$B$39="pvp",MIN((Skills!T15*(1+Inputs!$B$35/100)),15)/15,(Skills!T15*(1+Inputs!$B$35/100))/Skills!D15)))+((C387=TRUE)*F387*IF(AND(Inputs!$B$39&lt;&gt;"pvp",Inputs!$B$44&gt;0),(((R387-1)*(Skills!T16*(1+Inputs!$B$35/100))+MIN((Skills!T16*(1+Inputs!$B$35/100)),MAX(0,Inputs!$B$44-((R387-1)*Skills!D16))))/Inputs!$B$44),IF(Inputs!$B$39="pvp",MIN((Skills!T16*(1+Inputs!$B$35/100)),15)/15,(Skills!T16*(1+Inputs!$B$35/100))/Skills!D16)))+0)/100)*I377)</f>
        <v/>
      </c>
      <c r="L377">
        <f>K377*(MIN(Inputs!$B$23+((C393=TRUE)*(F393-Calc!F22)),Inputs!$B$24+((C395=TRUE)*(F395-Calc!F24)))/100+(Inputs!$B$24+((C395=TRUE)*(F395-Calc!F24)))/100)/2</f>
        <v/>
      </c>
      <c r="M377">
        <f>L377*(1+(Inputs!$B$11+0+B405)/100)</f>
        <v/>
      </c>
      <c r="N377">
        <f>L377*(1-MIN((Inputs!$B$10+0+B400),100)/100)+M377*(MIN((Inputs!$B$10+0+B400),100)/100)</f>
        <v/>
      </c>
      <c r="O377">
        <f>(1-Summary!$B$55)*T377+Summary!$B$55*V377</f>
        <v/>
      </c>
      <c r="P377">
        <f>IF(B410=0,0,O377/B410)</f>
        <v/>
      </c>
      <c r="Q377">
        <f>IFERROR(1/IF(Inputs!$B$39="pvp",15,MAX(0.1,Skills!D6-IF(Skills!E6=TRUE,Inputs!$B$33,0))),0)</f>
        <v/>
      </c>
      <c r="R377">
        <f>IF(AND(Inputs!$B$39&lt;&gt;"pvp",Inputs!$B$44&gt;0),IF(MAX(0,Inputs!$B$44-B407)&lt;=0,0,(INT(MAX(0,Inputs!$B$44-B407)/IF(Inputs!$B$39="pvp",15,MAX(0.1,Skills!D6-IF(Skills!E6=TRUE,Inputs!$B$33,0))))+1)),0)</f>
        <v/>
      </c>
      <c r="S377">
        <f>IFERROR(O377/N377,0)</f>
        <v/>
      </c>
      <c r="T377">
        <f>IF(C377,(H377*N377*IF(AND(Inputs!$B$39&lt;&gt;"pvp",Inputs!$B$44&gt;0),((Skills!G6*((R377-1)*IF(Skills!H6&gt;0,Skills!I6/Skills!H6,1)+IF(Skills!H6&gt;0,MIN(Skills!I6,MAX(0,MAX(0,Inputs!$B$44-B407)-((R377-1)*IF(Inputs!$B$39="pvp",15,MAX(0.1,Skills!D6-IF(Skills!E6=TRUE,Inputs!$B$33,0))))))/Skills!H6,1)))/Inputs!$B$44),G377*Q377))*IF(Inputs!$B$39="pvp",1,1+(Inputs!$B$21+0+Skills!P6+((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0)</f>
        <v/>
      </c>
      <c r="V377">
        <f>IF(C377,(H377*N377*IF(AND(Inputs!$B$39&lt;&gt;"pvp",Inputs!$B$44&gt;0),((Skills!G6*((R377-1)*IF(Skills!H6&gt;0,Skills!I6/Skills!H6,1)+IF(Skills!H6&gt;0,MIN(Skills!I6,MAX(0,MAX(0,Inputs!$B$44-B407)-((R377-1)*IF(Inputs!$B$39="pvp",15,MAX(0.1,Skills!D6-IF(Skills!E6=TRUE,Inputs!$B$33,0))))))/Skills!H6,1)))/Inputs!$B$44),G377*Q377))*IF(Inputs!$B$39="pvp",1,(1+((Inputs!$B$22+1)+Skills!Q6+((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MIN(Skills!R6,Inputs!$B$38))),0)</f>
        <v/>
      </c>
    </row>
    <row r="378">
      <c r="A378">
        <f>Skills!A7</f>
        <v/>
      </c>
      <c r="B378">
        <f>Skills!B7</f>
        <v/>
      </c>
      <c r="C378">
        <f>Inputs!$B$3&gt;=40</f>
        <v/>
      </c>
      <c r="D378">
        <f>IF(Skills!C7=1,60+Inputs!$B$26+Inputs!$B$30,IF(Skills!C7=2,90+Inputs!$B$27+Inputs!$B$30,IF(Skills!C7=3,120+Inputs!$B$28+Inputs!$B$30,MAX(0,(Inputs!$B$3-100)*3)+Inputs!$B$29+Inputs!$B$30)))</f>
        <v/>
      </c>
      <c r="E378">
        <f>INDEX(FactorTable!$B$2:$Y$301, MATCH(ROUND(MIN(300,MAX(1,D378)),0), FactorTable!$A$2:$A$301,0), Skills!M7+1)</f>
        <v/>
      </c>
      <c r="F378">
        <f>IF(Skills!N7=TRUE,(Skills!L7/10)*(E378/1000),Skills!L7/10)+Skills!O7</f>
        <v/>
      </c>
      <c r="G378">
        <f>Skills!G7*IF(Skills!H7&gt;0,Skills!I7/Skills!H7,1)</f>
        <v/>
      </c>
      <c r="H378">
        <f>1-(1-Skills!J7/100)^Skills!K7</f>
        <v/>
      </c>
      <c r="I378" t="inlineStr">
        <is>
          <t>1</t>
        </is>
      </c>
      <c r="J378">
        <f>((Inputs!$B$6*(1+Inputs!$B$7/100))+(((Inputs!$B$13*(1+Inputs!$B$14/100))-(Inputs!$B$13*(1+Inputs!$B$14/100)))+0.25*(Inputs!$B$15-Inputs!$B$15))*(1+Inputs!$B$7/100))*(F378/100)</f>
        <v/>
      </c>
      <c r="K378">
        <f>J378*(1+(((Inputs!$B$13+IF(Inputs!$B$3&gt;=38,(10*INDEX(FactorTable!$B$2:$Y$301, MATCH(ROUND(MIN(300,MAX(1,Inputs!$B$3)),0), FactorTable!$A$2:$A$301,0), 23)/1000)/100*(Inputs!$B$8*(1+Inputs!$B$9/100)),0))*(1+Inputs!$B$14/100))*0.01+Inputs!$B$15*0.0025)/100)*(1+Inputs!$B$16/100)*(1+Inputs!$B$17/100)*(5000/(6000+Inputs!$B$43*(1-(Inputs!$B$20+0)/100)))*(1+(Inputs!$B$25+((C396=TRUE)*(F396-Calc!F25))+((C397=TRUE)*(F397-Calc!F26))+B406)/100)*(1+0.75*IF(C382=TRUE,F382,0)/100)*(1+(IF(Skills!A7="DARK_IMPALE",Inputs!$B$18+0,Inputs!$B$19+((C394=TRUE)*(F394-Calc!F23))))/100)*((1+(((C384=TRUE)*F384*IF(AND(Inputs!$B$39&lt;&gt;"pvp",Inputs!$B$44&gt;0),(((R384-1)*(Skills!T13*(1+Inputs!$B$35/100))+MIN((Skills!T13*(1+Inputs!$B$35/100)),MAX(0,Inputs!$B$44-((R384-1)*Skills!D13))))/Inputs!$B$44),IF(Inputs!$B$39="pvp",MIN((Skills!T13*(1+Inputs!$B$35/100)),15)/15,(Skills!T13*(1+Inputs!$B$35/100))/Skills!D13)))+((C385=TRUE)*F385*IF(AND(Inputs!$B$39&lt;&gt;"pvp",Inputs!$B$44&gt;0),(((R385-1)*(Skills!T14*(1+Inputs!$B$35/100))+MIN((Skills!T14*(1+Inputs!$B$35/100)),MAX(0,Inputs!$B$44-((R385-1)*Skills!D14))))/Inputs!$B$44),IF(Inputs!$B$39="pvp",MIN((Skills!T14*(1+Inputs!$B$35/100)),15)/15,(Skills!T14*(1+Inputs!$B$35/100))/Skills!D14)))+((C386=TRUE)*F386*IF(AND(Inputs!$B$39&lt;&gt;"pvp",Inputs!$B$44&gt;0),(((R386-1)*(Skills!T15*(1+Inputs!$B$35/100))+MIN((Skills!T15*(1+Inputs!$B$35/100)),MAX(0,Inputs!$B$44-((R386-1)*Skills!D15))))/Inputs!$B$44),IF(Inputs!$B$39="pvp",MIN((Skills!T15*(1+Inputs!$B$35/100)),15)/15,(Skills!T15*(1+Inputs!$B$35/100))/Skills!D15)))+((C387=TRUE)*F387*IF(AND(Inputs!$B$39&lt;&gt;"pvp",Inputs!$B$44&gt;0),(((R387-1)*(Skills!T16*(1+Inputs!$B$35/100))+MIN((Skills!T16*(1+Inputs!$B$35/100)),MAX(0,Inputs!$B$44-((R387-1)*Skills!D16))))/Inputs!$B$44),IF(Inputs!$B$39="pvp",MIN((Skills!T16*(1+Inputs!$B$35/100)),15)/15,(Skills!T16*(1+Inputs!$B$35/100))/Skills!D16)))+0)/100)*I378)</f>
        <v/>
      </c>
      <c r="L378">
        <f>K378*(MIN(Inputs!$B$23+((C393=TRUE)*(F393-Calc!F22)),Inputs!$B$24+((C395=TRUE)*(F395-Calc!F24)))/100+(Inputs!$B$24+((C395=TRUE)*(F395-Calc!F24)))/100)/2</f>
        <v/>
      </c>
      <c r="M378">
        <f>L378*(1+(Inputs!$B$11+0+B405)/100)</f>
        <v/>
      </c>
      <c r="N378">
        <f>L378*(1-MIN((Inputs!$B$10+0+B400),100)/100)+M378*(MIN((Inputs!$B$10+0+B400),100)/100)</f>
        <v/>
      </c>
      <c r="O378">
        <f>(1-Summary!$B$55)*T378+Summary!$B$55*V378</f>
        <v/>
      </c>
      <c r="P378">
        <f>IF(B410=0,0,O378/B410)</f>
        <v/>
      </c>
      <c r="Q378">
        <f>IFERROR(1/IF(Inputs!$B$39="pvp",15,MAX(0.1,Skills!D7-IF(Skills!E7=TRUE,Inputs!$B$33,0))),0)</f>
        <v/>
      </c>
      <c r="R378">
        <f>IF(AND(Inputs!$B$39&lt;&gt;"pvp",Inputs!$B$44&gt;0),IF(MAX(0,Inputs!$B$44-B407)&lt;=0,0,(INT(MAX(0,Inputs!$B$44-B407)/IF(Inputs!$B$39="pvp",15,MAX(0.1,Skills!D7-IF(Skills!E7=TRUE,Inputs!$B$33,0))))+1)),0)</f>
        <v/>
      </c>
      <c r="S378">
        <f>IFERROR(O378/N378,0)</f>
        <v/>
      </c>
      <c r="T378">
        <f>IF(C378,(H378*N378*IF(AND(Inputs!$B$39&lt;&gt;"pvp",Inputs!$B$44&gt;0),((Skills!G7*((R378-1)*IF(Skills!H7&gt;0,Skills!I7/Skills!H7,1)+IF(Skills!H7&gt;0,MIN(Skills!I7,MAX(0,MAX(0,Inputs!$B$44-B407)-((R378-1)*IF(Inputs!$B$39="pvp",15,MAX(0.1,Skills!D7-IF(Skills!E7=TRUE,Inputs!$B$33,0))))))/Skills!H7,1)))/Inputs!$B$44),G378*Q378))*IF(Inputs!$B$39="pvp",1,1+(Inputs!$B$21+0+Skills!P7+((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0)</f>
        <v/>
      </c>
      <c r="V378">
        <f>IF(C378,(H378*N378*IF(AND(Inputs!$B$39&lt;&gt;"pvp",Inputs!$B$44&gt;0),((Skills!G7*((R378-1)*IF(Skills!H7&gt;0,Skills!I7/Skills!H7,1)+IF(Skills!H7&gt;0,MIN(Skills!I7,MAX(0,MAX(0,Inputs!$B$44-B407)-((R378-1)*IF(Inputs!$B$39="pvp",15,MAX(0.1,Skills!D7-IF(Skills!E7=TRUE,Inputs!$B$33,0))))))/Skills!H7,1)))/Inputs!$B$44),G378*Q378))*IF(Inputs!$B$39="pvp",1,(1+((Inputs!$B$22+1)+Skills!Q7+((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MIN(Skills!R7,Inputs!$B$38))),0)</f>
        <v/>
      </c>
    </row>
    <row r="379">
      <c r="A379">
        <f>Skills!A8</f>
        <v/>
      </c>
      <c r="B379">
        <f>Skills!B8</f>
        <v/>
      </c>
      <c r="C379">
        <f>Inputs!$B$3&gt;=75</f>
        <v/>
      </c>
      <c r="D379">
        <f>IF(Skills!C8=1,60+Inputs!$B$26+Inputs!$B$30,IF(Skills!C8=2,90+Inputs!$B$27+Inputs!$B$30,IF(Skills!C8=3,120+Inputs!$B$28+Inputs!$B$30,MAX(0,(Inputs!$B$3-100)*3)+Inputs!$B$29+Inputs!$B$30)))</f>
        <v/>
      </c>
      <c r="E379">
        <f>INDEX(FactorTable!$B$2:$Y$301, MATCH(ROUND(MIN(300,MAX(1,D379)),0), FactorTable!$A$2:$A$301,0), Skills!M8+1)</f>
        <v/>
      </c>
      <c r="F379">
        <f>IF(Skills!N8=TRUE,(Skills!L8/10)*(E379/1000),Skills!L8/10)+Skills!O8</f>
        <v/>
      </c>
      <c r="G379" t="inlineStr"/>
      <c r="H379" t="inlineStr"/>
      <c r="I379" t="inlineStr">
        <is>
          <t>1</t>
        </is>
      </c>
      <c r="J379" t="inlineStr"/>
      <c r="K379" t="inlineStr"/>
      <c r="L379" t="inlineStr"/>
      <c r="M379" t="inlineStr"/>
      <c r="N379" t="inlineStr"/>
      <c r="O379" t="inlineStr"/>
      <c r="P379" t="inlineStr"/>
      <c r="Q379" t="inlineStr"/>
      <c r="R379" t="inlineStr"/>
      <c r="S379" t="inlineStr"/>
    </row>
    <row r="380">
      <c r="A380">
        <f>Skills!A9</f>
        <v/>
      </c>
      <c r="B380">
        <f>Skills!B9</f>
        <v/>
      </c>
      <c r="C380">
        <f>Inputs!$B$3&gt;=60</f>
        <v/>
      </c>
      <c r="D380">
        <f>IF(Skills!C9=1,60+Inputs!$B$26+Inputs!$B$30,IF(Skills!C9=2,90+Inputs!$B$27+Inputs!$B$30,IF(Skills!C9=3,120+Inputs!$B$28+Inputs!$B$30,MAX(0,(Inputs!$B$3-100)*3)+Inputs!$B$29+Inputs!$B$30)))</f>
        <v/>
      </c>
      <c r="E380">
        <f>INDEX(FactorTable!$B$2:$Y$301, MATCH(ROUND(MIN(300,MAX(1,D380)),0), FactorTable!$A$2:$A$301,0), Skills!M9+1)</f>
        <v/>
      </c>
      <c r="F380">
        <f>IF(Skills!N9=TRUE,(Skills!L9/10)*(E380/1000),Skills!L9/10)+Skills!O9</f>
        <v/>
      </c>
      <c r="G380">
        <f>Skills!G9*IF(Skills!H9&gt;0,Skills!I9/Skills!H9,1)</f>
        <v/>
      </c>
      <c r="H380">
        <f>1-(1-Skills!J9/100)^Skills!K9</f>
        <v/>
      </c>
      <c r="I380" t="inlineStr">
        <is>
          <t>1</t>
        </is>
      </c>
      <c r="J380">
        <f>((Inputs!$B$6*(1+Inputs!$B$7/100))+(((Inputs!$B$13*(1+Inputs!$B$14/100))-(Inputs!$B$13*(1+Inputs!$B$14/100)))+0.25*(Inputs!$B$15-Inputs!$B$15))*(1+Inputs!$B$7/100))*(F380/100)</f>
        <v/>
      </c>
      <c r="K380">
        <f>J380*(1+(((Inputs!$B$13+IF(Inputs!$B$3&gt;=38,(10*INDEX(FactorTable!$B$2:$Y$301, MATCH(ROUND(MIN(300,MAX(1,Inputs!$B$3)),0), FactorTable!$A$2:$A$301,0), 23)/1000)/100*(Inputs!$B$8*(1+Inputs!$B$9/100)),0))*(1+Inputs!$B$14/100))*0.01+Inputs!$B$15*0.0025)/100)*(1+Inputs!$B$16/100)*(1+Inputs!$B$17/100)*(5000/(6000+Inputs!$B$43*(1-(Inputs!$B$20+0)/100)))*(1+(Inputs!$B$25+((C396=TRUE)*(F396-Calc!F25))+((C397=TRUE)*(F397-Calc!F26))+B406)/100)*(1+1.0*IF(C382=TRUE,F382,0)/100)*(1+(IF(Skills!A9="DARK_IMPALE",Inputs!$B$18+0,Inputs!$B$19+((C394=TRUE)*(F394-Calc!F23))))/100)*((1+(((C384=TRUE)*F384*IF(AND(Inputs!$B$39&lt;&gt;"pvp",Inputs!$B$44&gt;0),(((R384-1)*(Skills!T13*(1+Inputs!$B$35/100))+MIN((Skills!T13*(1+Inputs!$B$35/100)),MAX(0,Inputs!$B$44-((R384-1)*Skills!D13))))/Inputs!$B$44),IF(Inputs!$B$39="pvp",MIN((Skills!T13*(1+Inputs!$B$35/100)),15)/15,(Skills!T13*(1+Inputs!$B$35/100))/Skills!D13)))+((C385=TRUE)*F385*IF(AND(Inputs!$B$39&lt;&gt;"pvp",Inputs!$B$44&gt;0),(((R385-1)*(Skills!T14*(1+Inputs!$B$35/100))+MIN((Skills!T14*(1+Inputs!$B$35/100)),MAX(0,Inputs!$B$44-((R385-1)*Skills!D14))))/Inputs!$B$44),IF(Inputs!$B$39="pvp",MIN((Skills!T14*(1+Inputs!$B$35/100)),15)/15,(Skills!T14*(1+Inputs!$B$35/100))/Skills!D14)))+((C386=TRUE)*F386*IF(AND(Inputs!$B$39&lt;&gt;"pvp",Inputs!$B$44&gt;0),(((R386-1)*(Skills!T15*(1+Inputs!$B$35/100))+MIN((Skills!T15*(1+Inputs!$B$35/100)),MAX(0,Inputs!$B$44-((R386-1)*Skills!D15))))/Inputs!$B$44),IF(Inputs!$B$39="pvp",MIN((Skills!T15*(1+Inputs!$B$35/100)),15)/15,(Skills!T15*(1+Inputs!$B$35/100))/Skills!D15)))+((C387=TRUE)*F387*IF(AND(Inputs!$B$39&lt;&gt;"pvp",Inputs!$B$44&gt;0),(((R387-1)*(Skills!T16*(1+Inputs!$B$35/100))+MIN((Skills!T16*(1+Inputs!$B$35/100)),MAX(0,Inputs!$B$44-((R387-1)*Skills!D16))))/Inputs!$B$44),IF(Inputs!$B$39="pvp",MIN((Skills!T16*(1+Inputs!$B$35/100)),15)/15,(Skills!T16*(1+Inputs!$B$35/100))/Skills!D16)))+0)/100)*I380)</f>
        <v/>
      </c>
      <c r="L380">
        <f>K380*(MIN(Inputs!$B$23+((C393=TRUE)*(F393-Calc!F22)),Inputs!$B$24+((C395=TRUE)*(F395-Calc!F24)))/100+(Inputs!$B$24+((C395=TRUE)*(F395-Calc!F24)))/100)/2</f>
        <v/>
      </c>
      <c r="M380">
        <f>L380*(1+(Inputs!$B$11+0+B405)/100)</f>
        <v/>
      </c>
      <c r="N380">
        <f>L380*(1-MIN((Inputs!$B$10+0+B400),100)/100)+M380*(MIN((Inputs!$B$10+0+B400),100)/100)</f>
        <v/>
      </c>
      <c r="O380">
        <f>(1-Summary!$B$55)*T380+Summary!$B$55*V380</f>
        <v/>
      </c>
      <c r="P380">
        <f>IF(B410=0,0,O380/B410)</f>
        <v/>
      </c>
      <c r="Q380">
        <f>IFERROR(1/IF(Inputs!$B$39="pvp",15,MAX(0.1,Skills!D9-IF(Skills!E9=TRUE,Inputs!$B$33,0))),0)</f>
        <v/>
      </c>
      <c r="R380">
        <f>IF(AND(Inputs!$B$39&lt;&gt;"pvp",Inputs!$B$44&gt;0),IF(MAX(0,Inputs!$B$44-B407)&lt;=0,0,(INT(MAX(0,Inputs!$B$44-B407)/IF(Inputs!$B$39="pvp",15,MAX(0.1,Skills!D9-IF(Skills!E9=TRUE,Inputs!$B$33,0))))+1)),0)</f>
        <v/>
      </c>
      <c r="S380">
        <f>IFERROR(O380/N380,0)</f>
        <v/>
      </c>
      <c r="T380">
        <f>IF(C380,(H380*N380*IF(AND(Inputs!$B$39&lt;&gt;"pvp",Inputs!$B$44&gt;0),((Skills!G9*((R380-1)*IF(Skills!H9&gt;0,Skills!I9/Skills!H9,1)+IF(Skills!H9&gt;0,MIN(Skills!I9,MAX(0,MAX(0,Inputs!$B$44-B407)-((R380-1)*IF(Inputs!$B$39="pvp",15,MAX(0.1,Skills!D9-IF(Skills!E9=TRUE,Inputs!$B$33,0))))))/Skills!H9,1)))/Inputs!$B$44),G380*Q380))*IF(Inputs!$B$39="pvp",1,1+(Inputs!$B$21+0+Skills!P9+((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0)</f>
        <v/>
      </c>
      <c r="V380">
        <f>IF(C380,(H380*N380*IF(AND(Inputs!$B$39&lt;&gt;"pvp",Inputs!$B$44&gt;0),((Skills!G9*((R380-1)*IF(Skills!H9&gt;0,Skills!I9/Skills!H9,1)+IF(Skills!H9&gt;0,MIN(Skills!I9,MAX(0,MAX(0,Inputs!$B$44-B407)-((R380-1)*IF(Inputs!$B$39="pvp",15,MAX(0.1,Skills!D9-IF(Skills!E9=TRUE,Inputs!$B$33,0))))))/Skills!H9,1)))/Inputs!$B$44),G380*Q380))*IF(Inputs!$B$39="pvp",1,(1+((Inputs!$B$22+1)+Skills!Q9+((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MIN(Skills!R9,Inputs!$B$38))),0)</f>
        <v/>
      </c>
    </row>
    <row r="381">
      <c r="A381">
        <f>Skills!A10</f>
        <v/>
      </c>
      <c r="B381">
        <f>Skills!B10</f>
        <v/>
      </c>
      <c r="C381">
        <f>Inputs!$B$3&gt;=110</f>
        <v/>
      </c>
      <c r="D381">
        <f>IF(Skills!C10=1,60+Inputs!$B$26+Inputs!$B$30,IF(Skills!C10=2,90+Inputs!$B$27+Inputs!$B$30,IF(Skills!C10=3,120+Inputs!$B$28+Inputs!$B$30,MAX(0,(Inputs!$B$3-100)*3)+Inputs!$B$29+Inputs!$B$30)))</f>
        <v/>
      </c>
      <c r="E381">
        <f>INDEX(FactorTable!$B$2:$Y$301, MATCH(ROUND(MIN(300,MAX(1,D381)),0), FactorTable!$A$2:$A$301,0), Skills!M10+1)</f>
        <v/>
      </c>
      <c r="F381">
        <f>IF(Skills!N10=TRUE,(Skills!L10/10)*(E381/1000),Skills!L10/10)+Skills!O10</f>
        <v/>
      </c>
      <c r="G381">
        <f>Skills!G10*IF(Skills!H10&gt;0,Skills!I10/Skills!H10,1)</f>
        <v/>
      </c>
      <c r="H381">
        <f>1-(1-Skills!J10/100)^Skills!K10</f>
        <v/>
      </c>
      <c r="I381" t="inlineStr">
        <is>
          <t>1</t>
        </is>
      </c>
      <c r="J381">
        <f>((Inputs!$B$6*(1+Inputs!$B$7/100))+(((Inputs!$B$13*(1+Inputs!$B$14/100))-(Inputs!$B$13*(1+Inputs!$B$14/100)))+0.25*(Inputs!$B$15-Inputs!$B$15))*(1+Inputs!$B$7/100))*(F381/100)</f>
        <v/>
      </c>
      <c r="K381">
        <f>J381*(1+(((Inputs!$B$13+IF(Inputs!$B$3&gt;=38,(10*INDEX(FactorTable!$B$2:$Y$301, MATCH(ROUND(MIN(300,MAX(1,Inputs!$B$3)),0), FactorTable!$A$2:$A$301,0), 23)/1000)/100*(Inputs!$B$8*(1+Inputs!$B$9/100)),0))*(1+Inputs!$B$14/100))*0.01+Inputs!$B$15*0.0025)/100)*(1+Inputs!$B$16/100)*(1+Inputs!$B$17/100)*(5000/(6000+Inputs!$B$43*(1-(Inputs!$B$20+0)/100)))*(1+(Inputs!$B$25+((C396=TRUE)*(F396-Calc!F25))+((C397=TRUE)*(F397-Calc!F26))+B406)/100)*(1+(IF(Skills!A10="DARK_IMPALE",Inputs!$B$18+0,Inputs!$B$19+((C394=TRUE)*(F394-Calc!F23))))/100)*((1+(((C384=TRUE)*F384*IF(AND(Inputs!$B$39&lt;&gt;"pvp",Inputs!$B$44&gt;0),(((R384-1)*(Skills!T13*(1+Inputs!$B$35/100))+MIN((Skills!T13*(1+Inputs!$B$35/100)),MAX(0,Inputs!$B$44-((R384-1)*Skills!D13))))/Inputs!$B$44),IF(Inputs!$B$39="pvp",MIN((Skills!T13*(1+Inputs!$B$35/100)),15)/15,(Skills!T13*(1+Inputs!$B$35/100))/Skills!D13)))+((C385=TRUE)*F385*IF(AND(Inputs!$B$39&lt;&gt;"pvp",Inputs!$B$44&gt;0),(((R385-1)*(Skills!T14*(1+Inputs!$B$35/100))+MIN((Skills!T14*(1+Inputs!$B$35/100)),MAX(0,Inputs!$B$44-((R385-1)*Skills!D14))))/Inputs!$B$44),IF(Inputs!$B$39="pvp",MIN((Skills!T14*(1+Inputs!$B$35/100)),15)/15,(Skills!T14*(1+Inputs!$B$35/100))/Skills!D14)))+((C386=TRUE)*F386*IF(AND(Inputs!$B$39&lt;&gt;"pvp",Inputs!$B$44&gt;0),(((R386-1)*(Skills!T15*(1+Inputs!$B$35/100))+MIN((Skills!T15*(1+Inputs!$B$35/100)),MAX(0,Inputs!$B$44-((R386-1)*Skills!D15))))/Inputs!$B$44),IF(Inputs!$B$39="pvp",MIN((Skills!T15*(1+Inputs!$B$35/100)),15)/15,(Skills!T15*(1+Inputs!$B$35/100))/Skills!D15)))+((C387=TRUE)*F387*IF(AND(Inputs!$B$39&lt;&gt;"pvp",Inputs!$B$44&gt;0),(((R387-1)*(Skills!T16*(1+Inputs!$B$35/100))+MIN((Skills!T16*(1+Inputs!$B$35/100)),MAX(0,Inputs!$B$44-((R387-1)*Skills!D16))))/Inputs!$B$44),IF(Inputs!$B$39="pvp",MIN((Skills!T16*(1+Inputs!$B$35/100)),15)/15,(Skills!T16*(1+Inputs!$B$35/100))/Skills!D16)))+0)/100)*I381)</f>
        <v/>
      </c>
      <c r="L381">
        <f>K381*(MIN(Inputs!$B$23+((C393=TRUE)*(F393-Calc!F22)),Inputs!$B$24+((C395=TRUE)*(F395-Calc!F24)))/100+(Inputs!$B$24+((C395=TRUE)*(F395-Calc!F24)))/100)/2</f>
        <v/>
      </c>
      <c r="M381">
        <f>L381*(1+(Inputs!$B$11+0+B405)/100)</f>
        <v/>
      </c>
      <c r="N381">
        <f>L381*(1-MIN((Inputs!$B$10+0+B400),100)/100)+M381*(MIN((Inputs!$B$10+0+B400),100)/100)</f>
        <v/>
      </c>
      <c r="O381">
        <f>(1-Summary!$B$55)*T381+Summary!$B$55*V381</f>
        <v/>
      </c>
      <c r="P381">
        <f>IF(B410=0,0,O381/B410)</f>
        <v/>
      </c>
      <c r="Q381">
        <f>IFERROR(1/IF(Inputs!$B$39="pvp",15,MAX(0.1,Skills!D10-IF(Skills!E10=TRUE,Inputs!$B$33,0))),0)</f>
        <v/>
      </c>
      <c r="R381">
        <f>IF(AND(Inputs!$B$39&lt;&gt;"pvp",Inputs!$B$44&gt;0),IF(MAX(0,Inputs!$B$44-B407)&lt;=0,0,(INT(MAX(0,Inputs!$B$44-B407)/IF(Inputs!$B$39="pvp",15,MAX(0.1,Skills!D10-IF(Skills!E10=TRUE,Inputs!$B$33,0))))+1)),0)</f>
        <v/>
      </c>
      <c r="S381">
        <f>IFERROR(O381/N381,0)</f>
        <v/>
      </c>
      <c r="T381">
        <f>IF(C381,(H381*N381*IF(AND(Inputs!$B$39&lt;&gt;"pvp",Inputs!$B$44&gt;0),((Skills!G10*((R381-1)*IF(Skills!H10&gt;0,Skills!I10/Skills!H10,1)+IF(Skills!H10&gt;0,MIN(Skills!I10,MAX(0,MAX(0,Inputs!$B$44-B407)-((R381-1)*IF(Inputs!$B$39="pvp",15,MAX(0.1,Skills!D10-IF(Skills!E10=TRUE,Inputs!$B$33,0))))))/Skills!H10,1)))/Inputs!$B$44),G381*Q381))*IF(Inputs!$B$39="pvp",1,1+(Inputs!$B$21+0+Skills!P10+((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0)</f>
        <v/>
      </c>
      <c r="V381">
        <f>IF(C381,(H381*N381*IF(AND(Inputs!$B$39&lt;&gt;"pvp",Inputs!$B$44&gt;0),((Skills!G10*((R381-1)*IF(Skills!H10&gt;0,Skills!I10/Skills!H10,1)+IF(Skills!H10&gt;0,MIN(Skills!I10,MAX(0,MAX(0,Inputs!$B$44-B407)-((R381-1)*IF(Inputs!$B$39="pvp",15,MAX(0.1,Skills!D10-IF(Skills!E10=TRUE,Inputs!$B$33,0))))))/Skills!H10,1)))/Inputs!$B$44),G381*Q381))*IF(Inputs!$B$39="pvp",1,(1+((Inputs!$B$22+1)+Skills!Q10+((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MIN(Skills!R10,Inputs!$B$38))),0)</f>
        <v/>
      </c>
    </row>
    <row r="382">
      <c r="A382">
        <f>Skills!A11</f>
        <v/>
      </c>
      <c r="B382">
        <f>Skills!B11</f>
        <v/>
      </c>
      <c r="C382">
        <f>Inputs!$B$3&gt;=100</f>
        <v/>
      </c>
      <c r="D382">
        <f>IF(Skills!C11=1,60+Inputs!$B$26+Inputs!$B$30,IF(Skills!C11=2,90+Inputs!$B$27+Inputs!$B$30,IF(Skills!C11=3,120+Inputs!$B$28+Inputs!$B$30,MAX(0,(Inputs!$B$3-100)*3)+Inputs!$B$29+Inputs!$B$30)))</f>
        <v/>
      </c>
      <c r="E382">
        <f>INDEX(FactorTable!$B$2:$Y$301, MATCH(ROUND(MIN(300,MAX(1,D382)),0), FactorTable!$A$2:$A$301,0), Skills!M11+1)</f>
        <v/>
      </c>
      <c r="F382">
        <f>IF(Skills!N11=TRUE,(Skills!L11/10)*(E382/1000),Skills!L11/10)+Skills!O11</f>
        <v/>
      </c>
      <c r="G382" t="inlineStr"/>
      <c r="H382" t="inlineStr"/>
      <c r="I382" t="inlineStr">
        <is>
          <t>1</t>
        </is>
      </c>
      <c r="J382" t="inlineStr"/>
      <c r="K382" t="inlineStr"/>
      <c r="L382" t="inlineStr"/>
      <c r="M382" t="inlineStr"/>
      <c r="N382" t="inlineStr"/>
      <c r="O382" t="inlineStr"/>
      <c r="P382" t="inlineStr"/>
      <c r="Q382" t="inlineStr"/>
      <c r="R382" t="inlineStr"/>
      <c r="S382" t="inlineStr"/>
    </row>
    <row r="383">
      <c r="A383">
        <f>Skills!A12</f>
        <v/>
      </c>
      <c r="B383">
        <f>Skills!B12</f>
        <v/>
      </c>
      <c r="C383">
        <f>Inputs!$B$3&gt;=63</f>
        <v/>
      </c>
      <c r="D383">
        <f>IF(Skills!C12=1,60+Inputs!$B$26+Inputs!$B$30,IF(Skills!C12=2,90+Inputs!$B$27+Inputs!$B$30,IF(Skills!C12=3,120+Inputs!$B$28+Inputs!$B$30,MAX(0,(Inputs!$B$3-100)*3)+Inputs!$B$29+Inputs!$B$30)))</f>
        <v/>
      </c>
      <c r="E383">
        <f>INDEX(FactorTable!$B$2:$Y$301, MATCH(ROUND(MIN(300,MAX(1,D383)),0), FactorTable!$A$2:$A$301,0), Skills!M12+1)</f>
        <v/>
      </c>
      <c r="F383">
        <f>IF(Skills!N12=TRUE,(Skills!L12/10)*(E383/1000),Skills!L12/10)+Skills!O12</f>
        <v/>
      </c>
      <c r="G383">
        <f>Skills!G12*IF(Skills!H12&gt;0,Skills!I12/Skills!H12,1)</f>
        <v/>
      </c>
      <c r="H383">
        <f>1-(1-Skills!J12/100)^Skills!K12</f>
        <v/>
      </c>
      <c r="I383" t="inlineStr">
        <is>
          <t>1</t>
        </is>
      </c>
      <c r="J383">
        <f>((Inputs!$B$6*(1+Inputs!$B$7/100))+(((Inputs!$B$13*(1+Inputs!$B$14/100))-(Inputs!$B$13*(1+Inputs!$B$14/100)))+0.25*(Inputs!$B$15-Inputs!$B$15))*(1+Inputs!$B$7/100))*(F383/100)</f>
        <v/>
      </c>
      <c r="K383">
        <f>J383*(1+(((Inputs!$B$13+IF(Inputs!$B$3&gt;=38,(10*INDEX(FactorTable!$B$2:$Y$301, MATCH(ROUND(MIN(300,MAX(1,Inputs!$B$3)),0), FactorTable!$A$2:$A$301,0), 23)/1000)/100*(Inputs!$B$8*(1+Inputs!$B$9/100)),0))*(1+Inputs!$B$14/100))*0.01+Inputs!$B$15*0.0025)/100)*(1+Inputs!$B$16/100)*(1+Inputs!$B$17/100)*(5000/(6000+Inputs!$B$43*(1-(Inputs!$B$20+0)/100)))*(1+(Inputs!$B$25+((C396=TRUE)*(F396-Calc!F25))+((C397=TRUE)*(F397-Calc!F26))+B406)/100)*(1+0.75*IF(C382=TRUE,F382,0)/100)*(1+(IF(Skills!A12="DARK_IMPALE",Inputs!$B$18+0,Inputs!$B$19+((C394=TRUE)*(F394-Calc!F23))))/100)*((1+(((C384=TRUE)*F384*IF(AND(Inputs!$B$39&lt;&gt;"pvp",Inputs!$B$44&gt;0),(((R384-1)*(Skills!T13*(1+Inputs!$B$35/100))+MIN((Skills!T13*(1+Inputs!$B$35/100)),MAX(0,Inputs!$B$44-((R384-1)*Skills!D13))))/Inputs!$B$44),IF(Inputs!$B$39="pvp",MIN((Skills!T13*(1+Inputs!$B$35/100)),15)/15,(Skills!T13*(1+Inputs!$B$35/100))/Skills!D13)))+((C385=TRUE)*F385*IF(AND(Inputs!$B$39&lt;&gt;"pvp",Inputs!$B$44&gt;0),(((R385-1)*(Skills!T14*(1+Inputs!$B$35/100))+MIN((Skills!T14*(1+Inputs!$B$35/100)),MAX(0,Inputs!$B$44-((R385-1)*Skills!D14))))/Inputs!$B$44),IF(Inputs!$B$39="pvp",MIN((Skills!T14*(1+Inputs!$B$35/100)),15)/15,(Skills!T14*(1+Inputs!$B$35/100))/Skills!D14)))+((C386=TRUE)*F386*IF(AND(Inputs!$B$39&lt;&gt;"pvp",Inputs!$B$44&gt;0),(((R386-1)*(Skills!T15*(1+Inputs!$B$35/100))+MIN((Skills!T15*(1+Inputs!$B$35/100)),MAX(0,Inputs!$B$44-((R386-1)*Skills!D15))))/Inputs!$B$44),IF(Inputs!$B$39="pvp",MIN((Skills!T15*(1+Inputs!$B$35/100)),15)/15,(Skills!T15*(1+Inputs!$B$35/100))/Skills!D15)))+((C387=TRUE)*F387*IF(AND(Inputs!$B$39&lt;&gt;"pvp",Inputs!$B$44&gt;0),(((R387-1)*(Skills!T16*(1+Inputs!$B$35/100))+MIN((Skills!T16*(1+Inputs!$B$35/100)),MAX(0,Inputs!$B$44-((R387-1)*Skills!D16))))/Inputs!$B$44),IF(Inputs!$B$39="pvp",MIN((Skills!T16*(1+Inputs!$B$35/100)),15)/15,(Skills!T16*(1+Inputs!$B$35/100))/Skills!D16)))+0)/100)*I383)</f>
        <v/>
      </c>
      <c r="L383">
        <f>K383*(MIN(Inputs!$B$23+((C393=TRUE)*(F393-Calc!F22)),Inputs!$B$24+((C395=TRUE)*(F395-Calc!F24)))/100+(Inputs!$B$24+((C395=TRUE)*(F395-Calc!F24)))/100)/2</f>
        <v/>
      </c>
      <c r="M383">
        <f>L383*(1+(Inputs!$B$11+0+B405)/100)</f>
        <v/>
      </c>
      <c r="N383">
        <f>L383*(1-MIN((Inputs!$B$10+0+B400),100)/100)+M383*(MIN((Inputs!$B$10+0+B400),100)/100)</f>
        <v/>
      </c>
      <c r="O383">
        <f>(1-Summary!$B$55)*T383+Summary!$B$55*V383</f>
        <v/>
      </c>
      <c r="P383">
        <f>IF(B410=0,0,O383/B410)</f>
        <v/>
      </c>
      <c r="Q383">
        <f>IFERROR(1/IF(Inputs!$B$39="pvp",15,MAX(0.1,Skills!D12-IF(Skills!E12=TRUE,Inputs!$B$33,0))),0)</f>
        <v/>
      </c>
      <c r="R383">
        <f>IF(AND(Inputs!$B$39&lt;&gt;"pvp",Inputs!$B$44&gt;0),IF(MAX(0,Inputs!$B$44-B407)&lt;=0,0,(INT(MAX(0,Inputs!$B$44-B407)/IF(Inputs!$B$39="pvp",15,MAX(0.1,Skills!D12-IF(Skills!E12=TRUE,Inputs!$B$33,0))))+1)),0)</f>
        <v/>
      </c>
      <c r="S383">
        <f>IFERROR(O383/N383,0)</f>
        <v/>
      </c>
      <c r="T383">
        <f>IF(C383,(H383*N383*IF(AND(Inputs!$B$39&lt;&gt;"pvp",Inputs!$B$44&gt;0),((Skills!G12*((R383-1)*IF(Skills!H12&gt;0,Skills!I12/Skills!H12,1)+IF(Skills!H12&gt;0,MIN(Skills!I12,MAX(0,MAX(0,Inputs!$B$44-B407)-((R383-1)*IF(Inputs!$B$39="pvp",15,MAX(0.1,Skills!D12-IF(Skills!E12=TRUE,Inputs!$B$33,0))))))/Skills!H12,1)))/Inputs!$B$44),G383*Q383))*IF(Inputs!$B$39="pvp",1,1+(Inputs!$B$21+0+Skills!P12+((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0)</f>
        <v/>
      </c>
      <c r="V383">
        <f>IF(C383,(H383*N383*IF(AND(Inputs!$B$39&lt;&gt;"pvp",Inputs!$B$44&gt;0),((Skills!G12*((R383-1)*IF(Skills!H12&gt;0,Skills!I12/Skills!H12,1)+IF(Skills!H12&gt;0,MIN(Skills!I12,MAX(0,MAX(0,Inputs!$B$44-B407)-((R383-1)*IF(Inputs!$B$39="pvp",15,MAX(0.1,Skills!D12-IF(Skills!E12=TRUE,Inputs!$B$33,0))))))/Skills!H12,1)))/Inputs!$B$44),G383*Q383))*IF(Inputs!$B$39="pvp",1,(1+((Inputs!$B$22+1)+Skills!Q12+((C388=TRUE)*F388*IF(AND(Inputs!$B$39&lt;&gt;"pvp",Inputs!$B$44&gt;0),(((R388-1)*(Skills!T17*(1+Inputs!$B$35/100))+MIN((Skills!T17*(1+Inputs!$B$35/100)),MAX(0,Inputs!$B$44-((R388-1)*Skills!D17))))/Inputs!$B$44),IF(Inputs!$B$39="pvp",MIN((Skills!T17*(1+Inputs!$B$35/100)),15)/15,(Skills!T17*(1+Inputs!$B$35/100))/Skills!D17)))+((C385=TRUE)*IF(Inputs!$B$39="pvp",20,(1-Summary!$B$55)*(20)+Summary!$B$55*(0))*IF(AND(Inputs!$B$39&lt;&gt;"pvp",Inputs!$B$44&gt;0),(((R385-1)*(Skills!T14*(1+Inputs!$B$35/100))+MIN((Skills!T14*(1+Inputs!$B$35/100)),MAX(0,Inputs!$B$44-((R385-1)*Skills!D14))))/Inputs!$B$44),IF(Inputs!$B$39="pvp",MIN((Skills!T14*(1+Inputs!$B$35/100)),15)/15,(Skills!T14*(1+Inputs!$B$35/100))/Skills!D14))))/100)*(MIN(Skills!R12,Inputs!$B$38))),0)</f>
        <v/>
      </c>
    </row>
    <row r="384">
      <c r="A384">
        <f>Skills!A13</f>
        <v/>
      </c>
      <c r="B384">
        <f>Skills!B13</f>
        <v/>
      </c>
      <c r="C384">
        <f>Inputs!$B$3&gt;=69</f>
        <v/>
      </c>
      <c r="D384">
        <f>IF(Skills!C13=1,60+Inputs!$B$26+Inputs!$B$30,IF(Skills!C13=2,90+Inputs!$B$27+Inputs!$B$30,IF(Skills!C13=3,120+Inputs!$B$28+Inputs!$B$30,MAX(0,(Inputs!$B$3-100)*3)+Inputs!$B$29+Inputs!$B$30)))</f>
        <v/>
      </c>
      <c r="E384">
        <f>INDEX(FactorTable!$B$2:$Y$301, MATCH(ROUND(MIN(300,MAX(1,D384)),0), FactorTable!$A$2:$A$301,0), Skills!M13+1)</f>
        <v/>
      </c>
      <c r="F384">
        <f>IF(Skills!N13=TRUE,(Skills!L13/10)*(E384/1000),Skills!L13/10)+Skills!O13</f>
        <v/>
      </c>
      <c r="G384">
        <f>Skills!G13*IF(Skills!H13&gt;0,Skills!I13/Skills!H13,1)</f>
        <v/>
      </c>
      <c r="H384">
        <f>1-(1-Skills!J13/100)^Skills!K13</f>
        <v/>
      </c>
      <c r="I384" t="inlineStr">
        <is>
          <t>1</t>
        </is>
      </c>
      <c r="J384" t="inlineStr"/>
      <c r="K384" t="inlineStr"/>
      <c r="L384" t="inlineStr"/>
      <c r="M384" t="inlineStr"/>
      <c r="N384" t="inlineStr"/>
      <c r="O384">
        <f>(1-Summary!$B$55)*T384+Summary!$B$55*V384</f>
        <v/>
      </c>
      <c r="P384">
        <f>IF(B410=0,0,O384/B410)</f>
        <v/>
      </c>
      <c r="Q384">
        <f>IFERROR(1/IF(Inputs!$B$39="pvp",15,MAX(0.1,Skills!D13-IF(Skills!E13=TRUE,Inputs!$B$33,0))),0)</f>
        <v/>
      </c>
      <c r="R384">
        <f>IF(AND(Inputs!$B$39&lt;&gt;"pvp",Inputs!$B$44&gt;0),IF(Inputs!$B$44&lt;=0,0,(INT(Inputs!$B$44/IF(Inputs!$B$39="pvp",15,MAX(0.1,Skills!D13-IF(Skills!E13=TRUE,Inputs!$B$33,0))))+1)),0)</f>
        <v/>
      </c>
      <c r="S384">
        <f>IFERROR(O384/N384,0)</f>
        <v/>
      </c>
      <c r="T384" t="n">
        <v>0</v>
      </c>
      <c r="V384" t="n">
        <v>0</v>
      </c>
    </row>
    <row r="385">
      <c r="A385">
        <f>Skills!A14</f>
        <v/>
      </c>
      <c r="B385">
        <f>Skills!B14</f>
        <v/>
      </c>
      <c r="C385">
        <f>Inputs!$B$3&gt;=115</f>
        <v/>
      </c>
      <c r="D385">
        <f>IF(Skills!C14=1,60+Inputs!$B$26+Inputs!$B$30,IF(Skills!C14=2,90+Inputs!$B$27+Inputs!$B$30,IF(Skills!C14=3,120+Inputs!$B$28+Inputs!$B$30,MAX(0,(Inputs!$B$3-100)*3)+Inputs!$B$29+Inputs!$B$30)))</f>
        <v/>
      </c>
      <c r="E385">
        <f>INDEX(FactorTable!$B$2:$Y$301, MATCH(ROUND(MIN(300,MAX(1,D385)),0), FactorTable!$A$2:$A$301,0), Skills!M14+1)</f>
        <v/>
      </c>
      <c r="F385">
        <f>IF(Skills!N14=TRUE,(Skills!L14/10)*(E385/1000),Skills!L14/10)+Skills!O14</f>
        <v/>
      </c>
      <c r="G385">
        <f>Skills!G14*IF(Skills!H14&gt;0,Skills!I14/Skills!H14,1)</f>
        <v/>
      </c>
      <c r="H385">
        <f>1-(1-Skills!J14/100)^Skills!K14</f>
        <v/>
      </c>
      <c r="I385" t="inlineStr">
        <is>
          <t>1</t>
        </is>
      </c>
      <c r="J385" t="inlineStr"/>
      <c r="K385" t="inlineStr"/>
      <c r="L385" t="inlineStr"/>
      <c r="M385" t="inlineStr"/>
      <c r="N385" t="inlineStr"/>
      <c r="O385">
        <f>(1-Summary!$B$55)*T385+Summary!$B$55*V385</f>
        <v/>
      </c>
      <c r="P385">
        <f>IF(B410=0,0,O385/B410)</f>
        <v/>
      </c>
      <c r="Q385">
        <f>IFERROR(1/IF(Inputs!$B$39="pvp",15,MAX(0.1,Skills!D14-IF(Skills!E14=TRUE,Inputs!$B$33,0))),0)</f>
        <v/>
      </c>
      <c r="R385">
        <f>IF(AND(Inputs!$B$39&lt;&gt;"pvp",Inputs!$B$44&gt;0),IF(Inputs!$B$44&lt;=0,0,(INT(Inputs!$B$44/IF(Inputs!$B$39="pvp",15,MAX(0.1,Skills!D14-IF(Skills!E14=TRUE,Inputs!$B$33,0))))+1)),0)</f>
        <v/>
      </c>
      <c r="S385">
        <f>IFERROR(O385/N385,0)</f>
        <v/>
      </c>
      <c r="T385" t="n">
        <v>0</v>
      </c>
      <c r="V385" t="n">
        <v>0</v>
      </c>
    </row>
    <row r="386">
      <c r="A386">
        <f>Skills!A15</f>
        <v/>
      </c>
      <c r="B386">
        <f>Skills!B15</f>
        <v/>
      </c>
      <c r="C386">
        <f>Inputs!$B$3&gt;=66</f>
        <v/>
      </c>
      <c r="D386">
        <f>IF(Skills!C15=1,60+Inputs!$B$26+Inputs!$B$30,IF(Skills!C15=2,90+Inputs!$B$27+Inputs!$B$30,IF(Skills!C15=3,120+Inputs!$B$28+Inputs!$B$30,MAX(0,(Inputs!$B$3-100)*3)+Inputs!$B$29+Inputs!$B$30)))</f>
        <v/>
      </c>
      <c r="E386">
        <f>INDEX(FactorTable!$B$2:$Y$301, MATCH(ROUND(MIN(300,MAX(1,D386)),0), FactorTable!$A$2:$A$301,0), Skills!M15+1)</f>
        <v/>
      </c>
      <c r="F386">
        <f>IF(Skills!N15=TRUE,(Skills!L15/10)*(E386/1000),Skills!L15/10)+Skills!O15</f>
        <v/>
      </c>
      <c r="G386">
        <f>Skills!G15*IF(Skills!H15&gt;0,Skills!I15/Skills!H15,1)</f>
        <v/>
      </c>
      <c r="H386">
        <f>1-(1-Skills!J15/100)^Skills!K15</f>
        <v/>
      </c>
      <c r="I386" t="inlineStr">
        <is>
          <t>1</t>
        </is>
      </c>
      <c r="J386" t="inlineStr"/>
      <c r="K386" t="inlineStr"/>
      <c r="L386" t="inlineStr"/>
      <c r="M386" t="inlineStr"/>
      <c r="N386" t="inlineStr"/>
      <c r="O386">
        <f>(1-Summary!$B$55)*T386+Summary!$B$55*V386</f>
        <v/>
      </c>
      <c r="P386">
        <f>IF(B410=0,0,O386/B410)</f>
        <v/>
      </c>
      <c r="Q386">
        <f>IFERROR(1/IF(Inputs!$B$39="pvp",15,MAX(0.1,Skills!D15-IF(Skills!E15=TRUE,Inputs!$B$33,0))),0)</f>
        <v/>
      </c>
      <c r="R386">
        <f>IF(AND(Inputs!$B$39&lt;&gt;"pvp",Inputs!$B$44&gt;0),IF(Inputs!$B$44&lt;=0,0,(INT(Inputs!$B$44/IF(Inputs!$B$39="pvp",15,MAX(0.1,Skills!D15-IF(Skills!E15=TRUE,Inputs!$B$33,0))))+1)),0)</f>
        <v/>
      </c>
      <c r="S386">
        <f>IFERROR(O386/N386,0)</f>
        <v/>
      </c>
      <c r="T386" t="n">
        <v>0</v>
      </c>
      <c r="V386" t="n">
        <v>0</v>
      </c>
    </row>
    <row r="387">
      <c r="A387">
        <f>Skills!A16</f>
        <v/>
      </c>
      <c r="B387">
        <f>Skills!B16</f>
        <v/>
      </c>
      <c r="C387">
        <f>Inputs!$B$3&gt;=45</f>
        <v/>
      </c>
      <c r="D387">
        <f>IF(Skills!C16=1,60+Inputs!$B$26+Inputs!$B$30,IF(Skills!C16=2,90+Inputs!$B$27+Inputs!$B$30,IF(Skills!C16=3,120+Inputs!$B$28+Inputs!$B$30,MAX(0,(Inputs!$B$3-100)*3)+Inputs!$B$29+Inputs!$B$30)))</f>
        <v/>
      </c>
      <c r="E387">
        <f>INDEX(FactorTable!$B$2:$Y$301, MATCH(ROUND(MIN(300,MAX(1,D387)),0), FactorTable!$A$2:$A$301,0), Skills!M16+1)</f>
        <v/>
      </c>
      <c r="F387">
        <f>IF(Skills!N16=TRUE,(Skills!L16/10)*(E387/1000),Skills!L16/10)+Skills!O16</f>
        <v/>
      </c>
      <c r="G387">
        <f>Skills!G16*IF(Skills!H16&gt;0,Skills!I16/Skills!H16,1)</f>
        <v/>
      </c>
      <c r="H387">
        <f>1-(1-Skills!J16/100)^Skills!K16</f>
        <v/>
      </c>
      <c r="I387" t="inlineStr">
        <is>
          <t>1</t>
        </is>
      </c>
      <c r="J387" t="inlineStr"/>
      <c r="K387" t="inlineStr"/>
      <c r="L387" t="inlineStr"/>
      <c r="M387" t="inlineStr"/>
      <c r="N387" t="inlineStr"/>
      <c r="O387">
        <f>(1-Summary!$B$55)*T387+Summary!$B$55*V387</f>
        <v/>
      </c>
      <c r="P387">
        <f>IF(B410=0,0,O387/B410)</f>
        <v/>
      </c>
      <c r="Q387">
        <f>IFERROR(1/IF(Inputs!$B$39="pvp",15,MAX(0.1,Skills!D16-IF(Skills!E16=TRUE,Inputs!$B$33,0))),0)</f>
        <v/>
      </c>
      <c r="R387">
        <f>IF(AND(Inputs!$B$39&lt;&gt;"pvp",Inputs!$B$44&gt;0),IF(Inputs!$B$44&lt;=0,0,(INT(Inputs!$B$44/IF(Inputs!$B$39="pvp",15,MAX(0.1,Skills!D16-IF(Skills!E16=TRUE,Inputs!$B$33,0))))+1)),0)</f>
        <v/>
      </c>
      <c r="S387">
        <f>IFERROR(O387/N387,0)</f>
        <v/>
      </c>
      <c r="T387" t="n">
        <v>0</v>
      </c>
      <c r="V387" t="n">
        <v>0</v>
      </c>
    </row>
    <row r="388">
      <c r="A388">
        <f>Skills!A17</f>
        <v/>
      </c>
      <c r="B388">
        <f>Skills!B17</f>
        <v/>
      </c>
      <c r="C388">
        <f>Inputs!$B$3&gt;=35</f>
        <v/>
      </c>
      <c r="D388">
        <f>IF(Skills!C17=1,60+Inputs!$B$26+Inputs!$B$30,IF(Skills!C17=2,90+Inputs!$B$27+Inputs!$B$30,IF(Skills!C17=3,120+Inputs!$B$28+Inputs!$B$30,MAX(0,(Inputs!$B$3-100)*3)+Inputs!$B$29+Inputs!$B$30)))</f>
        <v/>
      </c>
      <c r="E388">
        <f>INDEX(FactorTable!$B$2:$Y$301, MATCH(ROUND(MIN(300,MAX(1,D388)),0), FactorTable!$A$2:$A$301,0), Skills!M17+1)</f>
        <v/>
      </c>
      <c r="F388">
        <f>IF(Skills!N17=TRUE,(Skills!L17/10)*(E388/1000),Skills!L17/10)+Skills!O17</f>
        <v/>
      </c>
      <c r="G388">
        <f>Skills!G17*IF(Skills!H17&gt;0,Skills!I17/Skills!H17,1)</f>
        <v/>
      </c>
      <c r="H388">
        <f>1-(1-Skills!J17/100)^Skills!K17</f>
        <v/>
      </c>
      <c r="I388" t="inlineStr">
        <is>
          <t>1</t>
        </is>
      </c>
      <c r="J388" t="inlineStr"/>
      <c r="K388" t="inlineStr"/>
      <c r="L388" t="inlineStr"/>
      <c r="M388" t="inlineStr"/>
      <c r="N388" t="inlineStr"/>
      <c r="O388">
        <f>(1-Summary!$B$55)*T388+Summary!$B$55*V388</f>
        <v/>
      </c>
      <c r="P388">
        <f>IF(B410=0,0,O388/B410)</f>
        <v/>
      </c>
      <c r="Q388">
        <f>IFERROR(1/IF(Inputs!$B$39="pvp",15,MAX(0.1,Skills!D17-IF(Skills!E17=TRUE,Inputs!$B$33,0))),0)</f>
        <v/>
      </c>
      <c r="R388">
        <f>IF(AND(Inputs!$B$39&lt;&gt;"pvp",Inputs!$B$44&gt;0),IF(Inputs!$B$44&lt;=0,0,(INT(Inputs!$B$44/IF(Inputs!$B$39="pvp",15,MAX(0.1,Skills!D17-IF(Skills!E17=TRUE,Inputs!$B$33,0))))+1)),0)</f>
        <v/>
      </c>
      <c r="S388">
        <f>IFERROR(O388/N388,0)</f>
        <v/>
      </c>
      <c r="T388" t="n">
        <v>0</v>
      </c>
      <c r="V388" t="n">
        <v>0</v>
      </c>
    </row>
    <row r="389">
      <c r="A389">
        <f>Skills!A18</f>
        <v/>
      </c>
      <c r="B389">
        <f>Skills!B18</f>
        <v/>
      </c>
      <c r="C389">
        <f>Inputs!$B$3&gt;=72</f>
        <v/>
      </c>
      <c r="D389">
        <f>IF(Skills!C18=1,60+Inputs!$B$26+Inputs!$B$30,IF(Skills!C18=2,90+Inputs!$B$27+Inputs!$B$30,IF(Skills!C18=3,120+Inputs!$B$28+Inputs!$B$30,MAX(0,(Inputs!$B$3-100)*3)+Inputs!$B$29+Inputs!$B$30)))</f>
        <v/>
      </c>
      <c r="E389">
        <f>INDEX(FactorTable!$B$2:$Y$301, MATCH(ROUND(MIN(300,MAX(1,D389)),0), FactorTable!$A$2:$A$301,0), Skills!M18+1)</f>
        <v/>
      </c>
      <c r="F389">
        <f>IF(Skills!N18=TRUE,(Skills!L18/10)*(E389/1000),Skills!L18/10)+Skills!O18</f>
        <v/>
      </c>
      <c r="G389">
        <f>Skills!G18*IF(Skills!H18&gt;0,Skills!I18/Skills!H18,1)</f>
        <v/>
      </c>
      <c r="H389">
        <f>1-(1-Skills!J18/100)^Skills!K18</f>
        <v/>
      </c>
      <c r="I389" t="inlineStr">
        <is>
          <t>1</t>
        </is>
      </c>
      <c r="J389" t="inlineStr"/>
      <c r="K389" t="inlineStr"/>
      <c r="L389" t="inlineStr"/>
      <c r="M389" t="inlineStr"/>
      <c r="N389" t="inlineStr"/>
      <c r="O389">
        <f>(1-Summary!$B$55)*T389+Summary!$B$55*V389</f>
        <v/>
      </c>
      <c r="P389">
        <f>IF(B410=0,0,O389/B410)</f>
        <v/>
      </c>
      <c r="Q389">
        <f>IFERROR(1/IF(Inputs!$B$39="pvp",15,MAX(0.1,Skills!D18-IF(Skills!E18=TRUE,Inputs!$B$33,0))),0)</f>
        <v/>
      </c>
      <c r="R389">
        <f>IF(AND(Inputs!$B$39&lt;&gt;"pvp",Inputs!$B$44&gt;0),IF(Inputs!$B$44&lt;=0,0,(INT(Inputs!$B$44/IF(Inputs!$B$39="pvp",15,MAX(0.1,Skills!D18-IF(Skills!E18=TRUE,Inputs!$B$33,0))))+1)),0)</f>
        <v/>
      </c>
      <c r="S389">
        <f>IFERROR(O389/N389,0)</f>
        <v/>
      </c>
      <c r="T389" t="n">
        <v>0</v>
      </c>
      <c r="V389" t="n">
        <v>0</v>
      </c>
    </row>
    <row r="390">
      <c r="A390">
        <f>Skills!A19</f>
        <v/>
      </c>
      <c r="B390">
        <f>Skills!B19</f>
        <v/>
      </c>
      <c r="C390">
        <f>Inputs!$B$3&gt;=72</f>
        <v/>
      </c>
      <c r="D390">
        <f>IF(Skills!C19=1,60+Inputs!$B$26+Inputs!$B$30,IF(Skills!C19=2,90+Inputs!$B$27+Inputs!$B$30,IF(Skills!C19=3,120+Inputs!$B$28+Inputs!$B$30,MAX(0,(Inputs!$B$3-100)*3)+Inputs!$B$29+Inputs!$B$30)))</f>
        <v/>
      </c>
      <c r="E390">
        <f>INDEX(FactorTable!$B$2:$Y$301, MATCH(ROUND(MIN(300,MAX(1,D390)),0), FactorTable!$A$2:$A$301,0), Skills!M19+1)</f>
        <v/>
      </c>
      <c r="F390">
        <f>IF(Skills!N19=TRUE,(Skills!L19/10)*(E390/1000),Skills!L19/10)+Skills!O19</f>
        <v/>
      </c>
      <c r="G390">
        <f>Skills!G19*IF(Skills!H19&gt;0,Skills!I19/Skills!H19,1)</f>
        <v/>
      </c>
      <c r="H390">
        <f>1-(1-Skills!J19/100)^Skills!K19</f>
        <v/>
      </c>
      <c r="I390" t="inlineStr">
        <is>
          <t>1</t>
        </is>
      </c>
      <c r="J390" t="inlineStr"/>
      <c r="K390" t="inlineStr"/>
      <c r="L390" t="inlineStr"/>
      <c r="M390" t="inlineStr"/>
      <c r="N390" t="inlineStr"/>
      <c r="O390">
        <f>(1-Summary!$B$55)*T390+Summary!$B$55*V390</f>
        <v/>
      </c>
      <c r="P390">
        <f>IF(B410=0,0,O390/B410)</f>
        <v/>
      </c>
      <c r="Q390">
        <f>IFERROR(1/IF(Inputs!$B$39="pvp",15,MAX(0.1,Skills!D19-IF(Skills!E19=TRUE,Inputs!$B$33,0))),0)</f>
        <v/>
      </c>
      <c r="R390">
        <f>IF(AND(Inputs!$B$39&lt;&gt;"pvp",Inputs!$B$44&gt;0),IF(Inputs!$B$44&lt;=0,0,(INT(Inputs!$B$44/IF(Inputs!$B$39="pvp",15,MAX(0.1,Skills!D19-IF(Skills!E19=TRUE,Inputs!$B$33,0))))+1)),0)</f>
        <v/>
      </c>
      <c r="S390">
        <f>IFERROR(O390/N390,0)</f>
        <v/>
      </c>
      <c r="T390" t="n">
        <v>0</v>
      </c>
      <c r="V390" t="n">
        <v>0</v>
      </c>
    </row>
    <row r="391">
      <c r="A391">
        <f>Skills!A20</f>
        <v/>
      </c>
      <c r="B391">
        <f>Skills!B20</f>
        <v/>
      </c>
      <c r="C391">
        <f>TRUE</f>
        <v/>
      </c>
      <c r="D391">
        <f>IF(Skills!C20=1,60+Inputs!$B$26+Inputs!$B$30,IF(Skills!C20=2,90+Inputs!$B$27+Inputs!$B$30,IF(Skills!C20=3,120+Inputs!$B$28+Inputs!$B$30,MAX(0,(Inputs!$B$3-100)*3)+Inputs!$B$29+Inputs!$B$30)))</f>
        <v/>
      </c>
      <c r="E391">
        <f>INDEX(FactorTable!$B$2:$Y$301, MATCH(ROUND(MIN(300,MAX(1,D391)),0), FactorTable!$A$2:$A$301,0), Skills!M20+1)</f>
        <v/>
      </c>
      <c r="F391">
        <f>IF(Skills!N20=TRUE,(Skills!L20/10)*(E391/1000),Skills!L20/10)+Skills!O20</f>
        <v/>
      </c>
      <c r="G391">
        <f>Skills!G20*IF(Skills!H20&gt;0,Skills!I20/Skills!H20,1)</f>
        <v/>
      </c>
      <c r="H391">
        <f>1-(1-Skills!J20/100)^Skills!K20</f>
        <v/>
      </c>
      <c r="I391" t="inlineStr">
        <is>
          <t>1</t>
        </is>
      </c>
      <c r="J391" t="inlineStr"/>
      <c r="K391" t="inlineStr"/>
      <c r="L391" t="inlineStr"/>
      <c r="M391" t="inlineStr"/>
      <c r="N391" t="inlineStr"/>
      <c r="O391">
        <f>(1-Summary!$B$55)*T391+Summary!$B$55*V391</f>
        <v/>
      </c>
      <c r="P391">
        <f>IF(B410=0,0,O391/B410)</f>
        <v/>
      </c>
      <c r="Q391">
        <f>IFERROR(1/IF(Inputs!$B$39="pvp",15,MAX(0.1,Skills!D20-IF(Skills!E20=TRUE,Inputs!$B$33,0))),0)</f>
        <v/>
      </c>
      <c r="R391">
        <f>IF(AND(Inputs!$B$39&lt;&gt;"pvp",Inputs!$B$44&gt;0),IF(Inputs!$B$44&lt;=0,0,(INT(Inputs!$B$44/IF(Inputs!$B$39="pvp",15,MAX(0.1,Skills!D20-IF(Skills!E20=TRUE,Inputs!$B$33,0))))+1)),0)</f>
        <v/>
      </c>
      <c r="S391">
        <f>IFERROR(O391/N391,0)</f>
        <v/>
      </c>
      <c r="T391" t="n">
        <v>0</v>
      </c>
      <c r="V391" t="n">
        <v>0</v>
      </c>
    </row>
    <row r="392">
      <c r="A392">
        <f>Skills!A21</f>
        <v/>
      </c>
      <c r="B392">
        <f>Skills!B21</f>
        <v/>
      </c>
      <c r="C392">
        <f>Inputs!$B$3&gt;=33</f>
        <v/>
      </c>
      <c r="D392">
        <f>IF(Skills!C21=1,60+Inputs!$B$26+Inputs!$B$30,IF(Skills!C21=2,90+Inputs!$B$27+Inputs!$B$30,IF(Skills!C21=3,120+Inputs!$B$28+Inputs!$B$30,MAX(0,(Inputs!$B$3-100)*3)+Inputs!$B$29+Inputs!$B$30)))</f>
        <v/>
      </c>
      <c r="E392">
        <f>INDEX(FactorTable!$B$2:$Y$301, MATCH(ROUND(MIN(300,MAX(1,D392)),0), FactorTable!$A$2:$A$301,0), Skills!M21+1)</f>
        <v/>
      </c>
      <c r="F392">
        <f>IF(Skills!N21=TRUE,(Skills!L21/10)*(E392/1000),Skills!L21/10)+Skills!O21</f>
        <v/>
      </c>
      <c r="G392">
        <f>Skills!G21*IF(Skills!H21&gt;0,Skills!I21/Skills!H21,1)</f>
        <v/>
      </c>
      <c r="H392">
        <f>1-(1-Skills!J21/100)^Skills!K21</f>
        <v/>
      </c>
      <c r="I392" t="inlineStr">
        <is>
          <t>1</t>
        </is>
      </c>
      <c r="J392" t="inlineStr"/>
      <c r="K392" t="inlineStr"/>
      <c r="L392" t="inlineStr"/>
      <c r="M392" t="inlineStr"/>
      <c r="N392" t="inlineStr"/>
      <c r="O392">
        <f>(1-Summary!$B$55)*T392+Summary!$B$55*V392</f>
        <v/>
      </c>
      <c r="P392">
        <f>IF(B410=0,0,O392/B410)</f>
        <v/>
      </c>
      <c r="Q392" t="n">
        <v>0</v>
      </c>
      <c r="R392" t="n">
        <v>0</v>
      </c>
      <c r="S392">
        <f>IFERROR(O392/N392,0)</f>
        <v/>
      </c>
      <c r="T392" t="n">
        <v>0</v>
      </c>
      <c r="V392" t="n">
        <v>0</v>
      </c>
    </row>
    <row r="393">
      <c r="A393">
        <f>Skills!A22</f>
        <v/>
      </c>
      <c r="B393">
        <f>Skills!B22</f>
        <v/>
      </c>
      <c r="C393">
        <f>Inputs!$B$3&gt;=43</f>
        <v/>
      </c>
      <c r="D393">
        <f>IF(Skills!C22=1,60+Inputs!$B$26+Inputs!$B$30,IF(Skills!C22=2,90+Inputs!$B$27+Inputs!$B$30,IF(Skills!C22=3,120+Inputs!$B$28+Inputs!$B$30,MAX(0,(Inputs!$B$3-100)*3)+Inputs!$B$29+Inputs!$B$30)))</f>
        <v/>
      </c>
      <c r="E393">
        <f>INDEX(FactorTable!$B$2:$Y$301, MATCH(ROUND(MIN(300,MAX(1,D393)),0), FactorTable!$A$2:$A$301,0), Skills!M22+1)</f>
        <v/>
      </c>
      <c r="F393">
        <f>IF(Skills!N22=TRUE,(Skills!L22/10)*(E393/1000),Skills!L22/10)+Skills!O22</f>
        <v/>
      </c>
      <c r="G393">
        <f>Skills!G22*IF(Skills!H22&gt;0,Skills!I22/Skills!H22,1)</f>
        <v/>
      </c>
      <c r="H393">
        <f>1-(1-Skills!J22/100)^Skills!K22</f>
        <v/>
      </c>
      <c r="I393" t="inlineStr">
        <is>
          <t>1</t>
        </is>
      </c>
      <c r="J393" t="inlineStr"/>
      <c r="K393" t="inlineStr"/>
      <c r="L393" t="inlineStr"/>
      <c r="M393" t="inlineStr"/>
      <c r="N393" t="inlineStr"/>
      <c r="O393">
        <f>(1-Summary!$B$55)*T393+Summary!$B$55*V393</f>
        <v/>
      </c>
      <c r="P393">
        <f>IF(B410=0,0,O393/B410)</f>
        <v/>
      </c>
      <c r="Q393" t="n">
        <v>0</v>
      </c>
      <c r="R393" t="n">
        <v>0</v>
      </c>
      <c r="S393">
        <f>IFERROR(O393/N393,0)</f>
        <v/>
      </c>
      <c r="T393" t="n">
        <v>0</v>
      </c>
      <c r="V393" t="n">
        <v>0</v>
      </c>
    </row>
    <row r="394">
      <c r="A394">
        <f>Skills!A23</f>
        <v/>
      </c>
      <c r="B394">
        <f>Skills!B23</f>
        <v/>
      </c>
      <c r="C394">
        <f>Inputs!$B$3&gt;=120</f>
        <v/>
      </c>
      <c r="D394">
        <f>IF(Skills!C23=1,60+Inputs!$B$26+Inputs!$B$30,IF(Skills!C23=2,90+Inputs!$B$27+Inputs!$B$30,IF(Skills!C23=3,120+Inputs!$B$28+Inputs!$B$30,MAX(0,(Inputs!$B$3-100)*3)+Inputs!$B$29+Inputs!$B$30)))</f>
        <v/>
      </c>
      <c r="E394">
        <f>INDEX(FactorTable!$B$2:$Y$301, MATCH(ROUND(MIN(300,MAX(1,D394)),0), FactorTable!$A$2:$A$301,0), Skills!M23+1)</f>
        <v/>
      </c>
      <c r="F394">
        <f>IF(Skills!N23=TRUE,(Skills!L23/10)*(E394/1000),Skills!L23/10)+Skills!O23</f>
        <v/>
      </c>
      <c r="G394">
        <f>Skills!G23*IF(Skills!H23&gt;0,Skills!I23/Skills!H23,1)</f>
        <v/>
      </c>
      <c r="H394">
        <f>1-(1-Skills!J23/100)^Skills!K23</f>
        <v/>
      </c>
      <c r="I394" t="inlineStr">
        <is>
          <t>1</t>
        </is>
      </c>
      <c r="J394" t="inlineStr"/>
      <c r="K394" t="inlineStr"/>
      <c r="L394" t="inlineStr"/>
      <c r="M394" t="inlineStr"/>
      <c r="N394" t="inlineStr"/>
      <c r="O394">
        <f>(1-Summary!$B$55)*T394+Summary!$B$55*V394</f>
        <v/>
      </c>
      <c r="P394">
        <f>IF(B410=0,0,O394/B410)</f>
        <v/>
      </c>
      <c r="Q394" t="n">
        <v>0</v>
      </c>
      <c r="R394" t="n">
        <v>0</v>
      </c>
      <c r="S394">
        <f>IFERROR(O394/N394,0)</f>
        <v/>
      </c>
      <c r="T394" t="n">
        <v>0</v>
      </c>
      <c r="V394" t="n">
        <v>0</v>
      </c>
    </row>
    <row r="395">
      <c r="A395">
        <f>Skills!A24</f>
        <v/>
      </c>
      <c r="B395">
        <f>Skills!B24</f>
        <v/>
      </c>
      <c r="C395">
        <f>Inputs!$B$3&gt;=120</f>
        <v/>
      </c>
      <c r="D395">
        <f>IF(Skills!C24=1,60+Inputs!$B$26+Inputs!$B$30,IF(Skills!C24=2,90+Inputs!$B$27+Inputs!$B$30,IF(Skills!C24=3,120+Inputs!$B$28+Inputs!$B$30,MAX(0,(Inputs!$B$3-100)*3)+Inputs!$B$29+Inputs!$B$30)))</f>
        <v/>
      </c>
      <c r="E395">
        <f>INDEX(FactorTable!$B$2:$Y$301, MATCH(ROUND(MIN(300,MAX(1,D395)),0), FactorTable!$A$2:$A$301,0), Skills!M24+1)</f>
        <v/>
      </c>
      <c r="F395">
        <f>IF(Skills!N24=TRUE,(Skills!L24/10)*(E395/1000),Skills!L24/10)+Skills!O24</f>
        <v/>
      </c>
      <c r="G395">
        <f>Skills!G24*IF(Skills!H24&gt;0,Skills!I24/Skills!H24,1)</f>
        <v/>
      </c>
      <c r="H395">
        <f>1-(1-Skills!J24/100)^Skills!K24</f>
        <v/>
      </c>
      <c r="I395" t="inlineStr">
        <is>
          <t>1</t>
        </is>
      </c>
      <c r="J395" t="inlineStr"/>
      <c r="K395" t="inlineStr"/>
      <c r="L395" t="inlineStr"/>
      <c r="M395" t="inlineStr"/>
      <c r="N395" t="inlineStr"/>
      <c r="O395">
        <f>(1-Summary!$B$55)*T395+Summary!$B$55*V395</f>
        <v/>
      </c>
      <c r="P395">
        <f>IF(B410=0,0,O395/B410)</f>
        <v/>
      </c>
      <c r="Q395" t="n">
        <v>0</v>
      </c>
      <c r="R395" t="n">
        <v>0</v>
      </c>
      <c r="S395">
        <f>IFERROR(O395/N395,0)</f>
        <v/>
      </c>
      <c r="T395" t="n">
        <v>0</v>
      </c>
      <c r="V395" t="n">
        <v>0</v>
      </c>
    </row>
    <row r="396">
      <c r="A396">
        <f>Skills!A25</f>
        <v/>
      </c>
      <c r="B396">
        <f>Skills!B25</f>
        <v/>
      </c>
      <c r="C396">
        <f>Inputs!$B$3&gt;=125</f>
        <v/>
      </c>
      <c r="D396">
        <f>IF(Skills!C25=1,60+Inputs!$B$26+Inputs!$B$30,IF(Skills!C25=2,90+Inputs!$B$27+Inputs!$B$30,IF(Skills!C25=3,120+Inputs!$B$28+Inputs!$B$30,MAX(0,(Inputs!$B$3-100)*3)+Inputs!$B$29+Inputs!$B$30)))</f>
        <v/>
      </c>
      <c r="E396">
        <f>INDEX(FactorTable!$B$2:$Y$301, MATCH(ROUND(MIN(300,MAX(1,D396)),0), FactorTable!$A$2:$A$301,0), Skills!M25+1)</f>
        <v/>
      </c>
      <c r="F396">
        <f>IF(Skills!N25=TRUE,(Skills!L25/10)*(E396/1000),Skills!L25/10)+Skills!O25</f>
        <v/>
      </c>
      <c r="G396">
        <f>Skills!G25*IF(Skills!H25&gt;0,Skills!I25/Skills!H25,1)</f>
        <v/>
      </c>
      <c r="H396">
        <f>1-(1-Skills!J25/100)^Skills!K25</f>
        <v/>
      </c>
      <c r="I396" t="inlineStr">
        <is>
          <t>1</t>
        </is>
      </c>
      <c r="J396" t="inlineStr"/>
      <c r="K396" t="inlineStr"/>
      <c r="L396" t="inlineStr"/>
      <c r="M396" t="inlineStr"/>
      <c r="N396" t="inlineStr"/>
      <c r="O396">
        <f>(1-Summary!$B$55)*T396+Summary!$B$55*V396</f>
        <v/>
      </c>
      <c r="P396">
        <f>IF(B410=0,0,O396/B410)</f>
        <v/>
      </c>
      <c r="Q396" t="n">
        <v>0</v>
      </c>
      <c r="R396" t="n">
        <v>0</v>
      </c>
      <c r="S396">
        <f>IFERROR(O396/N396,0)</f>
        <v/>
      </c>
      <c r="T396" t="n">
        <v>0</v>
      </c>
      <c r="V396" t="n">
        <v>0</v>
      </c>
    </row>
    <row r="397">
      <c r="A397">
        <f>Skills!A26</f>
        <v/>
      </c>
      <c r="B397">
        <f>Skills!B26</f>
        <v/>
      </c>
      <c r="C397">
        <f>Inputs!$B$3&gt;=107</f>
        <v/>
      </c>
      <c r="D397">
        <f>IF(Skills!C26=1,60+Inputs!$B$26+Inputs!$B$30,IF(Skills!C26=2,90+Inputs!$B$27+Inputs!$B$30,IF(Skills!C26=3,120+Inputs!$B$28+Inputs!$B$30,MAX(0,(Inputs!$B$3-100)*3)+Inputs!$B$29+Inputs!$B$30)))</f>
        <v/>
      </c>
      <c r="E397">
        <f>INDEX(FactorTable!$B$2:$Y$301, MATCH(ROUND(MIN(300,MAX(1,D397)),0), FactorTable!$A$2:$A$301,0), Skills!M26+1)</f>
        <v/>
      </c>
      <c r="F397">
        <f>IF(Skills!N26=TRUE,(Skills!L26/10)*(E397/1000),Skills!L26/10)+Skills!O26</f>
        <v/>
      </c>
      <c r="G397">
        <f>Skills!G26*IF(Skills!H26&gt;0,Skills!I26/Skills!H26,1)</f>
        <v/>
      </c>
      <c r="H397">
        <f>1-(1-Skills!J26/100)^Skills!K26</f>
        <v/>
      </c>
      <c r="I397" t="inlineStr">
        <is>
          <t>1</t>
        </is>
      </c>
      <c r="J397" t="inlineStr"/>
      <c r="K397" t="inlineStr"/>
      <c r="L397" t="inlineStr"/>
      <c r="M397" t="inlineStr"/>
      <c r="N397" t="inlineStr"/>
      <c r="O397">
        <f>(1-Summary!$B$55)*T397+Summary!$B$55*V397</f>
        <v/>
      </c>
      <c r="P397">
        <f>IF(B410=0,0,O397/B410)</f>
        <v/>
      </c>
      <c r="Q397" t="n">
        <v>0</v>
      </c>
      <c r="R397" t="n">
        <v>0</v>
      </c>
      <c r="S397">
        <f>IFERROR(O397/N397,0)</f>
        <v/>
      </c>
      <c r="T397" t="n">
        <v>0</v>
      </c>
      <c r="V397" t="n">
        <v>0</v>
      </c>
    </row>
    <row r="399">
      <c r="A399" t="inlineStr">
        <is>
          <t>Attack% Bucket Multiplier</t>
        </is>
      </c>
      <c r="B399">
        <f>(1+(((C384=TRUE)*F384*IF(AND(Inputs!$B$39&lt;&gt;"pvp",Inputs!$B$44&gt;0),(((R384-1)*(Skills!T13*(1+Inputs!$B$35/100))+MIN((Skills!T13*(1+Inputs!$B$35/100)),MAX(0,Inputs!$B$44-((R384-1)*Skills!D13))))/Inputs!$B$44),IF(Inputs!$B$39="pvp",MIN((Skills!T13*(1+Inputs!$B$35/100)),15)/15,(Skills!T13*(1+Inputs!$B$35/100))/Skills!D13)))+((C385=TRUE)*F385*IF(AND(Inputs!$B$39&lt;&gt;"pvp",Inputs!$B$44&gt;0),(((R385-1)*(Skills!T14*(1+Inputs!$B$35/100))+MIN((Skills!T14*(1+Inputs!$B$35/100)),MAX(0,Inputs!$B$44-((R385-1)*Skills!D14))))/Inputs!$B$44),IF(Inputs!$B$39="pvp",MIN((Skills!T14*(1+Inputs!$B$35/100)),15)/15,(Skills!T14*(1+Inputs!$B$35/100))/Skills!D14)))+((C386=TRUE)*F386*IF(AND(Inputs!$B$39&lt;&gt;"pvp",Inputs!$B$44&gt;0),(((R386-1)*(Skills!T15*(1+Inputs!$B$35/100))+MIN((Skills!T15*(1+Inputs!$B$35/100)),MAX(0,Inputs!$B$44-((R386-1)*Skills!D15))))/Inputs!$B$44),IF(Inputs!$B$39="pvp",MIN((Skills!T15*(1+Inputs!$B$35/100)),15)/15,(Skills!T15*(1+Inputs!$B$35/100))/Skills!D15)))+((C387=TRUE)*F387*IF(AND(Inputs!$B$39&lt;&gt;"pvp",Inputs!$B$44&gt;0),(((R387-1)*(Skills!T16*(1+Inputs!$B$35/100))+MIN((Skills!T16*(1+Inputs!$B$35/100)),MAX(0,Inputs!$B$44-((R387-1)*Skills!D16))))/Inputs!$B$44),IF(Inputs!$B$39="pvp",MIN((Skills!T16*(1+Inputs!$B$35/100)),15)/15,(Skills!T16*(1+Inputs!$B$35/100))/Skills!D16)))+0)/100)</f>
        <v/>
      </c>
    </row>
    <row r="400">
      <c r="A400" t="inlineStr">
        <is>
          <t>Global Crit Rate Bonus % (Lord of Darkness)</t>
        </is>
      </c>
      <c r="B400">
        <f>((C389=TRUE)*F389*(Skills!J18/100)*IF(AND(Inputs!$B$39&lt;&gt;"pvp",Inputs!$B$44&gt;0),(((R389-1)*(Skills!T18*(1+Inputs!$B$35/100))+MIN((Skills!T18*(1+Inputs!$B$35/100)),MAX(0,Inputs!$B$44-((R389-1)*Skills!D18))))/Inputs!$B$44),IF(Inputs!$B$39="pvp",MIN((Skills!T18*(1+Inputs!$B$35/100)),15)/15,(Skills!T18*(1+Inputs!$B$35/100))/Skills!D18)))</f>
        <v/>
      </c>
    </row>
    <row r="401">
      <c r="A401" t="inlineStr">
        <is>
          <t>Attack Speed Buff Bonus %</t>
        </is>
      </c>
      <c r="B401">
        <f>((C391=TRUE)*F391*IF(AND(Inputs!$B$39&lt;&gt;"pvp",Inputs!$B$44&gt;0),(((R391-1)*(Skills!T20*(1+Inputs!$B$35/100))+MIN((Skills!T20*(1+Inputs!$B$35/100)),MAX(0,Inputs!$B$44-((R391-1)*Skills!D20))))/Inputs!$B$44),IF(Inputs!$B$39="pvp",MIN((Skills!T20*(1+Inputs!$B$35/100)),15)/15,(Skills!T20*(1+Inputs!$B$35/100))/Skills!D20)))</f>
        <v/>
      </c>
    </row>
    <row r="402">
      <c r="A402" t="inlineStr">
        <is>
          <t>Actions Per Second</t>
        </is>
      </c>
      <c r="B402">
        <f>1+MIN(150,150*(1-(1-(Inputs!$B$12+((C392=TRUE)*(F392-Calc!F21)))/150)*(1-B401/150)))/100</f>
        <v/>
      </c>
    </row>
    <row r="403">
      <c r="A403" t="inlineStr">
        <is>
          <t>Skill + Buff Cast Rate</t>
        </is>
      </c>
      <c r="B403">
        <f>IF(AND(Inputs!$B$39&lt;&gt;"pvp",Inputs!$B$44&gt;0),SUMPRODUCT((Skills!E2:E26=TRUE)*(C373:C397=TRUE)*R373:R397*Skills!F2:F26)/Inputs!$B$44,SUMPRODUCT((Skills!E2:E26=TRUE)*(C373:C397=TRUE)*Q373:Q397*Skills!F2:F26))</f>
        <v/>
      </c>
    </row>
    <row r="404">
      <c r="A404" t="inlineStr">
        <is>
          <t>Dark Impale Casts Per Second</t>
        </is>
      </c>
      <c r="B404">
        <f>MAX(0,B402-B403)</f>
        <v/>
      </c>
    </row>
    <row r="405">
      <c r="A405" t="inlineStr">
        <is>
          <t>Global Critical Damage Bonus % (Lord of Darkness)</t>
        </is>
      </c>
      <c r="B405">
        <f>((C390=TRUE)*F390*(Skills!J19/100)*IF(AND(Inputs!$B$39&lt;&gt;"pvp",Inputs!$B$44&gt;0),(((R390-1)*(Skills!T19*(1+Inputs!$B$35/100))+MIN((Skills!T19*(1+Inputs!$B$35/100)),MAX(0,Inputs!$B$44-((R390-1)*Skills!D19))))/Inputs!$B$44),IF(Inputs!$B$39="pvp",MIN((Skills!T19*(1+Inputs!$B$35/100)),15)/15,(Skills!T19*(1+Inputs!$B$35/100))/Skills!D19)))</f>
        <v/>
      </c>
    </row>
    <row r="406">
      <c r="A406" t="inlineStr">
        <is>
          <t>Global Final Damage Bonus % (unused)</t>
        </is>
      </c>
      <c r="B406" t="n">
        <v>0</v>
      </c>
    </row>
    <row r="407">
      <c r="A407" t="inlineStr">
        <is>
          <t>Buff-Casting Startup Delay (s, fixed-duration only)</t>
        </is>
      </c>
      <c r="B407">
        <f>IF(AND(Inputs!$B$39&lt;&gt;"pvp",Inputs!$B$44&gt;0),SUMPRODUCT((Skills!T2:T26&gt;0)*(Skills!E2:E26=TRUE)*(C373:C397=TRUE))/B402,0)</f>
        <v/>
      </c>
    </row>
    <row r="408">
      <c r="A408" t="inlineStr">
        <is>
          <t>Boss-Only Total DPS (this block's swept value)</t>
        </is>
      </c>
      <c r="B408">
        <f>SUM(T373:T397)</f>
        <v/>
      </c>
    </row>
    <row r="409">
      <c r="A409" t="inlineStr">
        <is>
          <t>Normal-Only Total DPS (this block's swept value)</t>
        </is>
      </c>
      <c r="B409">
        <f>SUM(V373:V397)</f>
        <v/>
      </c>
    </row>
    <row r="410">
      <c r="A410" s="5" t="inlineStr">
        <is>
          <t>TOTAL DPS</t>
        </is>
      </c>
      <c r="B410" s="5">
        <f>SUM(O373:O397)</f>
        <v/>
      </c>
    </row>
    <row r="413">
      <c r="A413" s="5" t="inlineStr">
        <is>
          <t>Stat: FINAL_DAMAGE % (multiplicative source)</t>
        </is>
      </c>
    </row>
    <row r="414">
      <c r="A414" s="9" t="inlineStr">
        <is>
          <t>Key</t>
        </is>
      </c>
      <c r="B414" s="9" t="inlineStr">
        <is>
          <t>Name</t>
        </is>
      </c>
      <c r="C414" s="9" t="inlineStr">
        <is>
          <t>Unlocked</t>
        </is>
      </c>
      <c r="D414" s="9" t="inlineStr">
        <is>
          <t>InputLevel</t>
        </is>
      </c>
      <c r="E414" s="9" t="inlineStr">
        <is>
          <t>Factor</t>
        </is>
      </c>
      <c r="F414" s="9" t="inlineStr">
        <is>
          <t>CoefficientPercent</t>
        </is>
      </c>
      <c r="G414" s="9" t="inlineStr">
        <is>
          <t>EffectiveHits</t>
        </is>
      </c>
      <c r="H414" s="9" t="inlineStr">
        <is>
          <t>ProcProbability</t>
        </is>
      </c>
      <c r="I414" s="9" t="inlineStr">
        <is>
          <t>MapleHeroMultiplier</t>
        </is>
      </c>
      <c r="J414" s="9" t="inlineStr">
        <is>
          <t>BaseDamage</t>
        </is>
      </c>
      <c r="K414" s="9" t="inlineStr">
        <is>
          <t>BaseHitDamage</t>
        </is>
      </c>
      <c r="L414" s="9" t="inlineStr">
        <is>
          <t>NonCritAvg</t>
        </is>
      </c>
      <c r="M414" s="9" t="inlineStr">
        <is>
          <t>CritAvg</t>
        </is>
      </c>
      <c r="N414" s="9" t="inlineStr">
        <is>
          <t>ExpectedDamage(perHit)</t>
        </is>
      </c>
      <c r="O414" s="9" t="inlineStr">
        <is>
          <t>DPS</t>
        </is>
      </c>
      <c r="P414" s="9" t="inlineStr">
        <is>
          <t>% of Total</t>
        </is>
      </c>
      <c r="Q414" s="9" t="inlineStr">
        <is>
          <t>InvCooldown</t>
        </is>
      </c>
      <c r="R414" s="9" t="inlineStr">
        <is>
          <t>CastsInFight</t>
        </is>
      </c>
      <c r="S414" s="9"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((Inputs!$B$6*(1+Inputs!$B$7/100))+(((Inputs!$B$13*(1+Inputs!$B$14/100))-(Inputs!$B$13*(1+Inputs!$B$14/100)))+0.25*(Inputs!$B$15-Inputs!$B$15))*(1+Inputs!$B$7/100))*(F415/100)</f>
        <v/>
      </c>
      <c r="K415">
        <f>J415*(1+(((Inputs!$B$13+IF(Inputs!$B$3&gt;=38,(10*INDEX(FactorTable!$B$2:$Y$301, MATCH(ROUND(MIN(300,MAX(1,Inputs!$B$3)),0), FactorTable!$A$2:$A$301,0), 23)/1000)/100*(Inputs!$B$8*(1+Inputs!$B$9/100)),0))*(1+Inputs!$B$14/100))*0.01+Inputs!$B$15*0.0025)/100)*(1+Inputs!$B$16/100)*(1+Inputs!$B$17/100)*(5000/(6000+Inputs!$B$43*(1-(Inputs!$B$20+0)/100)))*(1+(((((1+Inputs!$B$25/100)*(1.01))-1)*100)+((C438=TRUE)*(F438-Calc!F25))+((C439=TRUE)*(F439-Calc!F26))+B448)/100)*(1+(IF(Skills!A2="DARK_IMPALE",Inputs!$B$18+0,Inputs!$B$19+((C436=TRUE)*(F436-Calc!F23))))/100)*((1+(((C426=TRUE)*F426*IF(AND(Inputs!$B$39&lt;&gt;"pvp",Inputs!$B$44&gt;0),(((R426-1)*(Skills!T13*(1+Inputs!$B$35/100))+MIN((Skills!T13*(1+Inputs!$B$35/100)),MAX(0,Inputs!$B$44-((R426-1)*Skills!D13))))/Inputs!$B$44),IF(Inputs!$B$39="pvp",MIN((Skills!T13*(1+Inputs!$B$35/100)),15)/15,(Skills!T13*(1+Inputs!$B$35/100))/Skills!D13)))+((C427=TRUE)*F427*IF(AND(Inputs!$B$39&lt;&gt;"pvp",Inputs!$B$44&gt;0),(((R427-1)*(Skills!T14*(1+Inputs!$B$35/100))+MIN((Skills!T14*(1+Inputs!$B$35/100)),MAX(0,Inputs!$B$44-((R427-1)*Skills!D14))))/Inputs!$B$44),IF(Inputs!$B$39="pvp",MIN((Skills!T14*(1+Inputs!$B$35/100)),15)/15,(Skills!T14*(1+Inputs!$B$35/100))/Skills!D14)))+((C428=TRUE)*F428*IF(AND(Inputs!$B$39&lt;&gt;"pvp",Inputs!$B$44&gt;0),(((R428-1)*(Skills!T15*(1+Inputs!$B$35/100))+MIN((Skills!T15*(1+Inputs!$B$35/100)),MAX(0,Inputs!$B$44-((R428-1)*Skills!D15))))/Inputs!$B$44),IF(Inputs!$B$39="pvp",MIN((Skills!T15*(1+Inputs!$B$35/100)),15)/15,(Skills!T15*(1+Inputs!$B$35/100))/Skills!D15)))+((C429=TRUE)*F429*IF(AND(Inputs!$B$39&lt;&gt;"pvp",Inputs!$B$44&gt;0),(((R429-1)*(Skills!T16*(1+Inputs!$B$35/100))+MIN((Skills!T16*(1+Inputs!$B$35/100)),MAX(0,Inputs!$B$44-((R429-1)*Skills!D16))))/Inputs!$B$44),IF(Inputs!$B$39="pvp",MIN((Skills!T16*(1+Inputs!$B$35/100)),15)/15,(Skills!T16*(1+Inputs!$B$35/100))/Skills!D16)))+0)/100)*I415)</f>
        <v/>
      </c>
      <c r="L415">
        <f>K415*(MIN(Inputs!$B$23+((C435=TRUE)*(F435-Calc!F22)),Inputs!$B$24+((C437=TRUE)*(F437-Calc!F24)))/100+(Inputs!$B$24+((C437=TRUE)*(F437-Calc!F24)))/100)/2</f>
        <v/>
      </c>
      <c r="M415">
        <f>L415*(1+(Inputs!$B$11+0+B447)/100)</f>
        <v/>
      </c>
      <c r="N415">
        <f>L415*(1-MIN((Inputs!$B$10+0+B442),100)/100)+M415*(MIN((Inputs!$B$10+0+B442),100)/100)</f>
        <v/>
      </c>
      <c r="O415">
        <f>(1-Summary!$B$55)*T415+Summary!$B$55*V415</f>
        <v/>
      </c>
      <c r="P415">
        <f>IF(B452=0,0,O415/B452)</f>
        <v/>
      </c>
      <c r="Q415" t="n">
        <v>0</v>
      </c>
      <c r="R415" t="n">
        <v>0</v>
      </c>
      <c r="S415">
        <f>IFERROR(O415/N415,0)</f>
        <v/>
      </c>
      <c r="T415">
        <f>IF(C415,(Skills!G2*N415*B446)*IF(Inputs!$B$39="pvp",1,1+(Inputs!$B$21+0+Skills!P2+((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0)</f>
        <v/>
      </c>
      <c r="U415">
        <f>MAX(0,(Inputs!$B$3-100)*3)+Inputs!$B$29+Inputs!$B$30</f>
        <v/>
      </c>
      <c r="V415">
        <f>IF(C415,(Skills!G2*N415*B446)*IF(Inputs!$B$39="pvp",1,(1+(Inputs!$B$22+Skills!Q2+((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MIN((6+Inputs!$B$34),Inputs!$B$38))),0)</f>
        <v/>
      </c>
    </row>
    <row r="416">
      <c r="A416">
        <f>Skills!A3</f>
        <v/>
      </c>
      <c r="B416">
        <f>Skills!B3</f>
        <v/>
      </c>
      <c r="C416">
        <f>Inputs!$B$3&gt;=50</f>
        <v/>
      </c>
      <c r="D416">
        <f>IF(Skills!C3=1,60+Inputs!$B$26+Inputs!$B$30,IF(Skills!C3=2,90+Inputs!$B$27+Inputs!$B$30,IF(Skills!C3=3,120+Inputs!$B$28+Inputs!$B$30,MAX(0,(Inputs!$B$3-100)*3)+Inputs!$B$29+Inputs!$B$30)))</f>
        <v/>
      </c>
      <c r="E416">
        <f>INDEX(FactorTable!$B$2:$Y$301, MATCH(ROUND(MIN(300,MAX(1,D416)),0), FactorTable!$A$2:$A$301,0), Skills!M3+1)</f>
        <v/>
      </c>
      <c r="F416">
        <f>IF(Skills!N3=TRUE,(Skills!L3/10)*(E416/1000),Skills!L3/10)+Skills!O3</f>
        <v/>
      </c>
      <c r="G416" t="inlineStr"/>
      <c r="H416" t="inlineStr"/>
      <c r="I416" t="inlineStr">
        <is>
          <t>1</t>
        </is>
      </c>
      <c r="J416" t="inlineStr"/>
      <c r="K416" t="inlineStr"/>
      <c r="L416" t="inlineStr"/>
      <c r="M416" t="inlineStr"/>
      <c r="N416" t="inlineStr"/>
      <c r="O416" t="inlineStr"/>
      <c r="P416" t="inlineStr"/>
      <c r="Q416" t="inlineStr"/>
      <c r="R416" t="inlineStr"/>
      <c r="S416" t="inlineStr"/>
      <c r="U416">
        <f>INDEX(FactorTable!$B$2:$Y$301, MATCH(ROUND(MIN(300,MAX(1,U415)),0), FactorTable!$A$2:$A$301,0), 22)</f>
        <v/>
      </c>
    </row>
    <row r="417">
      <c r="A417">
        <f>Skills!A4</f>
        <v/>
      </c>
      <c r="B417">
        <f>Skills!B4</f>
        <v/>
      </c>
      <c r="C417">
        <f>Inputs!$B$3&gt;=105</f>
        <v/>
      </c>
      <c r="D417">
        <f>IF(Skills!C4=1,60+Inputs!$B$26+Inputs!$B$30,IF(Skills!C4=2,90+Inputs!$B$27+Inputs!$B$30,IF(Skills!C4=3,120+Inputs!$B$28+Inputs!$B$30,MAX(0,(Inputs!$B$3-100)*3)+Inputs!$B$29+Inputs!$B$30)))</f>
        <v/>
      </c>
      <c r="E417">
        <f>INDEX(FactorTable!$B$2:$Y$301, MATCH(ROUND(MIN(300,MAX(1,D417)),0), FactorTable!$A$2:$A$301,0), Skills!M4+1)</f>
        <v/>
      </c>
      <c r="F417">
        <f>IF(Skills!N4=TRUE,(Skills!L4/10)*(E417/1000),Skills!L4/10)+Skills!O4</f>
        <v/>
      </c>
      <c r="G417" t="inlineStr"/>
      <c r="H417" t="inlineStr"/>
      <c r="I417" t="inlineStr">
        <is>
          <t>1</t>
        </is>
      </c>
      <c r="J417" t="inlineStr"/>
      <c r="K417" t="inlineStr"/>
      <c r="L417" t="inlineStr"/>
      <c r="M417" t="inlineStr"/>
      <c r="N417" t="inlineStr"/>
      <c r="O417" t="inlineStr"/>
      <c r="P417" t="inlineStr"/>
      <c r="Q417" t="inlineStr"/>
      <c r="R417" t="inlineStr"/>
      <c r="S417" t="inlineStr"/>
      <c r="U417">
        <f>290*U416/1000</f>
        <v/>
      </c>
    </row>
    <row r="418">
      <c r="A418">
        <f>Skills!A5</f>
        <v/>
      </c>
      <c r="B418">
        <f>Skills!B5</f>
        <v/>
      </c>
      <c r="C418">
        <f>Inputs!$B$3&gt;=117</f>
        <v/>
      </c>
      <c r="D418">
        <f>IF(Skills!C5=1,60+Inputs!$B$26+Inputs!$B$30,IF(Skills!C5=2,90+Inputs!$B$27+Inputs!$B$30,IF(Skills!C5=3,120+Inputs!$B$28+Inputs!$B$30,MAX(0,(Inputs!$B$3-100)*3)+Inputs!$B$29+Inputs!$B$30)))</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f>((Inputs!$B$6*(1+Inputs!$B$7/100))+(((Inputs!$B$13*(1+Inputs!$B$14/100))-(Inputs!$B$13*(1+Inputs!$B$14/100)))+0.25*(Inputs!$B$15-Inputs!$B$15))*(1+Inputs!$B$7/100))*(F418/100)</f>
        <v/>
      </c>
      <c r="K418">
        <f>J418*(1+(((Inputs!$B$13+IF(Inputs!$B$3&gt;=38,(10*INDEX(FactorTable!$B$2:$Y$301, MATCH(ROUND(MIN(300,MAX(1,Inputs!$B$3)),0), FactorTable!$A$2:$A$301,0), 23)/1000)/100*(Inputs!$B$8*(1+Inputs!$B$9/100)),0))*(1+Inputs!$B$14/100))*0.01+Inputs!$B$15*0.0025)/100)*(1+Inputs!$B$16/100)*(1+Inputs!$B$17/100)*(5000/(6000+Inputs!$B$43*(1-(Inputs!$B$20+0)/100)))*(1+(((((1+Inputs!$B$25/100)*(1.01))-1)*100)+((C438=TRUE)*(F438-Calc!F25))+((C439=TRUE)*(F439-Calc!F26))+B448)/100)*(1+(IF(Skills!A5="DARK_IMPALE",Inputs!$B$18+0,Inputs!$B$19+((C436=TRUE)*(F436-Calc!F23))))/100)*((1+(((C426=TRUE)*F426*IF(AND(Inputs!$B$39&lt;&gt;"pvp",Inputs!$B$44&gt;0),(((R426-1)*(Skills!T13*(1+Inputs!$B$35/100))+MIN((Skills!T13*(1+Inputs!$B$35/100)),MAX(0,Inputs!$B$44-((R426-1)*Skills!D13))))/Inputs!$B$44),IF(Inputs!$B$39="pvp",MIN((Skills!T13*(1+Inputs!$B$35/100)),15)/15,(Skills!T13*(1+Inputs!$B$35/100))/Skills!D13)))+((C427=TRUE)*F427*IF(AND(Inputs!$B$39&lt;&gt;"pvp",Inputs!$B$44&gt;0),(((R427-1)*(Skills!T14*(1+Inputs!$B$35/100))+MIN((Skills!T14*(1+Inputs!$B$35/100)),MAX(0,Inputs!$B$44-((R427-1)*Skills!D14))))/Inputs!$B$44),IF(Inputs!$B$39="pvp",MIN((Skills!T14*(1+Inputs!$B$35/100)),15)/15,(Skills!T14*(1+Inputs!$B$35/100))/Skills!D14)))+((C428=TRUE)*F428*IF(AND(Inputs!$B$39&lt;&gt;"pvp",Inputs!$B$44&gt;0),(((R428-1)*(Skills!T15*(1+Inputs!$B$35/100))+MIN((Skills!T15*(1+Inputs!$B$35/100)),MAX(0,Inputs!$B$44-((R428-1)*Skills!D15))))/Inputs!$B$44),IF(Inputs!$B$39="pvp",MIN((Skills!T15*(1+Inputs!$B$35/100)),15)/15,(Skills!T15*(1+Inputs!$B$35/100))/Skills!D15)))+((C429=TRUE)*F429*IF(AND(Inputs!$B$39&lt;&gt;"pvp",Inputs!$B$44&gt;0),(((R429-1)*(Skills!T16*(1+Inputs!$B$35/100))+MIN((Skills!T16*(1+Inputs!$B$35/100)),MAX(0,Inputs!$B$44-((R429-1)*Skills!D16))))/Inputs!$B$44),IF(Inputs!$B$39="pvp",MIN((Skills!T16*(1+Inputs!$B$35/100)),15)/15,(Skills!T16*(1+Inputs!$B$35/100))/Skills!D16)))+0)/100)*I418)</f>
        <v/>
      </c>
      <c r="L418">
        <f>K418*(MIN(Inputs!$B$23+((C435=TRUE)*(F435-Calc!F22)),Inputs!$B$24+((C437=TRUE)*(F437-Calc!F24)))/100+(Inputs!$B$24+((C437=TRUE)*(F437-Calc!F24)))/100)/2</f>
        <v/>
      </c>
      <c r="M418">
        <f>L418*(1+(Inputs!$B$11+0+B447)/100)</f>
        <v/>
      </c>
      <c r="N418">
        <f>L418*(1-MIN((Inputs!$B$10+0+B442),100)/100)+M418*(MIN((Inputs!$B$10+0+B442),100)/100)</f>
        <v/>
      </c>
      <c r="O418">
        <f>(1-Summary!$B$55)*T418+Summary!$B$55*V418</f>
        <v/>
      </c>
      <c r="P418">
        <f>IF(B452=0,0,O418/B452)</f>
        <v/>
      </c>
      <c r="Q418">
        <f>IFERROR(1/IF(Inputs!$B$39="pvp",15,MAX(0.1,Skills!D5-IF(Skills!E5=TRUE,Inputs!$B$33,0))),0)</f>
        <v/>
      </c>
      <c r="R418">
        <f>IF(AND(Inputs!$B$39&lt;&gt;"pvp",Inputs!$B$44&gt;0),IF(MAX(0,Inputs!$B$44-B449)&lt;=0,0,(INT(MAX(0,Inputs!$B$44-B449)/IF(Inputs!$B$39="pvp",15,MAX(0.1,Skills!D5-IF(Skills!E5=TRUE,Inputs!$B$33,0))))+1)),0)</f>
        <v/>
      </c>
      <c r="S418">
        <f>IFERROR(O418/N418,0)</f>
        <v/>
      </c>
      <c r="T418">
        <f>IF(C418,(H418*N418*IF(AND(Inputs!$B$39&lt;&gt;"pvp",Inputs!$B$44&gt;0),((Skills!G5*((R418-1)*IF(Skills!H5&gt;0,Skills!I5/Skills!H5,1)+IF(Skills!H5&gt;0,MIN(Skills!I5,MAX(0,MAX(0,Inputs!$B$44-B449)-((R418-1)*IF(Inputs!$B$39="pvp",15,MAX(0.1,Skills!D5-IF(Skills!E5=TRUE,Inputs!$B$33,0))))))/Skills!H5,1)))/Inputs!$B$44),G418*Q418))*IF(Inputs!$B$39="pvp",1,1+(Inputs!$B$21+0+Skills!P5+((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0)</f>
        <v/>
      </c>
      <c r="V418">
        <f>IF(C418,(H418*N418*IF(AND(Inputs!$B$39&lt;&gt;"pvp",Inputs!$B$44&gt;0),((Skills!G5*((R418-1)*IF(Skills!H5&gt;0,Skills!I5/Skills!H5,1)+IF(Skills!H5&gt;0,MIN(Skills!I5,MAX(0,MAX(0,Inputs!$B$44-B449)-((R418-1)*IF(Inputs!$B$39="pvp",15,MAX(0.1,Skills!D5-IF(Skills!E5=TRUE,Inputs!$B$33,0))))))/Skills!H5,1)))/Inputs!$B$44),G418*Q418))*IF(Inputs!$B$39="pvp",1,(1+(Inputs!$B$22+Skills!Q5+((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MIN(Skills!R5,Inputs!$B$38))),0)</f>
        <v/>
      </c>
    </row>
    <row r="419">
      <c r="A419">
        <f>Skills!A6</f>
        <v/>
      </c>
      <c r="B419">
        <f>Skills!B6</f>
        <v/>
      </c>
      <c r="C419">
        <f>Inputs!$B$3&gt;=103</f>
        <v/>
      </c>
      <c r="D419">
        <f>IF(Skills!C6=1,60+Inputs!$B$26+Inputs!$B$30,IF(Skills!C6=2,90+Inputs!$B$27+Inputs!$B$30,IF(Skills!C6=3,120+Inputs!$B$28+Inputs!$B$30,MAX(0,(Inputs!$B$3-100)*3)+Inputs!$B$29+Inputs!$B$30)))</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((Inputs!$B$6*(1+Inputs!$B$7/100))+(((Inputs!$B$13*(1+Inputs!$B$14/100))-(Inputs!$B$13*(1+Inputs!$B$14/100)))+0.25*(Inputs!$B$15-Inputs!$B$15))*(1+Inputs!$B$7/100))*(F419/100)</f>
        <v/>
      </c>
      <c r="K419">
        <f>J419*(1+(((Inputs!$B$13+IF(Inputs!$B$3&gt;=38,(10*INDEX(FactorTable!$B$2:$Y$301, MATCH(ROUND(MIN(300,MAX(1,Inputs!$B$3)),0), FactorTable!$A$2:$A$301,0), 23)/1000)/100*(Inputs!$B$8*(1+Inputs!$B$9/100)),0))*(1+Inputs!$B$14/100))*0.01+Inputs!$B$15*0.0025)/100)*(1+Inputs!$B$16/100)*(1+Inputs!$B$17/100)*(5000/(6000+Inputs!$B$43*(1-(Inputs!$B$20+0)/100)))*(1+(((((1+Inputs!$B$25/100)*(1.01))-1)*100)+((C438=TRUE)*(F438-Calc!F25))+((C439=TRUE)*(F439-Calc!F26))+B448)/100)*(1+(IF(Skills!A6="DARK_IMPALE",Inputs!$B$18+0,Inputs!$B$19+((C436=TRUE)*(F436-Calc!F23))))/100)*((1+(((C426=TRUE)*F426*IF(AND(Inputs!$B$39&lt;&gt;"pvp",Inputs!$B$44&gt;0),(((R426-1)*(Skills!T13*(1+Inputs!$B$35/100))+MIN((Skills!T13*(1+Inputs!$B$35/100)),MAX(0,Inputs!$B$44-((R426-1)*Skills!D13))))/Inputs!$B$44),IF(Inputs!$B$39="pvp",MIN((Skills!T13*(1+Inputs!$B$35/100)),15)/15,(Skills!T13*(1+Inputs!$B$35/100))/Skills!D13)))+((C427=TRUE)*F427*IF(AND(Inputs!$B$39&lt;&gt;"pvp",Inputs!$B$44&gt;0),(((R427-1)*(Skills!T14*(1+Inputs!$B$35/100))+MIN((Skills!T14*(1+Inputs!$B$35/100)),MAX(0,Inputs!$B$44-((R427-1)*Skills!D14))))/Inputs!$B$44),IF(Inputs!$B$39="pvp",MIN((Skills!T14*(1+Inputs!$B$35/100)),15)/15,(Skills!T14*(1+Inputs!$B$35/100))/Skills!D14)))+((C428=TRUE)*F428*IF(AND(Inputs!$B$39&lt;&gt;"pvp",Inputs!$B$44&gt;0),(((R428-1)*(Skills!T15*(1+Inputs!$B$35/100))+MIN((Skills!T15*(1+Inputs!$B$35/100)),MAX(0,Inputs!$B$44-((R428-1)*Skills!D15))))/Inputs!$B$44),IF(Inputs!$B$39="pvp",MIN((Skills!T15*(1+Inputs!$B$35/100)),15)/15,(Skills!T15*(1+Inputs!$B$35/100))/Skills!D15)))+((C429=TRUE)*F429*IF(AND(Inputs!$B$39&lt;&gt;"pvp",Inputs!$B$44&gt;0),(((R429-1)*(Skills!T16*(1+Inputs!$B$35/100))+MIN((Skills!T16*(1+Inputs!$B$35/100)),MAX(0,Inputs!$B$44-((R429-1)*Skills!D16))))/Inputs!$B$44),IF(Inputs!$B$39="pvp",MIN((Skills!T16*(1+Inputs!$B$35/100)),15)/15,(Skills!T16*(1+Inputs!$B$35/100))/Skills!D16)))+0)/100)*I419)</f>
        <v/>
      </c>
      <c r="L419">
        <f>K419*(MIN(Inputs!$B$23+((C435=TRUE)*(F435-Calc!F22)),Inputs!$B$24+((C437=TRUE)*(F437-Calc!F24)))/100+(Inputs!$B$24+((C437=TRUE)*(F437-Calc!F24)))/100)/2</f>
        <v/>
      </c>
      <c r="M419">
        <f>L419*(1+(Inputs!$B$11+0+B447)/100)</f>
        <v/>
      </c>
      <c r="N419">
        <f>L419*(1-MIN((Inputs!$B$10+0+B442),100)/100)+M419*(MIN((Inputs!$B$10+0+B442),100)/100)</f>
        <v/>
      </c>
      <c r="O419">
        <f>(1-Summary!$B$55)*T419+Summary!$B$55*V419</f>
        <v/>
      </c>
      <c r="P419">
        <f>IF(B452=0,0,O419/B452)</f>
        <v/>
      </c>
      <c r="Q419">
        <f>IFERROR(1/IF(Inputs!$B$39="pvp",15,MAX(0.1,Skills!D6-IF(Skills!E6=TRUE,Inputs!$B$33,0))),0)</f>
        <v/>
      </c>
      <c r="R419">
        <f>IF(AND(Inputs!$B$39&lt;&gt;"pvp",Inputs!$B$44&gt;0),IF(MAX(0,Inputs!$B$44-B449)&lt;=0,0,(INT(MAX(0,Inputs!$B$44-B449)/IF(Inputs!$B$39="pvp",15,MAX(0.1,Skills!D6-IF(Skills!E6=TRUE,Inputs!$B$33,0))))+1)),0)</f>
        <v/>
      </c>
      <c r="S419">
        <f>IFERROR(O419/N419,0)</f>
        <v/>
      </c>
      <c r="T419">
        <f>IF(C419,(H419*N419*IF(AND(Inputs!$B$39&lt;&gt;"pvp",Inputs!$B$44&gt;0),((Skills!G6*((R419-1)*IF(Skills!H6&gt;0,Skills!I6/Skills!H6,1)+IF(Skills!H6&gt;0,MIN(Skills!I6,MAX(0,MAX(0,Inputs!$B$44-B449)-((R419-1)*IF(Inputs!$B$39="pvp",15,MAX(0.1,Skills!D6-IF(Skills!E6=TRUE,Inputs!$B$33,0))))))/Skills!H6,1)))/Inputs!$B$44),G419*Q419))*IF(Inputs!$B$39="pvp",1,1+(Inputs!$B$21+0+Skills!P6+((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0)</f>
        <v/>
      </c>
      <c r="V419">
        <f>IF(C419,(H419*N419*IF(AND(Inputs!$B$39&lt;&gt;"pvp",Inputs!$B$44&gt;0),((Skills!G6*((R419-1)*IF(Skills!H6&gt;0,Skills!I6/Skills!H6,1)+IF(Skills!H6&gt;0,MIN(Skills!I6,MAX(0,MAX(0,Inputs!$B$44-B449)-((R419-1)*IF(Inputs!$B$39="pvp",15,MAX(0.1,Skills!D6-IF(Skills!E6=TRUE,Inputs!$B$33,0))))))/Skills!H6,1)))/Inputs!$B$44),G419*Q419))*IF(Inputs!$B$39="pvp",1,(1+(Inputs!$B$22+Skills!Q6+((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MIN(Skills!R6,Inputs!$B$38))),0)</f>
        <v/>
      </c>
    </row>
    <row r="420">
      <c r="A420">
        <f>Skills!A7</f>
        <v/>
      </c>
      <c r="B420">
        <f>Skills!B7</f>
        <v/>
      </c>
      <c r="C420">
        <f>Inputs!$B$3&gt;=40</f>
        <v/>
      </c>
      <c r="D420">
        <f>IF(Skills!C7=1,60+Inputs!$B$26+Inputs!$B$30,IF(Skills!C7=2,90+Inputs!$B$27+Inputs!$B$30,IF(Skills!C7=3,120+Inputs!$B$28+Inputs!$B$30,MAX(0,(Inputs!$B$3-100)*3)+Inputs!$B$29+Inputs!$B$30)))</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((Inputs!$B$6*(1+Inputs!$B$7/100))+(((Inputs!$B$13*(1+Inputs!$B$14/100))-(Inputs!$B$13*(1+Inputs!$B$14/100)))+0.25*(Inputs!$B$15-Inputs!$B$15))*(1+Inputs!$B$7/100))*(F420/100)</f>
        <v/>
      </c>
      <c r="K420">
        <f>J420*(1+(((Inputs!$B$13+IF(Inputs!$B$3&gt;=38,(10*INDEX(FactorTable!$B$2:$Y$301, MATCH(ROUND(MIN(300,MAX(1,Inputs!$B$3)),0), FactorTable!$A$2:$A$301,0), 23)/1000)/100*(Inputs!$B$8*(1+Inputs!$B$9/100)),0))*(1+Inputs!$B$14/100))*0.01+Inputs!$B$15*0.0025)/100)*(1+Inputs!$B$16/100)*(1+Inputs!$B$17/100)*(5000/(6000+Inputs!$B$43*(1-(Inputs!$B$20+0)/100)))*(1+(((((1+Inputs!$B$25/100)*(1.01))-1)*100)+((C438=TRUE)*(F438-Calc!F25))+((C439=TRUE)*(F439-Calc!F26))+B448)/100)*(1+0.75*IF(C424=TRUE,F424,0)/100)*(1+(IF(Skills!A7="DARK_IMPALE",Inputs!$B$18+0,Inputs!$B$19+((C436=TRUE)*(F436-Calc!F23))))/100)*((1+(((C426=TRUE)*F426*IF(AND(Inputs!$B$39&lt;&gt;"pvp",Inputs!$B$44&gt;0),(((R426-1)*(Skills!T13*(1+Inputs!$B$35/100))+MIN((Skills!T13*(1+Inputs!$B$35/100)),MAX(0,Inputs!$B$44-((R426-1)*Skills!D13))))/Inputs!$B$44),IF(Inputs!$B$39="pvp",MIN((Skills!T13*(1+Inputs!$B$35/100)),15)/15,(Skills!T13*(1+Inputs!$B$35/100))/Skills!D13)))+((C427=TRUE)*F427*IF(AND(Inputs!$B$39&lt;&gt;"pvp",Inputs!$B$44&gt;0),(((R427-1)*(Skills!T14*(1+Inputs!$B$35/100))+MIN((Skills!T14*(1+Inputs!$B$35/100)),MAX(0,Inputs!$B$44-((R427-1)*Skills!D14))))/Inputs!$B$44),IF(Inputs!$B$39="pvp",MIN((Skills!T14*(1+Inputs!$B$35/100)),15)/15,(Skills!T14*(1+Inputs!$B$35/100))/Skills!D14)))+((C428=TRUE)*F428*IF(AND(Inputs!$B$39&lt;&gt;"pvp",Inputs!$B$44&gt;0),(((R428-1)*(Skills!T15*(1+Inputs!$B$35/100))+MIN((Skills!T15*(1+Inputs!$B$35/100)),MAX(0,Inputs!$B$44-((R428-1)*Skills!D15))))/Inputs!$B$44),IF(Inputs!$B$39="pvp",MIN((Skills!T15*(1+Inputs!$B$35/100)),15)/15,(Skills!T15*(1+Inputs!$B$35/100))/Skills!D15)))+((C429=TRUE)*F429*IF(AND(Inputs!$B$39&lt;&gt;"pvp",Inputs!$B$44&gt;0),(((R429-1)*(Skills!T16*(1+Inputs!$B$35/100))+MIN((Skills!T16*(1+Inputs!$B$35/100)),MAX(0,Inputs!$B$44-((R429-1)*Skills!D16))))/Inputs!$B$44),IF(Inputs!$B$39="pvp",MIN((Skills!T16*(1+Inputs!$B$35/100)),15)/15,(Skills!T16*(1+Inputs!$B$35/100))/Skills!D16)))+0)/100)*I420)</f>
        <v/>
      </c>
      <c r="L420">
        <f>K420*(MIN(Inputs!$B$23+((C435=TRUE)*(F435-Calc!F22)),Inputs!$B$24+((C437=TRUE)*(F437-Calc!F24)))/100+(Inputs!$B$24+((C437=TRUE)*(F437-Calc!F24)))/100)/2</f>
        <v/>
      </c>
      <c r="M420">
        <f>L420*(1+(Inputs!$B$11+0+B447)/100)</f>
        <v/>
      </c>
      <c r="N420">
        <f>L420*(1-MIN((Inputs!$B$10+0+B442),100)/100)+M420*(MIN((Inputs!$B$10+0+B442),100)/100)</f>
        <v/>
      </c>
      <c r="O420">
        <f>(1-Summary!$B$55)*T420+Summary!$B$55*V420</f>
        <v/>
      </c>
      <c r="P420">
        <f>IF(B452=0,0,O420/B452)</f>
        <v/>
      </c>
      <c r="Q420">
        <f>IFERROR(1/IF(Inputs!$B$39="pvp",15,MAX(0.1,Skills!D7-IF(Skills!E7=TRUE,Inputs!$B$33,0))),0)</f>
        <v/>
      </c>
      <c r="R420">
        <f>IF(AND(Inputs!$B$39&lt;&gt;"pvp",Inputs!$B$44&gt;0),IF(MAX(0,Inputs!$B$44-B449)&lt;=0,0,(INT(MAX(0,Inputs!$B$44-B449)/IF(Inputs!$B$39="pvp",15,MAX(0.1,Skills!D7-IF(Skills!E7=TRUE,Inputs!$B$33,0))))+1)),0)</f>
        <v/>
      </c>
      <c r="S420">
        <f>IFERROR(O420/N420,0)</f>
        <v/>
      </c>
      <c r="T420">
        <f>IF(C420,(H420*N420*IF(AND(Inputs!$B$39&lt;&gt;"pvp",Inputs!$B$44&gt;0),((Skills!G7*((R420-1)*IF(Skills!H7&gt;0,Skills!I7/Skills!H7,1)+IF(Skills!H7&gt;0,MIN(Skills!I7,MAX(0,MAX(0,Inputs!$B$44-B449)-((R420-1)*IF(Inputs!$B$39="pvp",15,MAX(0.1,Skills!D7-IF(Skills!E7=TRUE,Inputs!$B$33,0))))))/Skills!H7,1)))/Inputs!$B$44),G420*Q420))*IF(Inputs!$B$39="pvp",1,1+(Inputs!$B$21+0+Skills!P7+((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0)</f>
        <v/>
      </c>
      <c r="V420">
        <f>IF(C420,(H420*N420*IF(AND(Inputs!$B$39&lt;&gt;"pvp",Inputs!$B$44&gt;0),((Skills!G7*((R420-1)*IF(Skills!H7&gt;0,Skills!I7/Skills!H7,1)+IF(Skills!H7&gt;0,MIN(Skills!I7,MAX(0,MAX(0,Inputs!$B$44-B449)-((R420-1)*IF(Inputs!$B$39="pvp",15,MAX(0.1,Skills!D7-IF(Skills!E7=TRUE,Inputs!$B$33,0))))))/Skills!H7,1)))/Inputs!$B$44),G420*Q420))*IF(Inputs!$B$39="pvp",1,(1+(Inputs!$B$22+Skills!Q7+((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MIN(Skills!R7,Inputs!$B$38))),0)</f>
        <v/>
      </c>
    </row>
    <row r="421">
      <c r="A421">
        <f>Skills!A8</f>
        <v/>
      </c>
      <c r="B421">
        <f>Skills!B8</f>
        <v/>
      </c>
      <c r="C421">
        <f>Inputs!$B$3&gt;=75</f>
        <v/>
      </c>
      <c r="D421">
        <f>IF(Skills!C8=1,60+Inputs!$B$26+Inputs!$B$30,IF(Skills!C8=2,90+Inputs!$B$27+Inputs!$B$30,IF(Skills!C8=3,120+Inputs!$B$28+Inputs!$B$30,MAX(0,(Inputs!$B$3-100)*3)+Inputs!$B$29+Inputs!$B$30)))</f>
        <v/>
      </c>
      <c r="E421">
        <f>INDEX(FactorTable!$B$2:$Y$301, MATCH(ROUND(MIN(300,MAX(1,D421)),0), FactorTable!$A$2:$A$301,0), Skills!M8+1)</f>
        <v/>
      </c>
      <c r="F421">
        <f>IF(Skills!N8=TRUE,(Skills!L8/10)*(E421/1000),Skills!L8/10)+Skills!O8</f>
        <v/>
      </c>
      <c r="G421" t="inlineStr"/>
      <c r="H421" t="inlineStr"/>
      <c r="I421" t="inlineStr">
        <is>
          <t>1</t>
        </is>
      </c>
      <c r="J421" t="inlineStr"/>
      <c r="K421" t="inlineStr"/>
      <c r="L421" t="inlineStr"/>
      <c r="M421" t="inlineStr"/>
      <c r="N421" t="inlineStr"/>
      <c r="O421" t="inlineStr"/>
      <c r="P421" t="inlineStr"/>
      <c r="Q421" t="inlineStr"/>
      <c r="R421" t="inlineStr"/>
      <c r="S421" t="inlineStr"/>
    </row>
    <row r="422">
      <c r="A422">
        <f>Skills!A9</f>
        <v/>
      </c>
      <c r="B422">
        <f>Skills!B9</f>
        <v/>
      </c>
      <c r="C422">
        <f>Inputs!$B$3&gt;=60</f>
        <v/>
      </c>
      <c r="D422">
        <f>IF(Skills!C9=1,60+Inputs!$B$26+Inputs!$B$30,IF(Skills!C9=2,90+Inputs!$B$27+Inputs!$B$30,IF(Skills!C9=3,120+Inputs!$B$28+Inputs!$B$30,MAX(0,(Inputs!$B$3-100)*3)+Inputs!$B$29+Inputs!$B$30)))</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((Inputs!$B$6*(1+Inputs!$B$7/100))+(((Inputs!$B$13*(1+Inputs!$B$14/100))-(Inputs!$B$13*(1+Inputs!$B$14/100)))+0.25*(Inputs!$B$15-Inputs!$B$15))*(1+Inputs!$B$7/100))*(F422/100)</f>
        <v/>
      </c>
      <c r="K422">
        <f>J422*(1+(((Inputs!$B$13+IF(Inputs!$B$3&gt;=38,(10*INDEX(FactorTable!$B$2:$Y$301, MATCH(ROUND(MIN(300,MAX(1,Inputs!$B$3)),0), FactorTable!$A$2:$A$301,0), 23)/1000)/100*(Inputs!$B$8*(1+Inputs!$B$9/100)),0))*(1+Inputs!$B$14/100))*0.01+Inputs!$B$15*0.0025)/100)*(1+Inputs!$B$16/100)*(1+Inputs!$B$17/100)*(5000/(6000+Inputs!$B$43*(1-(Inputs!$B$20+0)/100)))*(1+(((((1+Inputs!$B$25/100)*(1.01))-1)*100)+((C438=TRUE)*(F438-Calc!F25))+((C439=TRUE)*(F439-Calc!F26))+B448)/100)*(1+1.0*IF(C424=TRUE,F424,0)/100)*(1+(IF(Skills!A9="DARK_IMPALE",Inputs!$B$18+0,Inputs!$B$19+((C436=TRUE)*(F436-Calc!F23))))/100)*((1+(((C426=TRUE)*F426*IF(AND(Inputs!$B$39&lt;&gt;"pvp",Inputs!$B$44&gt;0),(((R426-1)*(Skills!T13*(1+Inputs!$B$35/100))+MIN((Skills!T13*(1+Inputs!$B$35/100)),MAX(0,Inputs!$B$44-((R426-1)*Skills!D13))))/Inputs!$B$44),IF(Inputs!$B$39="pvp",MIN((Skills!T13*(1+Inputs!$B$35/100)),15)/15,(Skills!T13*(1+Inputs!$B$35/100))/Skills!D13)))+((C427=TRUE)*F427*IF(AND(Inputs!$B$39&lt;&gt;"pvp",Inputs!$B$44&gt;0),(((R427-1)*(Skills!T14*(1+Inputs!$B$35/100))+MIN((Skills!T14*(1+Inputs!$B$35/100)),MAX(0,Inputs!$B$44-((R427-1)*Skills!D14))))/Inputs!$B$44),IF(Inputs!$B$39="pvp",MIN((Skills!T14*(1+Inputs!$B$35/100)),15)/15,(Skills!T14*(1+Inputs!$B$35/100))/Skills!D14)))+((C428=TRUE)*F428*IF(AND(Inputs!$B$39&lt;&gt;"pvp",Inputs!$B$44&gt;0),(((R428-1)*(Skills!T15*(1+Inputs!$B$35/100))+MIN((Skills!T15*(1+Inputs!$B$35/100)),MAX(0,Inputs!$B$44-((R428-1)*Skills!D15))))/Inputs!$B$44),IF(Inputs!$B$39="pvp",MIN((Skills!T15*(1+Inputs!$B$35/100)),15)/15,(Skills!T15*(1+Inputs!$B$35/100))/Skills!D15)))+((C429=TRUE)*F429*IF(AND(Inputs!$B$39&lt;&gt;"pvp",Inputs!$B$44&gt;0),(((R429-1)*(Skills!T16*(1+Inputs!$B$35/100))+MIN((Skills!T16*(1+Inputs!$B$35/100)),MAX(0,Inputs!$B$44-((R429-1)*Skills!D16))))/Inputs!$B$44),IF(Inputs!$B$39="pvp",MIN((Skills!T16*(1+Inputs!$B$35/100)),15)/15,(Skills!T16*(1+Inputs!$B$35/100))/Skills!D16)))+0)/100)*I422)</f>
        <v/>
      </c>
      <c r="L422">
        <f>K422*(MIN(Inputs!$B$23+((C435=TRUE)*(F435-Calc!F22)),Inputs!$B$24+((C437=TRUE)*(F437-Calc!F24)))/100+(Inputs!$B$24+((C437=TRUE)*(F437-Calc!F24)))/100)/2</f>
        <v/>
      </c>
      <c r="M422">
        <f>L422*(1+(Inputs!$B$11+0+B447)/100)</f>
        <v/>
      </c>
      <c r="N422">
        <f>L422*(1-MIN((Inputs!$B$10+0+B442),100)/100)+M422*(MIN((Inputs!$B$10+0+B442),100)/100)</f>
        <v/>
      </c>
      <c r="O422">
        <f>(1-Summary!$B$55)*T422+Summary!$B$55*V422</f>
        <v/>
      </c>
      <c r="P422">
        <f>IF(B452=0,0,O422/B452)</f>
        <v/>
      </c>
      <c r="Q422">
        <f>IFERROR(1/IF(Inputs!$B$39="pvp",15,MAX(0.1,Skills!D9-IF(Skills!E9=TRUE,Inputs!$B$33,0))),0)</f>
        <v/>
      </c>
      <c r="R422">
        <f>IF(AND(Inputs!$B$39&lt;&gt;"pvp",Inputs!$B$44&gt;0),IF(MAX(0,Inputs!$B$44-B449)&lt;=0,0,(INT(MAX(0,Inputs!$B$44-B449)/IF(Inputs!$B$39="pvp",15,MAX(0.1,Skills!D9-IF(Skills!E9=TRUE,Inputs!$B$33,0))))+1)),0)</f>
        <v/>
      </c>
      <c r="S422">
        <f>IFERROR(O422/N422,0)</f>
        <v/>
      </c>
      <c r="T422">
        <f>IF(C422,(H422*N422*IF(AND(Inputs!$B$39&lt;&gt;"pvp",Inputs!$B$44&gt;0),((Skills!G9*((R422-1)*IF(Skills!H9&gt;0,Skills!I9/Skills!H9,1)+IF(Skills!H9&gt;0,MIN(Skills!I9,MAX(0,MAX(0,Inputs!$B$44-B449)-((R422-1)*IF(Inputs!$B$39="pvp",15,MAX(0.1,Skills!D9-IF(Skills!E9=TRUE,Inputs!$B$33,0))))))/Skills!H9,1)))/Inputs!$B$44),G422*Q422))*IF(Inputs!$B$39="pvp",1,1+(Inputs!$B$21+0+Skills!P9+((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0)</f>
        <v/>
      </c>
      <c r="V422">
        <f>IF(C422,(H422*N422*IF(AND(Inputs!$B$39&lt;&gt;"pvp",Inputs!$B$44&gt;0),((Skills!G9*((R422-1)*IF(Skills!H9&gt;0,Skills!I9/Skills!H9,1)+IF(Skills!H9&gt;0,MIN(Skills!I9,MAX(0,MAX(0,Inputs!$B$44-B449)-((R422-1)*IF(Inputs!$B$39="pvp",15,MAX(0.1,Skills!D9-IF(Skills!E9=TRUE,Inputs!$B$33,0))))))/Skills!H9,1)))/Inputs!$B$44),G422*Q422))*IF(Inputs!$B$39="pvp",1,(1+(Inputs!$B$22+Skills!Q9+((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MIN(Skills!R9,Inputs!$B$38))),0)</f>
        <v/>
      </c>
    </row>
    <row r="423">
      <c r="A423">
        <f>Skills!A10</f>
        <v/>
      </c>
      <c r="B423">
        <f>Skills!B10</f>
        <v/>
      </c>
      <c r="C423">
        <f>Inputs!$B$3&gt;=110</f>
        <v/>
      </c>
      <c r="D423">
        <f>IF(Skills!C10=1,60+Inputs!$B$26+Inputs!$B$30,IF(Skills!C10=2,90+Inputs!$B$27+Inputs!$B$30,IF(Skills!C10=3,120+Inputs!$B$28+Inputs!$B$30,MAX(0,(Inputs!$B$3-100)*3)+Inputs!$B$29+Inputs!$B$30)))</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((Inputs!$B$6*(1+Inputs!$B$7/100))+(((Inputs!$B$13*(1+Inputs!$B$14/100))-(Inputs!$B$13*(1+Inputs!$B$14/100)))+0.25*(Inputs!$B$15-Inputs!$B$15))*(1+Inputs!$B$7/100))*(F423/100)</f>
        <v/>
      </c>
      <c r="K423">
        <f>J423*(1+(((Inputs!$B$13+IF(Inputs!$B$3&gt;=38,(10*INDEX(FactorTable!$B$2:$Y$301, MATCH(ROUND(MIN(300,MAX(1,Inputs!$B$3)),0), FactorTable!$A$2:$A$301,0), 23)/1000)/100*(Inputs!$B$8*(1+Inputs!$B$9/100)),0))*(1+Inputs!$B$14/100))*0.01+Inputs!$B$15*0.0025)/100)*(1+Inputs!$B$16/100)*(1+Inputs!$B$17/100)*(5000/(6000+Inputs!$B$43*(1-(Inputs!$B$20+0)/100)))*(1+(((((1+Inputs!$B$25/100)*(1.01))-1)*100)+((C438=TRUE)*(F438-Calc!F25))+((C439=TRUE)*(F439-Calc!F26))+B448)/100)*(1+(IF(Skills!A10="DARK_IMPALE",Inputs!$B$18+0,Inputs!$B$19+((C436=TRUE)*(F436-Calc!F23))))/100)*((1+(((C426=TRUE)*F426*IF(AND(Inputs!$B$39&lt;&gt;"pvp",Inputs!$B$44&gt;0),(((R426-1)*(Skills!T13*(1+Inputs!$B$35/100))+MIN((Skills!T13*(1+Inputs!$B$35/100)),MAX(0,Inputs!$B$44-((R426-1)*Skills!D13))))/Inputs!$B$44),IF(Inputs!$B$39="pvp",MIN((Skills!T13*(1+Inputs!$B$35/100)),15)/15,(Skills!T13*(1+Inputs!$B$35/100))/Skills!D13)))+((C427=TRUE)*F427*IF(AND(Inputs!$B$39&lt;&gt;"pvp",Inputs!$B$44&gt;0),(((R427-1)*(Skills!T14*(1+Inputs!$B$35/100))+MIN((Skills!T14*(1+Inputs!$B$35/100)),MAX(0,Inputs!$B$44-((R427-1)*Skills!D14))))/Inputs!$B$44),IF(Inputs!$B$39="pvp",MIN((Skills!T14*(1+Inputs!$B$35/100)),15)/15,(Skills!T14*(1+Inputs!$B$35/100))/Skills!D14)))+((C428=TRUE)*F428*IF(AND(Inputs!$B$39&lt;&gt;"pvp",Inputs!$B$44&gt;0),(((R428-1)*(Skills!T15*(1+Inputs!$B$35/100))+MIN((Skills!T15*(1+Inputs!$B$35/100)),MAX(0,Inputs!$B$44-((R428-1)*Skills!D15))))/Inputs!$B$44),IF(Inputs!$B$39="pvp",MIN((Skills!T15*(1+Inputs!$B$35/100)),15)/15,(Skills!T15*(1+Inputs!$B$35/100))/Skills!D15)))+((C429=TRUE)*F429*IF(AND(Inputs!$B$39&lt;&gt;"pvp",Inputs!$B$44&gt;0),(((R429-1)*(Skills!T16*(1+Inputs!$B$35/100))+MIN((Skills!T16*(1+Inputs!$B$35/100)),MAX(0,Inputs!$B$44-((R429-1)*Skills!D16))))/Inputs!$B$44),IF(Inputs!$B$39="pvp",MIN((Skills!T16*(1+Inputs!$B$35/100)),15)/15,(Skills!T16*(1+Inputs!$B$35/100))/Skills!D16)))+0)/100)*I423)</f>
        <v/>
      </c>
      <c r="L423">
        <f>K423*(MIN(Inputs!$B$23+((C435=TRUE)*(F435-Calc!F22)),Inputs!$B$24+((C437=TRUE)*(F437-Calc!F24)))/100+(Inputs!$B$24+((C437=TRUE)*(F437-Calc!F24)))/100)/2</f>
        <v/>
      </c>
      <c r="M423">
        <f>L423*(1+(Inputs!$B$11+0+B447)/100)</f>
        <v/>
      </c>
      <c r="N423">
        <f>L423*(1-MIN((Inputs!$B$10+0+B442),100)/100)+M423*(MIN((Inputs!$B$10+0+B442),100)/100)</f>
        <v/>
      </c>
      <c r="O423">
        <f>(1-Summary!$B$55)*T423+Summary!$B$55*V423</f>
        <v/>
      </c>
      <c r="P423">
        <f>IF(B452=0,0,O423/B452)</f>
        <v/>
      </c>
      <c r="Q423">
        <f>IFERROR(1/IF(Inputs!$B$39="pvp",15,MAX(0.1,Skills!D10-IF(Skills!E10=TRUE,Inputs!$B$33,0))),0)</f>
        <v/>
      </c>
      <c r="R423">
        <f>IF(AND(Inputs!$B$39&lt;&gt;"pvp",Inputs!$B$44&gt;0),IF(MAX(0,Inputs!$B$44-B449)&lt;=0,0,(INT(MAX(0,Inputs!$B$44-B449)/IF(Inputs!$B$39="pvp",15,MAX(0.1,Skills!D10-IF(Skills!E10=TRUE,Inputs!$B$33,0))))+1)),0)</f>
        <v/>
      </c>
      <c r="S423">
        <f>IFERROR(O423/N423,0)</f>
        <v/>
      </c>
      <c r="T423">
        <f>IF(C423,(H423*N423*IF(AND(Inputs!$B$39&lt;&gt;"pvp",Inputs!$B$44&gt;0),((Skills!G10*((R423-1)*IF(Skills!H10&gt;0,Skills!I10/Skills!H10,1)+IF(Skills!H10&gt;0,MIN(Skills!I10,MAX(0,MAX(0,Inputs!$B$44-B449)-((R423-1)*IF(Inputs!$B$39="pvp",15,MAX(0.1,Skills!D10-IF(Skills!E10=TRUE,Inputs!$B$33,0))))))/Skills!H10,1)))/Inputs!$B$44),G423*Q423))*IF(Inputs!$B$39="pvp",1,1+(Inputs!$B$21+0+Skills!P10+((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0)</f>
        <v/>
      </c>
      <c r="V423">
        <f>IF(C423,(H423*N423*IF(AND(Inputs!$B$39&lt;&gt;"pvp",Inputs!$B$44&gt;0),((Skills!G10*((R423-1)*IF(Skills!H10&gt;0,Skills!I10/Skills!H10,1)+IF(Skills!H10&gt;0,MIN(Skills!I10,MAX(0,MAX(0,Inputs!$B$44-B449)-((R423-1)*IF(Inputs!$B$39="pvp",15,MAX(0.1,Skills!D10-IF(Skills!E10=TRUE,Inputs!$B$33,0))))))/Skills!H10,1)))/Inputs!$B$44),G423*Q423))*IF(Inputs!$B$39="pvp",1,(1+(Inputs!$B$22+Skills!Q10+((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MIN(Skills!R10,Inputs!$B$38))),0)</f>
        <v/>
      </c>
    </row>
    <row r="424">
      <c r="A424">
        <f>Skills!A11</f>
        <v/>
      </c>
      <c r="B424">
        <f>Skills!B11</f>
        <v/>
      </c>
      <c r="C424">
        <f>Inputs!$B$3&gt;=100</f>
        <v/>
      </c>
      <c r="D424">
        <f>IF(Skills!C11=1,60+Inputs!$B$26+Inputs!$B$30,IF(Skills!C11=2,90+Inputs!$B$27+Inputs!$B$30,IF(Skills!C11=3,120+Inputs!$B$28+Inputs!$B$30,MAX(0,(Inputs!$B$3-100)*3)+Inputs!$B$29+Inputs!$B$30)))</f>
        <v/>
      </c>
      <c r="E424">
        <f>INDEX(FactorTable!$B$2:$Y$301, MATCH(ROUND(MIN(300,MAX(1,D424)),0), FactorTable!$A$2:$A$301,0), Skills!M11+1)</f>
        <v/>
      </c>
      <c r="F424">
        <f>IF(Skills!N11=TRUE,(Skills!L11/10)*(E424/1000),Skills!L11/10)+Skills!O11</f>
        <v/>
      </c>
      <c r="G424" t="inlineStr"/>
      <c r="H424" t="inlineStr"/>
      <c r="I424" t="inlineStr">
        <is>
          <t>1</t>
        </is>
      </c>
      <c r="J424" t="inlineStr"/>
      <c r="K424" t="inlineStr"/>
      <c r="L424" t="inlineStr"/>
      <c r="M424" t="inlineStr"/>
      <c r="N424" t="inlineStr"/>
      <c r="O424" t="inlineStr"/>
      <c r="P424" t="inlineStr"/>
      <c r="Q424" t="inlineStr"/>
      <c r="R424" t="inlineStr"/>
      <c r="S424" t="inlineStr"/>
    </row>
    <row r="425">
      <c r="A425">
        <f>Skills!A12</f>
        <v/>
      </c>
      <c r="B425">
        <f>Skills!B12</f>
        <v/>
      </c>
      <c r="C425">
        <f>Inputs!$B$3&gt;=63</f>
        <v/>
      </c>
      <c r="D425">
        <f>IF(Skills!C12=1,60+Inputs!$B$26+Inputs!$B$30,IF(Skills!C12=2,90+Inputs!$B$27+Inputs!$B$30,IF(Skills!C12=3,120+Inputs!$B$28+Inputs!$B$30,MAX(0,(Inputs!$B$3-100)*3)+Inputs!$B$29+Inputs!$B$30)))</f>
        <v/>
      </c>
      <c r="E425">
        <f>INDEX(FactorTable!$B$2:$Y$301, MATCH(ROUND(MIN(300,MAX(1,D425)),0), FactorTable!$A$2:$A$301,0), Skills!M12+1)</f>
        <v/>
      </c>
      <c r="F425">
        <f>IF(Skills!N12=TRUE,(Skills!L12/10)*(E425/1000),Skills!L12/10)+Skills!O12</f>
        <v/>
      </c>
      <c r="G425">
        <f>Skills!G12*IF(Skills!H12&gt;0,Skills!I12/Skills!H12,1)</f>
        <v/>
      </c>
      <c r="H425">
        <f>1-(1-Skills!J12/100)^Skills!K12</f>
        <v/>
      </c>
      <c r="I425" t="inlineStr">
        <is>
          <t>1</t>
        </is>
      </c>
      <c r="J425">
        <f>((Inputs!$B$6*(1+Inputs!$B$7/100))+(((Inputs!$B$13*(1+Inputs!$B$14/100))-(Inputs!$B$13*(1+Inputs!$B$14/100)))+0.25*(Inputs!$B$15-Inputs!$B$15))*(1+Inputs!$B$7/100))*(F425/100)</f>
        <v/>
      </c>
      <c r="K425">
        <f>J425*(1+(((Inputs!$B$13+IF(Inputs!$B$3&gt;=38,(10*INDEX(FactorTable!$B$2:$Y$301, MATCH(ROUND(MIN(300,MAX(1,Inputs!$B$3)),0), FactorTable!$A$2:$A$301,0), 23)/1000)/100*(Inputs!$B$8*(1+Inputs!$B$9/100)),0))*(1+Inputs!$B$14/100))*0.01+Inputs!$B$15*0.0025)/100)*(1+Inputs!$B$16/100)*(1+Inputs!$B$17/100)*(5000/(6000+Inputs!$B$43*(1-(Inputs!$B$20+0)/100)))*(1+(((((1+Inputs!$B$25/100)*(1.01))-1)*100)+((C438=TRUE)*(F438-Calc!F25))+((C439=TRUE)*(F439-Calc!F26))+B448)/100)*(1+0.75*IF(C424=TRUE,F424,0)/100)*(1+(IF(Skills!A12="DARK_IMPALE",Inputs!$B$18+0,Inputs!$B$19+((C436=TRUE)*(F436-Calc!F23))))/100)*((1+(((C426=TRUE)*F426*IF(AND(Inputs!$B$39&lt;&gt;"pvp",Inputs!$B$44&gt;0),(((R426-1)*(Skills!T13*(1+Inputs!$B$35/100))+MIN((Skills!T13*(1+Inputs!$B$35/100)),MAX(0,Inputs!$B$44-((R426-1)*Skills!D13))))/Inputs!$B$44),IF(Inputs!$B$39="pvp",MIN((Skills!T13*(1+Inputs!$B$35/100)),15)/15,(Skills!T13*(1+Inputs!$B$35/100))/Skills!D13)))+((C427=TRUE)*F427*IF(AND(Inputs!$B$39&lt;&gt;"pvp",Inputs!$B$44&gt;0),(((R427-1)*(Skills!T14*(1+Inputs!$B$35/100))+MIN((Skills!T14*(1+Inputs!$B$35/100)),MAX(0,Inputs!$B$44-((R427-1)*Skills!D14))))/Inputs!$B$44),IF(Inputs!$B$39="pvp",MIN((Skills!T14*(1+Inputs!$B$35/100)),15)/15,(Skills!T14*(1+Inputs!$B$35/100))/Skills!D14)))+((C428=TRUE)*F428*IF(AND(Inputs!$B$39&lt;&gt;"pvp",Inputs!$B$44&gt;0),(((R428-1)*(Skills!T15*(1+Inputs!$B$35/100))+MIN((Skills!T15*(1+Inputs!$B$35/100)),MAX(0,Inputs!$B$44-((R428-1)*Skills!D15))))/Inputs!$B$44),IF(Inputs!$B$39="pvp",MIN((Skills!T15*(1+Inputs!$B$35/100)),15)/15,(Skills!T15*(1+Inputs!$B$35/100))/Skills!D15)))+((C429=TRUE)*F429*IF(AND(Inputs!$B$39&lt;&gt;"pvp",Inputs!$B$44&gt;0),(((R429-1)*(Skills!T16*(1+Inputs!$B$35/100))+MIN((Skills!T16*(1+Inputs!$B$35/100)),MAX(0,Inputs!$B$44-((R429-1)*Skills!D16))))/Inputs!$B$44),IF(Inputs!$B$39="pvp",MIN((Skills!T16*(1+Inputs!$B$35/100)),15)/15,(Skills!T16*(1+Inputs!$B$35/100))/Skills!D16)))+0)/100)*I425)</f>
        <v/>
      </c>
      <c r="L425">
        <f>K425*(MIN(Inputs!$B$23+((C435=TRUE)*(F435-Calc!F22)),Inputs!$B$24+((C437=TRUE)*(F437-Calc!F24)))/100+(Inputs!$B$24+((C437=TRUE)*(F437-Calc!F24)))/100)/2</f>
        <v/>
      </c>
      <c r="M425">
        <f>L425*(1+(Inputs!$B$11+0+B447)/100)</f>
        <v/>
      </c>
      <c r="N425">
        <f>L425*(1-MIN((Inputs!$B$10+0+B442),100)/100)+M425*(MIN((Inputs!$B$10+0+B442),100)/100)</f>
        <v/>
      </c>
      <c r="O425">
        <f>(1-Summary!$B$55)*T425+Summary!$B$55*V425</f>
        <v/>
      </c>
      <c r="P425">
        <f>IF(B452=0,0,O425/B452)</f>
        <v/>
      </c>
      <c r="Q425">
        <f>IFERROR(1/IF(Inputs!$B$39="pvp",15,MAX(0.1,Skills!D12-IF(Skills!E12=TRUE,Inputs!$B$33,0))),0)</f>
        <v/>
      </c>
      <c r="R425">
        <f>IF(AND(Inputs!$B$39&lt;&gt;"pvp",Inputs!$B$44&gt;0),IF(MAX(0,Inputs!$B$44-B449)&lt;=0,0,(INT(MAX(0,Inputs!$B$44-B449)/IF(Inputs!$B$39="pvp",15,MAX(0.1,Skills!D12-IF(Skills!E12=TRUE,Inputs!$B$33,0))))+1)),0)</f>
        <v/>
      </c>
      <c r="S425">
        <f>IFERROR(O425/N425,0)</f>
        <v/>
      </c>
      <c r="T425">
        <f>IF(C425,(H425*N425*IF(AND(Inputs!$B$39&lt;&gt;"pvp",Inputs!$B$44&gt;0),((Skills!G12*((R425-1)*IF(Skills!H12&gt;0,Skills!I12/Skills!H12,1)+IF(Skills!H12&gt;0,MIN(Skills!I12,MAX(0,MAX(0,Inputs!$B$44-B449)-((R425-1)*IF(Inputs!$B$39="pvp",15,MAX(0.1,Skills!D12-IF(Skills!E12=TRUE,Inputs!$B$33,0))))))/Skills!H12,1)))/Inputs!$B$44),G425*Q425))*IF(Inputs!$B$39="pvp",1,1+(Inputs!$B$21+0+Skills!P12+((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0)</f>
        <v/>
      </c>
      <c r="V425">
        <f>IF(C425,(H425*N425*IF(AND(Inputs!$B$39&lt;&gt;"pvp",Inputs!$B$44&gt;0),((Skills!G12*((R425-1)*IF(Skills!H12&gt;0,Skills!I12/Skills!H12,1)+IF(Skills!H12&gt;0,MIN(Skills!I12,MAX(0,MAX(0,Inputs!$B$44-B449)-((R425-1)*IF(Inputs!$B$39="pvp",15,MAX(0.1,Skills!D12-IF(Skills!E12=TRUE,Inputs!$B$33,0))))))/Skills!H12,1)))/Inputs!$B$44),G425*Q425))*IF(Inputs!$B$39="pvp",1,(1+(Inputs!$B$22+Skills!Q12+((C430=TRUE)*F430*IF(AND(Inputs!$B$39&lt;&gt;"pvp",Inputs!$B$44&gt;0),(((R430-1)*(Skills!T17*(1+Inputs!$B$35/100))+MIN((Skills!T17*(1+Inputs!$B$35/100)),MAX(0,Inputs!$B$44-((R430-1)*Skills!D17))))/Inputs!$B$44),IF(Inputs!$B$39="pvp",MIN((Skills!T17*(1+Inputs!$B$35/100)),15)/15,(Skills!T17*(1+Inputs!$B$35/100))/Skills!D17)))+((C427=TRUE)*IF(Inputs!$B$39="pvp",20,(1-Summary!$B$55)*(20)+Summary!$B$55*(0))*IF(AND(Inputs!$B$39&lt;&gt;"pvp",Inputs!$B$44&gt;0),(((R427-1)*(Skills!T14*(1+Inputs!$B$35/100))+MIN((Skills!T14*(1+Inputs!$B$35/100)),MAX(0,Inputs!$B$44-((R427-1)*Skills!D14))))/Inputs!$B$44),IF(Inputs!$B$39="pvp",MIN((Skills!T14*(1+Inputs!$B$35/100)),15)/15,(Skills!T14*(1+Inputs!$B$35/100))/Skills!D14))))/100)*(MIN(Skills!R12,Inputs!$B$38))),0)</f>
        <v/>
      </c>
    </row>
    <row r="426">
      <c r="A426">
        <f>Skills!A13</f>
        <v/>
      </c>
      <c r="B426">
        <f>Skills!B13</f>
        <v/>
      </c>
      <c r="C426">
        <f>Inputs!$B$3&gt;=69</f>
        <v/>
      </c>
      <c r="D426">
        <f>IF(Skills!C13=1,60+Inputs!$B$26+Inputs!$B$30,IF(Skills!C13=2,90+Inputs!$B$27+Inputs!$B$30,IF(Skills!C13=3,120+Inputs!$B$28+Inputs!$B$30,MAX(0,(Inputs!$B$3-100)*3)+Inputs!$B$29+Inputs!$B$30)))</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f>(1-Summary!$B$55)*T426+Summary!$B$55*V426</f>
        <v/>
      </c>
      <c r="P426">
        <f>IF(B452=0,0,O426/B452)</f>
        <v/>
      </c>
      <c r="Q426">
        <f>IFERROR(1/IF(Inputs!$B$39="pvp",15,MAX(0.1,Skills!D13-IF(Skills!E13=TRUE,Inputs!$B$33,0))),0)</f>
        <v/>
      </c>
      <c r="R426">
        <f>IF(AND(Inputs!$B$39&lt;&gt;"pvp",Inputs!$B$44&gt;0),IF(Inputs!$B$44&lt;=0,0,(INT(Inputs!$B$44/IF(Inputs!$B$39="pvp",15,MAX(0.1,Skills!D13-IF(Skills!E13=TRUE,Inputs!$B$33,0))))+1)),0)</f>
        <v/>
      </c>
      <c r="S426">
        <f>IFERROR(O426/N426,0)</f>
        <v/>
      </c>
      <c r="T426" t="n">
        <v>0</v>
      </c>
      <c r="V426" t="n">
        <v>0</v>
      </c>
    </row>
    <row r="427">
      <c r="A427">
        <f>Skills!A14</f>
        <v/>
      </c>
      <c r="B427">
        <f>Skills!B14</f>
        <v/>
      </c>
      <c r="C427">
        <f>Inputs!$B$3&gt;=115</f>
        <v/>
      </c>
      <c r="D427">
        <f>IF(Skills!C14=1,60+Inputs!$B$26+Inputs!$B$30,IF(Skills!C14=2,90+Inputs!$B$27+Inputs!$B$30,IF(Skills!C14=3,120+Inputs!$B$28+Inputs!$B$30,MAX(0,(Inputs!$B$3-100)*3)+Inputs!$B$29+Inputs!$B$30)))</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f>(1-Summary!$B$55)*T427+Summary!$B$55*V427</f>
        <v/>
      </c>
      <c r="P427">
        <f>IF(B452=0,0,O427/B452)</f>
        <v/>
      </c>
      <c r="Q427">
        <f>IFERROR(1/IF(Inputs!$B$39="pvp",15,MAX(0.1,Skills!D14-IF(Skills!E14=TRUE,Inputs!$B$33,0))),0)</f>
        <v/>
      </c>
      <c r="R427">
        <f>IF(AND(Inputs!$B$39&lt;&gt;"pvp",Inputs!$B$44&gt;0),IF(Inputs!$B$44&lt;=0,0,(INT(Inputs!$B$44/IF(Inputs!$B$39="pvp",15,MAX(0.1,Skills!D14-IF(Skills!E14=TRUE,Inputs!$B$33,0))))+1)),0)</f>
        <v/>
      </c>
      <c r="S427">
        <f>IFERROR(O427/N427,0)</f>
        <v/>
      </c>
      <c r="T427" t="n">
        <v>0</v>
      </c>
      <c r="V427" t="n">
        <v>0</v>
      </c>
    </row>
    <row r="428">
      <c r="A428">
        <f>Skills!A15</f>
        <v/>
      </c>
      <c r="B428">
        <f>Skills!B15</f>
        <v/>
      </c>
      <c r="C428">
        <f>Inputs!$B$3&gt;=66</f>
        <v/>
      </c>
      <c r="D428">
        <f>IF(Skills!C15=1,60+Inputs!$B$26+Inputs!$B$30,IF(Skills!C15=2,90+Inputs!$B$27+Inputs!$B$30,IF(Skills!C15=3,120+Inputs!$B$28+Inputs!$B$30,MAX(0,(Inputs!$B$3-100)*3)+Inputs!$B$29+Inputs!$B$30)))</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f>(1-Summary!$B$55)*T428+Summary!$B$55*V428</f>
        <v/>
      </c>
      <c r="P428">
        <f>IF(B452=0,0,O428/B452)</f>
        <v/>
      </c>
      <c r="Q428">
        <f>IFERROR(1/IF(Inputs!$B$39="pvp",15,MAX(0.1,Skills!D15-IF(Skills!E15=TRUE,Inputs!$B$33,0))),0)</f>
        <v/>
      </c>
      <c r="R428">
        <f>IF(AND(Inputs!$B$39&lt;&gt;"pvp",Inputs!$B$44&gt;0),IF(Inputs!$B$44&lt;=0,0,(INT(Inputs!$B$44/IF(Inputs!$B$39="pvp",15,MAX(0.1,Skills!D15-IF(Skills!E15=TRUE,Inputs!$B$33,0))))+1)),0)</f>
        <v/>
      </c>
      <c r="S428">
        <f>IFERROR(O428/N428,0)</f>
        <v/>
      </c>
      <c r="T428" t="n">
        <v>0</v>
      </c>
      <c r="V428" t="n">
        <v>0</v>
      </c>
    </row>
    <row r="429">
      <c r="A429">
        <f>Skills!A16</f>
        <v/>
      </c>
      <c r="B429">
        <f>Skills!B16</f>
        <v/>
      </c>
      <c r="C429">
        <f>Inputs!$B$3&gt;=45</f>
        <v/>
      </c>
      <c r="D429">
        <f>IF(Skills!C16=1,60+Inputs!$B$26+Inputs!$B$30,IF(Skills!C16=2,90+Inputs!$B$27+Inputs!$B$30,IF(Skills!C16=3,120+Inputs!$B$28+Inputs!$B$30,MAX(0,(Inputs!$B$3-100)*3)+Inputs!$B$29+Inputs!$B$30)))</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f>(1-Summary!$B$55)*T429+Summary!$B$55*V429</f>
        <v/>
      </c>
      <c r="P429">
        <f>IF(B452=0,0,O429/B452)</f>
        <v/>
      </c>
      <c r="Q429">
        <f>IFERROR(1/IF(Inputs!$B$39="pvp",15,MAX(0.1,Skills!D16-IF(Skills!E16=TRUE,Inputs!$B$33,0))),0)</f>
        <v/>
      </c>
      <c r="R429">
        <f>IF(AND(Inputs!$B$39&lt;&gt;"pvp",Inputs!$B$44&gt;0),IF(Inputs!$B$44&lt;=0,0,(INT(Inputs!$B$44/IF(Inputs!$B$39="pvp",15,MAX(0.1,Skills!D16-IF(Skills!E16=TRUE,Inputs!$B$33,0))))+1)),0)</f>
        <v/>
      </c>
      <c r="S429">
        <f>IFERROR(O429/N429,0)</f>
        <v/>
      </c>
      <c r="T429" t="n">
        <v>0</v>
      </c>
      <c r="V429" t="n">
        <v>0</v>
      </c>
    </row>
    <row r="430">
      <c r="A430">
        <f>Skills!A17</f>
        <v/>
      </c>
      <c r="B430">
        <f>Skills!B17</f>
        <v/>
      </c>
      <c r="C430">
        <f>Inputs!$B$3&gt;=35</f>
        <v/>
      </c>
      <c r="D430">
        <f>IF(Skills!C17=1,60+Inputs!$B$26+Inputs!$B$30,IF(Skills!C17=2,90+Inputs!$B$27+Inputs!$B$30,IF(Skills!C17=3,120+Inputs!$B$28+Inputs!$B$30,MAX(0,(Inputs!$B$3-100)*3)+Inputs!$B$29+Inputs!$B$30)))</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f>(1-Summary!$B$55)*T430+Summary!$B$55*V430</f>
        <v/>
      </c>
      <c r="P430">
        <f>IF(B452=0,0,O430/B452)</f>
        <v/>
      </c>
      <c r="Q430">
        <f>IFERROR(1/IF(Inputs!$B$39="pvp",15,MAX(0.1,Skills!D17-IF(Skills!E17=TRUE,Inputs!$B$33,0))),0)</f>
        <v/>
      </c>
      <c r="R430">
        <f>IF(AND(Inputs!$B$39&lt;&gt;"pvp",Inputs!$B$44&gt;0),IF(Inputs!$B$44&lt;=0,0,(INT(Inputs!$B$44/IF(Inputs!$B$39="pvp",15,MAX(0.1,Skills!D17-IF(Skills!E17=TRUE,Inputs!$B$33,0))))+1)),0)</f>
        <v/>
      </c>
      <c r="S430">
        <f>IFERROR(O430/N430,0)</f>
        <v/>
      </c>
      <c r="T430" t="n">
        <v>0</v>
      </c>
      <c r="V430" t="n">
        <v>0</v>
      </c>
    </row>
    <row r="431">
      <c r="A431">
        <f>Skills!A18</f>
        <v/>
      </c>
      <c r="B431">
        <f>Skills!B18</f>
        <v/>
      </c>
      <c r="C431">
        <f>Inputs!$B$3&gt;=72</f>
        <v/>
      </c>
      <c r="D431">
        <f>IF(Skills!C18=1,60+Inputs!$B$26+Inputs!$B$30,IF(Skills!C18=2,90+Inputs!$B$27+Inputs!$B$30,IF(Skills!C18=3,120+Inputs!$B$28+Inputs!$B$30,MAX(0,(Inputs!$B$3-100)*3)+Inputs!$B$29+Inputs!$B$30)))</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f>(1-Summary!$B$55)*T431+Summary!$B$55*V431</f>
        <v/>
      </c>
      <c r="P431">
        <f>IF(B452=0,0,O431/B452)</f>
        <v/>
      </c>
      <c r="Q431">
        <f>IFERROR(1/IF(Inputs!$B$39="pvp",15,MAX(0.1,Skills!D18-IF(Skills!E18=TRUE,Inputs!$B$33,0))),0)</f>
        <v/>
      </c>
      <c r="R431">
        <f>IF(AND(Inputs!$B$39&lt;&gt;"pvp",Inputs!$B$44&gt;0),IF(Inputs!$B$44&lt;=0,0,(INT(Inputs!$B$44/IF(Inputs!$B$39="pvp",15,MAX(0.1,Skills!D18-IF(Skills!E18=TRUE,Inputs!$B$33,0))))+1)),0)</f>
        <v/>
      </c>
      <c r="S431">
        <f>IFERROR(O431/N431,0)</f>
        <v/>
      </c>
      <c r="T431" t="n">
        <v>0</v>
      </c>
      <c r="V431" t="n">
        <v>0</v>
      </c>
    </row>
    <row r="432">
      <c r="A432">
        <f>Skills!A19</f>
        <v/>
      </c>
      <c r="B432">
        <f>Skills!B19</f>
        <v/>
      </c>
      <c r="C432">
        <f>Inputs!$B$3&gt;=72</f>
        <v/>
      </c>
      <c r="D432">
        <f>IF(Skills!C19=1,60+Inputs!$B$26+Inputs!$B$30,IF(Skills!C19=2,90+Inputs!$B$27+Inputs!$B$30,IF(Skills!C19=3,120+Inputs!$B$28+Inputs!$B$30,MAX(0,(Inputs!$B$3-100)*3)+Inputs!$B$29+Inputs!$B$30)))</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f>(1-Summary!$B$55)*T432+Summary!$B$55*V432</f>
        <v/>
      </c>
      <c r="P432">
        <f>IF(B452=0,0,O432/B452)</f>
        <v/>
      </c>
      <c r="Q432">
        <f>IFERROR(1/IF(Inputs!$B$39="pvp",15,MAX(0.1,Skills!D19-IF(Skills!E19=TRUE,Inputs!$B$33,0))),0)</f>
        <v/>
      </c>
      <c r="R432">
        <f>IF(AND(Inputs!$B$39&lt;&gt;"pvp",Inputs!$B$44&gt;0),IF(Inputs!$B$44&lt;=0,0,(INT(Inputs!$B$44/IF(Inputs!$B$39="pvp",15,MAX(0.1,Skills!D19-IF(Skills!E19=TRUE,Inputs!$B$33,0))))+1)),0)</f>
        <v/>
      </c>
      <c r="S432">
        <f>IFERROR(O432/N432,0)</f>
        <v/>
      </c>
      <c r="T432" t="n">
        <v>0</v>
      </c>
      <c r="V432" t="n">
        <v>0</v>
      </c>
    </row>
    <row r="433">
      <c r="A433">
        <f>Skills!A20</f>
        <v/>
      </c>
      <c r="B433">
        <f>Skills!B20</f>
        <v/>
      </c>
      <c r="C433">
        <f>TRUE</f>
        <v/>
      </c>
      <c r="D433">
        <f>IF(Skills!C20=1,60+Inputs!$B$26+Inputs!$B$30,IF(Skills!C20=2,90+Inputs!$B$27+Inputs!$B$30,IF(Skills!C20=3,120+Inputs!$B$28+Inputs!$B$30,MAX(0,(Inputs!$B$3-100)*3)+Inputs!$B$29+Inputs!$B$30)))</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f>(1-Summary!$B$55)*T433+Summary!$B$55*V433</f>
        <v/>
      </c>
      <c r="P433">
        <f>IF(B452=0,0,O433/B452)</f>
        <v/>
      </c>
      <c r="Q433">
        <f>IFERROR(1/IF(Inputs!$B$39="pvp",15,MAX(0.1,Skills!D20-IF(Skills!E20=TRUE,Inputs!$B$33,0))),0)</f>
        <v/>
      </c>
      <c r="R433">
        <f>IF(AND(Inputs!$B$39&lt;&gt;"pvp",Inputs!$B$44&gt;0),IF(Inputs!$B$44&lt;=0,0,(INT(Inputs!$B$44/IF(Inputs!$B$39="pvp",15,MAX(0.1,Skills!D20-IF(Skills!E20=TRUE,Inputs!$B$33,0))))+1)),0)</f>
        <v/>
      </c>
      <c r="S433">
        <f>IFERROR(O433/N433,0)</f>
        <v/>
      </c>
      <c r="T433" t="n">
        <v>0</v>
      </c>
      <c r="V433" t="n">
        <v>0</v>
      </c>
    </row>
    <row r="434">
      <c r="A434">
        <f>Skills!A21</f>
        <v/>
      </c>
      <c r="B434">
        <f>Skills!B21</f>
        <v/>
      </c>
      <c r="C434">
        <f>Inputs!$B$3&gt;=33</f>
        <v/>
      </c>
      <c r="D434">
        <f>IF(Skills!C21=1,60+Inputs!$B$26+Inputs!$B$30,IF(Skills!C21=2,90+Inputs!$B$27+Inputs!$B$30,IF(Skills!C21=3,120+Inputs!$B$28+Inputs!$B$30,MAX(0,(Inputs!$B$3-100)*3)+Inputs!$B$29+Inputs!$B$30)))</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f>(1-Summary!$B$55)*T434+Summary!$B$55*V434</f>
        <v/>
      </c>
      <c r="P434">
        <f>IF(B452=0,0,O434/B452)</f>
        <v/>
      </c>
      <c r="Q434" t="n">
        <v>0</v>
      </c>
      <c r="R434" t="n">
        <v>0</v>
      </c>
      <c r="S434">
        <f>IFERROR(O434/N434,0)</f>
        <v/>
      </c>
      <c r="T434" t="n">
        <v>0</v>
      </c>
      <c r="V434" t="n">
        <v>0</v>
      </c>
    </row>
    <row r="435">
      <c r="A435">
        <f>Skills!A22</f>
        <v/>
      </c>
      <c r="B435">
        <f>Skills!B22</f>
        <v/>
      </c>
      <c r="C435">
        <f>Inputs!$B$3&gt;=43</f>
        <v/>
      </c>
      <c r="D435">
        <f>IF(Skills!C22=1,60+Inputs!$B$26+Inputs!$B$30,IF(Skills!C22=2,90+Inputs!$B$27+Inputs!$B$30,IF(Skills!C22=3,120+Inputs!$B$28+Inputs!$B$30,MAX(0,(Inputs!$B$3-100)*3)+Inputs!$B$29+Inputs!$B$30)))</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f>(1-Summary!$B$55)*T435+Summary!$B$55*V435</f>
        <v/>
      </c>
      <c r="P435">
        <f>IF(B452=0,0,O435/B452)</f>
        <v/>
      </c>
      <c r="Q435" t="n">
        <v>0</v>
      </c>
      <c r="R435" t="n">
        <v>0</v>
      </c>
      <c r="S435">
        <f>IFERROR(O435/N435,0)</f>
        <v/>
      </c>
      <c r="T435" t="n">
        <v>0</v>
      </c>
      <c r="V435" t="n">
        <v>0</v>
      </c>
    </row>
    <row r="436">
      <c r="A436">
        <f>Skills!A23</f>
        <v/>
      </c>
      <c r="B436">
        <f>Skills!B23</f>
        <v/>
      </c>
      <c r="C436">
        <f>Inputs!$B$3&gt;=120</f>
        <v/>
      </c>
      <c r="D436">
        <f>IF(Skills!C23=1,60+Inputs!$B$26+Inputs!$B$30,IF(Skills!C23=2,90+Inputs!$B$27+Inputs!$B$30,IF(Skills!C23=3,120+Inputs!$B$28+Inputs!$B$30,MAX(0,(Inputs!$B$3-100)*3)+Inputs!$B$29+Inputs!$B$30)))</f>
        <v/>
      </c>
      <c r="E436">
        <f>INDEX(FactorTable!$B$2:$Y$301, MATCH(ROUND(MIN(300,MAX(1,D436)),0), FactorTable!$A$2:$A$301,0), Skills!M23+1)</f>
        <v/>
      </c>
      <c r="F436">
        <f>IF(Skills!N23=TRUE,(Skills!L23/10)*(E436/1000),Skills!L23/10)+Skills!O23</f>
        <v/>
      </c>
      <c r="G436">
        <f>Skills!G23*IF(Skills!H23&gt;0,Skills!I23/Skills!H23,1)</f>
        <v/>
      </c>
      <c r="H436">
        <f>1-(1-Skills!J23/100)^Skills!K23</f>
        <v/>
      </c>
      <c r="I436" t="inlineStr">
        <is>
          <t>1</t>
        </is>
      </c>
      <c r="J436" t="inlineStr"/>
      <c r="K436" t="inlineStr"/>
      <c r="L436" t="inlineStr"/>
      <c r="M436" t="inlineStr"/>
      <c r="N436" t="inlineStr"/>
      <c r="O436">
        <f>(1-Summary!$B$55)*T436+Summary!$B$55*V436</f>
        <v/>
      </c>
      <c r="P436">
        <f>IF(B452=0,0,O436/B452)</f>
        <v/>
      </c>
      <c r="Q436" t="n">
        <v>0</v>
      </c>
      <c r="R436" t="n">
        <v>0</v>
      </c>
      <c r="S436">
        <f>IFERROR(O436/N436,0)</f>
        <v/>
      </c>
      <c r="T436" t="n">
        <v>0</v>
      </c>
      <c r="V436" t="n">
        <v>0</v>
      </c>
    </row>
    <row r="437">
      <c r="A437">
        <f>Skills!A24</f>
        <v/>
      </c>
      <c r="B437">
        <f>Skills!B24</f>
        <v/>
      </c>
      <c r="C437">
        <f>Inputs!$B$3&gt;=120</f>
        <v/>
      </c>
      <c r="D437">
        <f>IF(Skills!C24=1,60+Inputs!$B$26+Inputs!$B$30,IF(Skills!C24=2,90+Inputs!$B$27+Inputs!$B$30,IF(Skills!C24=3,120+Inputs!$B$28+Inputs!$B$30,MAX(0,(Inputs!$B$3-100)*3)+Inputs!$B$29+Inputs!$B$30)))</f>
        <v/>
      </c>
      <c r="E437">
        <f>INDEX(FactorTable!$B$2:$Y$301, MATCH(ROUND(MIN(300,MAX(1,D437)),0), FactorTable!$A$2:$A$301,0), Skills!M24+1)</f>
        <v/>
      </c>
      <c r="F437">
        <f>IF(Skills!N24=TRUE,(Skills!L24/10)*(E437/1000),Skills!L24/10)+Skills!O24</f>
        <v/>
      </c>
      <c r="G437">
        <f>Skills!G24*IF(Skills!H24&gt;0,Skills!I24/Skills!H24,1)</f>
        <v/>
      </c>
      <c r="H437">
        <f>1-(1-Skills!J24/100)^Skills!K24</f>
        <v/>
      </c>
      <c r="I437" t="inlineStr">
        <is>
          <t>1</t>
        </is>
      </c>
      <c r="J437" t="inlineStr"/>
      <c r="K437" t="inlineStr"/>
      <c r="L437" t="inlineStr"/>
      <c r="M437" t="inlineStr"/>
      <c r="N437" t="inlineStr"/>
      <c r="O437">
        <f>(1-Summary!$B$55)*T437+Summary!$B$55*V437</f>
        <v/>
      </c>
      <c r="P437">
        <f>IF(B452=0,0,O437/B452)</f>
        <v/>
      </c>
      <c r="Q437" t="n">
        <v>0</v>
      </c>
      <c r="R437" t="n">
        <v>0</v>
      </c>
      <c r="S437">
        <f>IFERROR(O437/N437,0)</f>
        <v/>
      </c>
      <c r="T437" t="n">
        <v>0</v>
      </c>
      <c r="V437" t="n">
        <v>0</v>
      </c>
    </row>
    <row r="438">
      <c r="A438">
        <f>Skills!A25</f>
        <v/>
      </c>
      <c r="B438">
        <f>Skills!B25</f>
        <v/>
      </c>
      <c r="C438">
        <f>Inputs!$B$3&gt;=125</f>
        <v/>
      </c>
      <c r="D438">
        <f>IF(Skills!C25=1,60+Inputs!$B$26+Inputs!$B$30,IF(Skills!C25=2,90+Inputs!$B$27+Inputs!$B$30,IF(Skills!C25=3,120+Inputs!$B$28+Inputs!$B$30,MAX(0,(Inputs!$B$3-100)*3)+Inputs!$B$29+Inputs!$B$30)))</f>
        <v/>
      </c>
      <c r="E438">
        <f>INDEX(FactorTable!$B$2:$Y$301, MATCH(ROUND(MIN(300,MAX(1,D438)),0), FactorTable!$A$2:$A$301,0), Skills!M25+1)</f>
        <v/>
      </c>
      <c r="F438">
        <f>IF(Skills!N25=TRUE,(Skills!L25/10)*(E438/1000),Skills!L25/10)+Skills!O25</f>
        <v/>
      </c>
      <c r="G438">
        <f>Skills!G25*IF(Skills!H25&gt;0,Skills!I25/Skills!H25,1)</f>
        <v/>
      </c>
      <c r="H438">
        <f>1-(1-Skills!J25/100)^Skills!K25</f>
        <v/>
      </c>
      <c r="I438" t="inlineStr">
        <is>
          <t>1</t>
        </is>
      </c>
      <c r="J438" t="inlineStr"/>
      <c r="K438" t="inlineStr"/>
      <c r="L438" t="inlineStr"/>
      <c r="M438" t="inlineStr"/>
      <c r="N438" t="inlineStr"/>
      <c r="O438">
        <f>(1-Summary!$B$55)*T438+Summary!$B$55*V438</f>
        <v/>
      </c>
      <c r="P438">
        <f>IF(B452=0,0,O438/B452)</f>
        <v/>
      </c>
      <c r="Q438" t="n">
        <v>0</v>
      </c>
      <c r="R438" t="n">
        <v>0</v>
      </c>
      <c r="S438">
        <f>IFERROR(O438/N438,0)</f>
        <v/>
      </c>
      <c r="T438" t="n">
        <v>0</v>
      </c>
      <c r="V438" t="n">
        <v>0</v>
      </c>
    </row>
    <row r="439">
      <c r="A439">
        <f>Skills!A26</f>
        <v/>
      </c>
      <c r="B439">
        <f>Skills!B26</f>
        <v/>
      </c>
      <c r="C439">
        <f>Inputs!$B$3&gt;=107</f>
        <v/>
      </c>
      <c r="D439">
        <f>IF(Skills!C26=1,60+Inputs!$B$26+Inputs!$B$30,IF(Skills!C26=2,90+Inputs!$B$27+Inputs!$B$30,IF(Skills!C26=3,120+Inputs!$B$28+Inputs!$B$30,MAX(0,(Inputs!$B$3-100)*3)+Inputs!$B$29+Inputs!$B$30)))</f>
        <v/>
      </c>
      <c r="E439">
        <f>INDEX(FactorTable!$B$2:$Y$301, MATCH(ROUND(MIN(300,MAX(1,D439)),0), FactorTable!$A$2:$A$301,0), Skills!M26+1)</f>
        <v/>
      </c>
      <c r="F439">
        <f>IF(Skills!N26=TRUE,(Skills!L26/10)*(E439/1000),Skills!L26/10)+Skills!O26</f>
        <v/>
      </c>
      <c r="G439">
        <f>Skills!G26*IF(Skills!H26&gt;0,Skills!I26/Skills!H26,1)</f>
        <v/>
      </c>
      <c r="H439">
        <f>1-(1-Skills!J26/100)^Skills!K26</f>
        <v/>
      </c>
      <c r="I439" t="inlineStr">
        <is>
          <t>1</t>
        </is>
      </c>
      <c r="J439" t="inlineStr"/>
      <c r="K439" t="inlineStr"/>
      <c r="L439" t="inlineStr"/>
      <c r="M439" t="inlineStr"/>
      <c r="N439" t="inlineStr"/>
      <c r="O439">
        <f>(1-Summary!$B$55)*T439+Summary!$B$55*V439</f>
        <v/>
      </c>
      <c r="P439">
        <f>IF(B452=0,0,O439/B452)</f>
        <v/>
      </c>
      <c r="Q439" t="n">
        <v>0</v>
      </c>
      <c r="R439" t="n">
        <v>0</v>
      </c>
      <c r="S439">
        <f>IFERROR(O439/N439,0)</f>
        <v/>
      </c>
      <c r="T439" t="n">
        <v>0</v>
      </c>
      <c r="V439" t="n">
        <v>0</v>
      </c>
    </row>
    <row r="441">
      <c r="A441" t="inlineStr">
        <is>
          <t>Attack% Bucket Multiplier</t>
        </is>
      </c>
      <c r="B441">
        <f>(1+(((C426=TRUE)*F426*IF(AND(Inputs!$B$39&lt;&gt;"pvp",Inputs!$B$44&gt;0),(((R426-1)*(Skills!T13*(1+Inputs!$B$35/100))+MIN((Skills!T13*(1+Inputs!$B$35/100)),MAX(0,Inputs!$B$44-((R426-1)*Skills!D13))))/Inputs!$B$44),IF(Inputs!$B$39="pvp",MIN((Skills!T13*(1+Inputs!$B$35/100)),15)/15,(Skills!T13*(1+Inputs!$B$35/100))/Skills!D13)))+((C427=TRUE)*F427*IF(AND(Inputs!$B$39&lt;&gt;"pvp",Inputs!$B$44&gt;0),(((R427-1)*(Skills!T14*(1+Inputs!$B$35/100))+MIN((Skills!T14*(1+Inputs!$B$35/100)),MAX(0,Inputs!$B$44-((R427-1)*Skills!D14))))/Inputs!$B$44),IF(Inputs!$B$39="pvp",MIN((Skills!T14*(1+Inputs!$B$35/100)),15)/15,(Skills!T14*(1+Inputs!$B$35/100))/Skills!D14)))+((C428=TRUE)*F428*IF(AND(Inputs!$B$39&lt;&gt;"pvp",Inputs!$B$44&gt;0),(((R428-1)*(Skills!T15*(1+Inputs!$B$35/100))+MIN((Skills!T15*(1+Inputs!$B$35/100)),MAX(0,Inputs!$B$44-((R428-1)*Skills!D15))))/Inputs!$B$44),IF(Inputs!$B$39="pvp",MIN((Skills!T15*(1+Inputs!$B$35/100)),15)/15,(Skills!T15*(1+Inputs!$B$35/100))/Skills!D15)))+((C429=TRUE)*F429*IF(AND(Inputs!$B$39&lt;&gt;"pvp",Inputs!$B$44&gt;0),(((R429-1)*(Skills!T16*(1+Inputs!$B$35/100))+MIN((Skills!T16*(1+Inputs!$B$35/100)),MAX(0,Inputs!$B$44-((R429-1)*Skills!D16))))/Inputs!$B$44),IF(Inputs!$B$39="pvp",MIN((Skills!T16*(1+Inputs!$B$35/100)),15)/15,(Skills!T16*(1+Inputs!$B$35/100))/Skills!D16)))+0)/100)</f>
        <v/>
      </c>
    </row>
    <row r="442">
      <c r="A442" t="inlineStr">
        <is>
          <t>Global Crit Rate Bonus % (Lord of Darkness)</t>
        </is>
      </c>
      <c r="B442">
        <f>((C431=TRUE)*F431*(Skills!J18/100)*IF(AND(Inputs!$B$39&lt;&gt;"pvp",Inputs!$B$44&gt;0),(((R431-1)*(Skills!T18*(1+Inputs!$B$35/100))+MIN((Skills!T18*(1+Inputs!$B$35/100)),MAX(0,Inputs!$B$44-((R431-1)*Skills!D18))))/Inputs!$B$44),IF(Inputs!$B$39="pvp",MIN((Skills!T18*(1+Inputs!$B$35/100)),15)/15,(Skills!T18*(1+Inputs!$B$35/100))/Skills!D18)))</f>
        <v/>
      </c>
    </row>
    <row r="443">
      <c r="A443" t="inlineStr">
        <is>
          <t>Attack Speed Buff Bonus %</t>
        </is>
      </c>
      <c r="B443">
        <f>((C433=TRUE)*F433*IF(AND(Inputs!$B$39&lt;&gt;"pvp",Inputs!$B$44&gt;0),(((R433-1)*(Skills!T20*(1+Inputs!$B$35/100))+MIN((Skills!T20*(1+Inputs!$B$35/100)),MAX(0,Inputs!$B$44-((R433-1)*Skills!D20))))/Inputs!$B$44),IF(Inputs!$B$39="pvp",MIN((Skills!T20*(1+Inputs!$B$35/100)),15)/15,(Skills!T20*(1+Inputs!$B$35/100))/Skills!D20)))</f>
        <v/>
      </c>
    </row>
    <row r="444">
      <c r="A444" t="inlineStr">
        <is>
          <t>Actions Per Second</t>
        </is>
      </c>
      <c r="B444">
        <f>1+MIN(150,150*(1-(1-(Inputs!$B$12+((C434=TRUE)*(F434-Calc!F21)))/150)*(1-B443/150)))/100</f>
        <v/>
      </c>
    </row>
    <row r="445">
      <c r="A445" t="inlineStr">
        <is>
          <t>Skill + Buff Cast Rate</t>
        </is>
      </c>
      <c r="B445">
        <f>IF(AND(Inputs!$B$39&lt;&gt;"pvp",Inputs!$B$44&gt;0),SUMPRODUCT((Skills!E2:E26=TRUE)*(C415:C439=TRUE)*R415:R439*Skills!F2:F26)/Inputs!$B$44,SUMPRODUCT((Skills!E2:E26=TRUE)*(C415:C439=TRUE)*Q415:Q439*Skills!F2:F26))</f>
        <v/>
      </c>
    </row>
    <row r="446">
      <c r="A446" t="inlineStr">
        <is>
          <t>Dark Impale Casts Per Second</t>
        </is>
      </c>
      <c r="B446">
        <f>MAX(0,B444-B445)</f>
        <v/>
      </c>
    </row>
    <row r="447">
      <c r="A447" t="inlineStr">
        <is>
          <t>Global Critical Damage Bonus % (Lord of Darkness)</t>
        </is>
      </c>
      <c r="B447">
        <f>((C432=TRUE)*F432*(Skills!J19/100)*IF(AND(Inputs!$B$39&lt;&gt;"pvp",Inputs!$B$44&gt;0),(((R432-1)*(Skills!T19*(1+Inputs!$B$35/100))+MIN((Skills!T19*(1+Inputs!$B$35/100)),MAX(0,Inputs!$B$44-((R432-1)*Skills!D19))))/Inputs!$B$44),IF(Inputs!$B$39="pvp",MIN((Skills!T19*(1+Inputs!$B$35/100)),15)/15,(Skills!T19*(1+Inputs!$B$35/100))/Skills!D19)))</f>
        <v/>
      </c>
    </row>
    <row r="448">
      <c r="A448" t="inlineStr">
        <is>
          <t>Global Final Damage Bonus % (unused)</t>
        </is>
      </c>
      <c r="B448" t="n">
        <v>0</v>
      </c>
    </row>
    <row r="449">
      <c r="A449" t="inlineStr">
        <is>
          <t>Buff-Casting Startup Delay (s, fixed-duration only)</t>
        </is>
      </c>
      <c r="B449">
        <f>IF(AND(Inputs!$B$39&lt;&gt;"pvp",Inputs!$B$44&gt;0),SUMPRODUCT((Skills!T2:T26&gt;0)*(Skills!E2:E26=TRUE)*(C415:C439=TRUE))/B444,0)</f>
        <v/>
      </c>
    </row>
    <row r="450">
      <c r="A450" t="inlineStr">
        <is>
          <t>Boss-Only Total DPS (this block's swept value)</t>
        </is>
      </c>
      <c r="B450">
        <f>SUM(T415:T439)</f>
        <v/>
      </c>
    </row>
    <row r="451">
      <c r="A451" t="inlineStr">
        <is>
          <t>Normal-Only Total DPS (this block's swept value)</t>
        </is>
      </c>
      <c r="B451">
        <f>SUM(V415:V439)</f>
        <v/>
      </c>
    </row>
    <row r="452">
      <c r="A452" s="5" t="inlineStr">
        <is>
          <t>TOTAL DPS</t>
        </is>
      </c>
      <c r="B452" s="5">
        <f>SUM(O415:O439)</f>
        <v/>
      </c>
    </row>
    <row r="455">
      <c r="A455" s="5" t="inlineStr">
        <is>
          <t>Stat: MIN_DAMAGE %</t>
        </is>
      </c>
    </row>
    <row r="456">
      <c r="A456" s="9" t="inlineStr">
        <is>
          <t>Key</t>
        </is>
      </c>
      <c r="B456" s="9" t="inlineStr">
        <is>
          <t>Name</t>
        </is>
      </c>
      <c r="C456" s="9" t="inlineStr">
        <is>
          <t>Unlocked</t>
        </is>
      </c>
      <c r="D456" s="9" t="inlineStr">
        <is>
          <t>InputLevel</t>
        </is>
      </c>
      <c r="E456" s="9" t="inlineStr">
        <is>
          <t>Factor</t>
        </is>
      </c>
      <c r="F456" s="9" t="inlineStr">
        <is>
          <t>CoefficientPercent</t>
        </is>
      </c>
      <c r="G456" s="9" t="inlineStr">
        <is>
          <t>EffectiveHits</t>
        </is>
      </c>
      <c r="H456" s="9" t="inlineStr">
        <is>
          <t>ProcProbability</t>
        </is>
      </c>
      <c r="I456" s="9" t="inlineStr">
        <is>
          <t>MapleHeroMultiplier</t>
        </is>
      </c>
      <c r="J456" s="9" t="inlineStr">
        <is>
          <t>BaseDamage</t>
        </is>
      </c>
      <c r="K456" s="9" t="inlineStr">
        <is>
          <t>BaseHitDamage</t>
        </is>
      </c>
      <c r="L456" s="9" t="inlineStr">
        <is>
          <t>NonCritAvg</t>
        </is>
      </c>
      <c r="M456" s="9" t="inlineStr">
        <is>
          <t>CritAvg</t>
        </is>
      </c>
      <c r="N456" s="9" t="inlineStr">
        <is>
          <t>ExpectedDamage(perHit)</t>
        </is>
      </c>
      <c r="O456" s="9" t="inlineStr">
        <is>
          <t>DPS</t>
        </is>
      </c>
      <c r="P456" s="9" t="inlineStr">
        <is>
          <t>% of Total</t>
        </is>
      </c>
      <c r="Q456" s="9" t="inlineStr">
        <is>
          <t>InvCooldown</t>
        </is>
      </c>
      <c r="R456" s="9" t="inlineStr">
        <is>
          <t>CastsInFight</t>
        </is>
      </c>
      <c r="S456" s="9" t="inlineStr">
        <is>
          <t>HitRate(perSec)</t>
        </is>
      </c>
      <c r="U456" t="inlineStr">
        <is>
          <t>helpers</t>
        </is>
      </c>
    </row>
    <row r="457">
      <c r="A457">
        <f>Skills!A2</f>
        <v/>
      </c>
      <c r="B457">
        <f>Skills!B2</f>
        <v/>
      </c>
      <c r="C457">
        <f>Inputs!$B$3&gt;=100</f>
        <v/>
      </c>
      <c r="D457" t="inlineStr"/>
      <c r="E457" t="inlineStr"/>
      <c r="F457">
        <f>U459+Skills!O2</f>
        <v/>
      </c>
      <c r="G457">
        <f>Skills!G2*IF(Skills!H2&gt;0,Skills!I2/Skills!H2,1)</f>
        <v/>
      </c>
      <c r="H457">
        <f>1-(1-Skills!J2/100)^Skills!K2</f>
        <v/>
      </c>
      <c r="I457" t="inlineStr">
        <is>
          <t>1</t>
        </is>
      </c>
      <c r="J457">
        <f>((Inputs!$B$6*(1+Inputs!$B$7/100))+(((Inputs!$B$13*(1+Inputs!$B$14/100))-(Inputs!$B$13*(1+Inputs!$B$14/100)))+0.25*(Inputs!$B$15-Inputs!$B$15))*(1+Inputs!$B$7/100))*(F457/100)</f>
        <v/>
      </c>
      <c r="K457">
        <f>J457*(1+(((Inputs!$B$13+IF(Inputs!$B$3&gt;=38,(10*INDEX(FactorTable!$B$2:$Y$301, MATCH(ROUND(MIN(300,MAX(1,Inputs!$B$3)),0), FactorTable!$A$2:$A$301,0), 23)/1000)/100*(Inputs!$B$8*(1+Inputs!$B$9/100)),0))*(1+Inputs!$B$14/100))*0.01+Inputs!$B$15*0.0025)/100)*(1+Inputs!$B$16/100)*(1+Inputs!$B$17/100)*(5000/(6000+Inputs!$B$43*(1-(Inputs!$B$20+0)/100)))*(1+(Inputs!$B$25+((C480=TRUE)*(F480-Calc!F25))+((C481=TRUE)*(F481-Calc!F26))+B490)/100)*(1+(IF(Skills!A2="DARK_IMPALE",Inputs!$B$18+0,Inputs!$B$19+((C478=TRUE)*(F478-Calc!F23))))/100)*((1+(((C468=TRUE)*F468*IF(AND(Inputs!$B$39&lt;&gt;"pvp",Inputs!$B$44&gt;0),(((R468-1)*(Skills!T13*(1+Inputs!$B$35/100))+MIN((Skills!T13*(1+Inputs!$B$35/100)),MAX(0,Inputs!$B$44-((R468-1)*Skills!D13))))/Inputs!$B$44),IF(Inputs!$B$39="pvp",MIN((Skills!T13*(1+Inputs!$B$35/100)),15)/15,(Skills!T13*(1+Inputs!$B$35/100))/Skills!D13)))+((C469=TRUE)*F469*IF(AND(Inputs!$B$39&lt;&gt;"pvp",Inputs!$B$44&gt;0),(((R469-1)*(Skills!T14*(1+Inputs!$B$35/100))+MIN((Skills!T14*(1+Inputs!$B$35/100)),MAX(0,Inputs!$B$44-((R469-1)*Skills!D14))))/Inputs!$B$44),IF(Inputs!$B$39="pvp",MIN((Skills!T14*(1+Inputs!$B$35/100)),15)/15,(Skills!T14*(1+Inputs!$B$35/100))/Skills!D14)))+((C470=TRUE)*F470*IF(AND(Inputs!$B$39&lt;&gt;"pvp",Inputs!$B$44&gt;0),(((R470-1)*(Skills!T15*(1+Inputs!$B$35/100))+MIN((Skills!T15*(1+Inputs!$B$35/100)),MAX(0,Inputs!$B$44-((R470-1)*Skills!D15))))/Inputs!$B$44),IF(Inputs!$B$39="pvp",MIN((Skills!T15*(1+Inputs!$B$35/100)),15)/15,(Skills!T15*(1+Inputs!$B$35/100))/Skills!D15)))+((C471=TRUE)*F471*IF(AND(Inputs!$B$39&lt;&gt;"pvp",Inputs!$B$44&gt;0),(((R471-1)*(Skills!T16*(1+Inputs!$B$35/100))+MIN((Skills!T16*(1+Inputs!$B$35/100)),MAX(0,Inputs!$B$44-((R471-1)*Skills!D16))))/Inputs!$B$44),IF(Inputs!$B$39="pvp",MIN((Skills!T16*(1+Inputs!$B$35/100)),15)/15,(Skills!T16*(1+Inputs!$B$35/100))/Skills!D16)))+0)/100)*I457)</f>
        <v/>
      </c>
      <c r="L457">
        <f>K457*(MIN((Inputs!$B$23+1)+((C477=TRUE)*(F477-Calc!F22)),Inputs!$B$24+((C479=TRUE)*(F479-Calc!F24)))/100+(Inputs!$B$24+((C479=TRUE)*(F479-Calc!F24)))/100)/2</f>
        <v/>
      </c>
      <c r="M457">
        <f>L457*(1+(Inputs!$B$11+0+B489)/100)</f>
        <v/>
      </c>
      <c r="N457">
        <f>L457*(1-MIN((Inputs!$B$10+0+B484),100)/100)+M457*(MIN((Inputs!$B$10+0+B484),100)/100)</f>
        <v/>
      </c>
      <c r="O457">
        <f>(1-Summary!$B$55)*T457+Summary!$B$55*V457</f>
        <v/>
      </c>
      <c r="P457">
        <f>IF(B494=0,0,O457/B494)</f>
        <v/>
      </c>
      <c r="Q457" t="n">
        <v>0</v>
      </c>
      <c r="R457" t="n">
        <v>0</v>
      </c>
      <c r="S457">
        <f>IFERROR(O457/N457,0)</f>
        <v/>
      </c>
      <c r="T457">
        <f>IF(C457,(Skills!G2*N457*B488)*IF(Inputs!$B$39="pvp",1,1+(Inputs!$B$21+0+Skills!P2+((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0)</f>
        <v/>
      </c>
      <c r="U457">
        <f>MAX(0,(Inputs!$B$3-100)*3)+Inputs!$B$29+Inputs!$B$30</f>
        <v/>
      </c>
      <c r="V457">
        <f>IF(C457,(Skills!G2*N457*B488)*IF(Inputs!$B$39="pvp",1,(1+(Inputs!$B$22+Skills!Q2+((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MIN((6+Inputs!$B$34),Inputs!$B$38))),0)</f>
        <v/>
      </c>
    </row>
    <row r="458">
      <c r="A458">
        <f>Skills!A3</f>
        <v/>
      </c>
      <c r="B458">
        <f>Skills!B3</f>
        <v/>
      </c>
      <c r="C458">
        <f>Inputs!$B$3&gt;=50</f>
        <v/>
      </c>
      <c r="D458">
        <f>IF(Skills!C3=1,60+Inputs!$B$26+Inputs!$B$30,IF(Skills!C3=2,90+Inputs!$B$27+Inputs!$B$30,IF(Skills!C3=3,120+Inputs!$B$28+Inputs!$B$30,MAX(0,(Inputs!$B$3-100)*3)+Inputs!$B$29+Inputs!$B$30)))</f>
        <v/>
      </c>
      <c r="E458">
        <f>INDEX(FactorTable!$B$2:$Y$301, MATCH(ROUND(MIN(300,MAX(1,D458)),0), FactorTable!$A$2:$A$301,0), Skills!M3+1)</f>
        <v/>
      </c>
      <c r="F458">
        <f>IF(Skills!N3=TRUE,(Skills!L3/10)*(E458/1000),Skills!L3/10)+Skills!O3</f>
        <v/>
      </c>
      <c r="G458" t="inlineStr"/>
      <c r="H458" t="inlineStr"/>
      <c r="I458" t="inlineStr">
        <is>
          <t>1</t>
        </is>
      </c>
      <c r="J458" t="inlineStr"/>
      <c r="K458" t="inlineStr"/>
      <c r="L458" t="inlineStr"/>
      <c r="M458" t="inlineStr"/>
      <c r="N458" t="inlineStr"/>
      <c r="O458" t="inlineStr"/>
      <c r="P458" t="inlineStr"/>
      <c r="Q458" t="inlineStr"/>
      <c r="R458" t="inlineStr"/>
      <c r="S458" t="inlineStr"/>
      <c r="U458">
        <f>INDEX(FactorTable!$B$2:$Y$301, MATCH(ROUND(MIN(300,MAX(1,U457)),0), FactorTable!$A$2:$A$301,0), 22)</f>
        <v/>
      </c>
    </row>
    <row r="459">
      <c r="A459">
        <f>Skills!A4</f>
        <v/>
      </c>
      <c r="B459">
        <f>Skills!B4</f>
        <v/>
      </c>
      <c r="C459">
        <f>Inputs!$B$3&gt;=105</f>
        <v/>
      </c>
      <c r="D459">
        <f>IF(Skills!C4=1,60+Inputs!$B$26+Inputs!$B$30,IF(Skills!C4=2,90+Inputs!$B$27+Inputs!$B$30,IF(Skills!C4=3,120+Inputs!$B$28+Inputs!$B$30,MAX(0,(Inputs!$B$3-100)*3)+Inputs!$B$29+Inputs!$B$30)))</f>
        <v/>
      </c>
      <c r="E459">
        <f>INDEX(FactorTable!$B$2:$Y$301, MATCH(ROUND(MIN(300,MAX(1,D459)),0), FactorTable!$A$2:$A$301,0), Skills!M4+1)</f>
        <v/>
      </c>
      <c r="F459">
        <f>IF(Skills!N4=TRUE,(Skills!L4/10)*(E459/1000),Skills!L4/10)+Skills!O4</f>
        <v/>
      </c>
      <c r="G459" t="inlineStr"/>
      <c r="H459" t="inlineStr"/>
      <c r="I459" t="inlineStr">
        <is>
          <t>1</t>
        </is>
      </c>
      <c r="J459" t="inlineStr"/>
      <c r="K459" t="inlineStr"/>
      <c r="L459" t="inlineStr"/>
      <c r="M459" t="inlineStr"/>
      <c r="N459" t="inlineStr"/>
      <c r="O459" t="inlineStr"/>
      <c r="P459" t="inlineStr"/>
      <c r="Q459" t="inlineStr"/>
      <c r="R459" t="inlineStr"/>
      <c r="S459" t="inlineStr"/>
      <c r="U459">
        <f>290*U458/1000</f>
        <v/>
      </c>
    </row>
    <row r="460">
      <c r="A460">
        <f>Skills!A5</f>
        <v/>
      </c>
      <c r="B460">
        <f>Skills!B5</f>
        <v/>
      </c>
      <c r="C460">
        <f>Inputs!$B$3&gt;=117</f>
        <v/>
      </c>
      <c r="D460">
        <f>IF(Skills!C5=1,60+Inputs!$B$26+Inputs!$B$30,IF(Skills!C5=2,90+Inputs!$B$27+Inputs!$B$30,IF(Skills!C5=3,120+Inputs!$B$28+Inputs!$B$30,MAX(0,(Inputs!$B$3-100)*3)+Inputs!$B$29+Inputs!$B$30)))</f>
        <v/>
      </c>
      <c r="E460">
        <f>INDEX(FactorTable!$B$2:$Y$301, MATCH(ROUND(MIN(300,MAX(1,D460)),0), FactorTable!$A$2:$A$301,0), Skills!M5+1)</f>
        <v/>
      </c>
      <c r="F460">
        <f>IF(Skills!N5=TRUE,(Skills!L5/10)*(E460/1000),Skills!L5/10)+Skills!O5</f>
        <v/>
      </c>
      <c r="G460">
        <f>Skills!G5*IF(Skills!H5&gt;0,Skills!I5/Skills!H5,1)</f>
        <v/>
      </c>
      <c r="H460">
        <f>1-(1-Skills!J5/100)^Skills!K5</f>
        <v/>
      </c>
      <c r="I460" t="inlineStr">
        <is>
          <t>1</t>
        </is>
      </c>
      <c r="J460">
        <f>((Inputs!$B$6*(1+Inputs!$B$7/100))+(((Inputs!$B$13*(1+Inputs!$B$14/100))-(Inputs!$B$13*(1+Inputs!$B$14/100)))+0.25*(Inputs!$B$15-Inputs!$B$15))*(1+Inputs!$B$7/100))*(F460/100)</f>
        <v/>
      </c>
      <c r="K460">
        <f>J460*(1+(((Inputs!$B$13+IF(Inputs!$B$3&gt;=38,(10*INDEX(FactorTable!$B$2:$Y$301, MATCH(ROUND(MIN(300,MAX(1,Inputs!$B$3)),0), FactorTable!$A$2:$A$301,0), 23)/1000)/100*(Inputs!$B$8*(1+Inputs!$B$9/100)),0))*(1+Inputs!$B$14/100))*0.01+Inputs!$B$15*0.0025)/100)*(1+Inputs!$B$16/100)*(1+Inputs!$B$17/100)*(5000/(6000+Inputs!$B$43*(1-(Inputs!$B$20+0)/100)))*(1+(Inputs!$B$25+((C480=TRUE)*(F480-Calc!F25))+((C481=TRUE)*(F481-Calc!F26))+B490)/100)*(1+(IF(Skills!A5="DARK_IMPALE",Inputs!$B$18+0,Inputs!$B$19+((C478=TRUE)*(F478-Calc!F23))))/100)*((1+(((C468=TRUE)*F468*IF(AND(Inputs!$B$39&lt;&gt;"pvp",Inputs!$B$44&gt;0),(((R468-1)*(Skills!T13*(1+Inputs!$B$35/100))+MIN((Skills!T13*(1+Inputs!$B$35/100)),MAX(0,Inputs!$B$44-((R468-1)*Skills!D13))))/Inputs!$B$44),IF(Inputs!$B$39="pvp",MIN((Skills!T13*(1+Inputs!$B$35/100)),15)/15,(Skills!T13*(1+Inputs!$B$35/100))/Skills!D13)))+((C469=TRUE)*F469*IF(AND(Inputs!$B$39&lt;&gt;"pvp",Inputs!$B$44&gt;0),(((R469-1)*(Skills!T14*(1+Inputs!$B$35/100))+MIN((Skills!T14*(1+Inputs!$B$35/100)),MAX(0,Inputs!$B$44-((R469-1)*Skills!D14))))/Inputs!$B$44),IF(Inputs!$B$39="pvp",MIN((Skills!T14*(1+Inputs!$B$35/100)),15)/15,(Skills!T14*(1+Inputs!$B$35/100))/Skills!D14)))+((C470=TRUE)*F470*IF(AND(Inputs!$B$39&lt;&gt;"pvp",Inputs!$B$44&gt;0),(((R470-1)*(Skills!T15*(1+Inputs!$B$35/100))+MIN((Skills!T15*(1+Inputs!$B$35/100)),MAX(0,Inputs!$B$44-((R470-1)*Skills!D15))))/Inputs!$B$44),IF(Inputs!$B$39="pvp",MIN((Skills!T15*(1+Inputs!$B$35/100)),15)/15,(Skills!T15*(1+Inputs!$B$35/100))/Skills!D15)))+((C471=TRUE)*F471*IF(AND(Inputs!$B$39&lt;&gt;"pvp",Inputs!$B$44&gt;0),(((R471-1)*(Skills!T16*(1+Inputs!$B$35/100))+MIN((Skills!T16*(1+Inputs!$B$35/100)),MAX(0,Inputs!$B$44-((R471-1)*Skills!D16))))/Inputs!$B$44),IF(Inputs!$B$39="pvp",MIN((Skills!T16*(1+Inputs!$B$35/100)),15)/15,(Skills!T16*(1+Inputs!$B$35/100))/Skills!D16)))+0)/100)*I460)</f>
        <v/>
      </c>
      <c r="L460">
        <f>K460*(MIN((Inputs!$B$23+1)+((C477=TRUE)*(F477-Calc!F22)),Inputs!$B$24+((C479=TRUE)*(F479-Calc!F24)))/100+(Inputs!$B$24+((C479=TRUE)*(F479-Calc!F24)))/100)/2</f>
        <v/>
      </c>
      <c r="M460">
        <f>L460*(1+(Inputs!$B$11+0+B489)/100)</f>
        <v/>
      </c>
      <c r="N460">
        <f>L460*(1-MIN((Inputs!$B$10+0+B484),100)/100)+M460*(MIN((Inputs!$B$10+0+B484),100)/100)</f>
        <v/>
      </c>
      <c r="O460">
        <f>(1-Summary!$B$55)*T460+Summary!$B$55*V460</f>
        <v/>
      </c>
      <c r="P460">
        <f>IF(B494=0,0,O460/B494)</f>
        <v/>
      </c>
      <c r="Q460">
        <f>IFERROR(1/IF(Inputs!$B$39="pvp",15,MAX(0.1,Skills!D5-IF(Skills!E5=TRUE,Inputs!$B$33,0))),0)</f>
        <v/>
      </c>
      <c r="R460">
        <f>IF(AND(Inputs!$B$39&lt;&gt;"pvp",Inputs!$B$44&gt;0),IF(MAX(0,Inputs!$B$44-B491)&lt;=0,0,(INT(MAX(0,Inputs!$B$44-B491)/IF(Inputs!$B$39="pvp",15,MAX(0.1,Skills!D5-IF(Skills!E5=TRUE,Inputs!$B$33,0))))+1)),0)</f>
        <v/>
      </c>
      <c r="S460">
        <f>IFERROR(O460/N460,0)</f>
        <v/>
      </c>
      <c r="T460">
        <f>IF(C460,(H460*N460*IF(AND(Inputs!$B$39&lt;&gt;"pvp",Inputs!$B$44&gt;0),((Skills!G5*((R460-1)*IF(Skills!H5&gt;0,Skills!I5/Skills!H5,1)+IF(Skills!H5&gt;0,MIN(Skills!I5,MAX(0,MAX(0,Inputs!$B$44-B491)-((R460-1)*IF(Inputs!$B$39="pvp",15,MAX(0.1,Skills!D5-IF(Skills!E5=TRUE,Inputs!$B$33,0))))))/Skills!H5,1)))/Inputs!$B$44),G460*Q460))*IF(Inputs!$B$39="pvp",1,1+(Inputs!$B$21+0+Skills!P5+((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0)</f>
        <v/>
      </c>
      <c r="V460">
        <f>IF(C460,(H460*N460*IF(AND(Inputs!$B$39&lt;&gt;"pvp",Inputs!$B$44&gt;0),((Skills!G5*((R460-1)*IF(Skills!H5&gt;0,Skills!I5/Skills!H5,1)+IF(Skills!H5&gt;0,MIN(Skills!I5,MAX(0,MAX(0,Inputs!$B$44-B491)-((R460-1)*IF(Inputs!$B$39="pvp",15,MAX(0.1,Skills!D5-IF(Skills!E5=TRUE,Inputs!$B$33,0))))))/Skills!H5,1)))/Inputs!$B$44),G460*Q460))*IF(Inputs!$B$39="pvp",1,(1+(Inputs!$B$22+Skills!Q5+((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MIN(Skills!R5,Inputs!$B$38))),0)</f>
        <v/>
      </c>
    </row>
    <row r="461">
      <c r="A461">
        <f>Skills!A6</f>
        <v/>
      </c>
      <c r="B461">
        <f>Skills!B6</f>
        <v/>
      </c>
      <c r="C461">
        <f>Inputs!$B$3&gt;=103</f>
        <v/>
      </c>
      <c r="D461">
        <f>IF(Skills!C6=1,60+Inputs!$B$26+Inputs!$B$30,IF(Skills!C6=2,90+Inputs!$B$27+Inputs!$B$30,IF(Skills!C6=3,120+Inputs!$B$28+Inputs!$B$30,MAX(0,(Inputs!$B$3-100)*3)+Inputs!$B$29+Inputs!$B$30)))</f>
        <v/>
      </c>
      <c r="E461">
        <f>INDEX(FactorTable!$B$2:$Y$301, MATCH(ROUND(MIN(300,MAX(1,D461)),0), FactorTable!$A$2:$A$301,0), Skills!M6+1)</f>
        <v/>
      </c>
      <c r="F461">
        <f>IF(Skills!N6=TRUE,(Skills!L6/10)*(E461/1000),Skills!L6/10)+Skills!O6</f>
        <v/>
      </c>
      <c r="G461">
        <f>Skills!G6*IF(Skills!H6&gt;0,Skills!I6/Skills!H6,1)</f>
        <v/>
      </c>
      <c r="H461">
        <f>1-(1-Skills!J6/100)^Skills!K6</f>
        <v/>
      </c>
      <c r="I461" t="inlineStr">
        <is>
          <t>1</t>
        </is>
      </c>
      <c r="J461">
        <f>((Inputs!$B$6*(1+Inputs!$B$7/100))+(((Inputs!$B$13*(1+Inputs!$B$14/100))-(Inputs!$B$13*(1+Inputs!$B$14/100)))+0.25*(Inputs!$B$15-Inputs!$B$15))*(1+Inputs!$B$7/100))*(F461/100)</f>
        <v/>
      </c>
      <c r="K461">
        <f>J461*(1+(((Inputs!$B$13+IF(Inputs!$B$3&gt;=38,(10*INDEX(FactorTable!$B$2:$Y$301, MATCH(ROUND(MIN(300,MAX(1,Inputs!$B$3)),0), FactorTable!$A$2:$A$301,0), 23)/1000)/100*(Inputs!$B$8*(1+Inputs!$B$9/100)),0))*(1+Inputs!$B$14/100))*0.01+Inputs!$B$15*0.0025)/100)*(1+Inputs!$B$16/100)*(1+Inputs!$B$17/100)*(5000/(6000+Inputs!$B$43*(1-(Inputs!$B$20+0)/100)))*(1+(Inputs!$B$25+((C480=TRUE)*(F480-Calc!F25))+((C481=TRUE)*(F481-Calc!F26))+B490)/100)*(1+(IF(Skills!A6="DARK_IMPALE",Inputs!$B$18+0,Inputs!$B$19+((C478=TRUE)*(F478-Calc!F23))))/100)*((1+(((C468=TRUE)*F468*IF(AND(Inputs!$B$39&lt;&gt;"pvp",Inputs!$B$44&gt;0),(((R468-1)*(Skills!T13*(1+Inputs!$B$35/100))+MIN((Skills!T13*(1+Inputs!$B$35/100)),MAX(0,Inputs!$B$44-((R468-1)*Skills!D13))))/Inputs!$B$44),IF(Inputs!$B$39="pvp",MIN((Skills!T13*(1+Inputs!$B$35/100)),15)/15,(Skills!T13*(1+Inputs!$B$35/100))/Skills!D13)))+((C469=TRUE)*F469*IF(AND(Inputs!$B$39&lt;&gt;"pvp",Inputs!$B$44&gt;0),(((R469-1)*(Skills!T14*(1+Inputs!$B$35/100))+MIN((Skills!T14*(1+Inputs!$B$35/100)),MAX(0,Inputs!$B$44-((R469-1)*Skills!D14))))/Inputs!$B$44),IF(Inputs!$B$39="pvp",MIN((Skills!T14*(1+Inputs!$B$35/100)),15)/15,(Skills!T14*(1+Inputs!$B$35/100))/Skills!D14)))+((C470=TRUE)*F470*IF(AND(Inputs!$B$39&lt;&gt;"pvp",Inputs!$B$44&gt;0),(((R470-1)*(Skills!T15*(1+Inputs!$B$35/100))+MIN((Skills!T15*(1+Inputs!$B$35/100)),MAX(0,Inputs!$B$44-((R470-1)*Skills!D15))))/Inputs!$B$44),IF(Inputs!$B$39="pvp",MIN((Skills!T15*(1+Inputs!$B$35/100)),15)/15,(Skills!T15*(1+Inputs!$B$35/100))/Skills!D15)))+((C471=TRUE)*F471*IF(AND(Inputs!$B$39&lt;&gt;"pvp",Inputs!$B$44&gt;0),(((R471-1)*(Skills!T16*(1+Inputs!$B$35/100))+MIN((Skills!T16*(1+Inputs!$B$35/100)),MAX(0,Inputs!$B$44-((R471-1)*Skills!D16))))/Inputs!$B$44),IF(Inputs!$B$39="pvp",MIN((Skills!T16*(1+Inputs!$B$35/100)),15)/15,(Skills!T16*(1+Inputs!$B$35/100))/Skills!D16)))+0)/100)*I461)</f>
        <v/>
      </c>
      <c r="L461">
        <f>K461*(MIN((Inputs!$B$23+1)+((C477=TRUE)*(F477-Calc!F22)),Inputs!$B$24+((C479=TRUE)*(F479-Calc!F24)))/100+(Inputs!$B$24+((C479=TRUE)*(F479-Calc!F24)))/100)/2</f>
        <v/>
      </c>
      <c r="M461">
        <f>L461*(1+(Inputs!$B$11+0+B489)/100)</f>
        <v/>
      </c>
      <c r="N461">
        <f>L461*(1-MIN((Inputs!$B$10+0+B484),100)/100)+M461*(MIN((Inputs!$B$10+0+B484),100)/100)</f>
        <v/>
      </c>
      <c r="O461">
        <f>(1-Summary!$B$55)*T461+Summary!$B$55*V461</f>
        <v/>
      </c>
      <c r="P461">
        <f>IF(B494=0,0,O461/B494)</f>
        <v/>
      </c>
      <c r="Q461">
        <f>IFERROR(1/IF(Inputs!$B$39="pvp",15,MAX(0.1,Skills!D6-IF(Skills!E6=TRUE,Inputs!$B$33,0))),0)</f>
        <v/>
      </c>
      <c r="R461">
        <f>IF(AND(Inputs!$B$39&lt;&gt;"pvp",Inputs!$B$44&gt;0),IF(MAX(0,Inputs!$B$44-B491)&lt;=0,0,(INT(MAX(0,Inputs!$B$44-B491)/IF(Inputs!$B$39="pvp",15,MAX(0.1,Skills!D6-IF(Skills!E6=TRUE,Inputs!$B$33,0))))+1)),0)</f>
        <v/>
      </c>
      <c r="S461">
        <f>IFERROR(O461/N461,0)</f>
        <v/>
      </c>
      <c r="T461">
        <f>IF(C461,(H461*N461*IF(AND(Inputs!$B$39&lt;&gt;"pvp",Inputs!$B$44&gt;0),((Skills!G6*((R461-1)*IF(Skills!H6&gt;0,Skills!I6/Skills!H6,1)+IF(Skills!H6&gt;0,MIN(Skills!I6,MAX(0,MAX(0,Inputs!$B$44-B491)-((R461-1)*IF(Inputs!$B$39="pvp",15,MAX(0.1,Skills!D6-IF(Skills!E6=TRUE,Inputs!$B$33,0))))))/Skills!H6,1)))/Inputs!$B$44),G461*Q461))*IF(Inputs!$B$39="pvp",1,1+(Inputs!$B$21+0+Skills!P6+((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0)</f>
        <v/>
      </c>
      <c r="V461">
        <f>IF(C461,(H461*N461*IF(AND(Inputs!$B$39&lt;&gt;"pvp",Inputs!$B$44&gt;0),((Skills!G6*((R461-1)*IF(Skills!H6&gt;0,Skills!I6/Skills!H6,1)+IF(Skills!H6&gt;0,MIN(Skills!I6,MAX(0,MAX(0,Inputs!$B$44-B491)-((R461-1)*IF(Inputs!$B$39="pvp",15,MAX(0.1,Skills!D6-IF(Skills!E6=TRUE,Inputs!$B$33,0))))))/Skills!H6,1)))/Inputs!$B$44),G461*Q461))*IF(Inputs!$B$39="pvp",1,(1+(Inputs!$B$22+Skills!Q6+((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MIN(Skills!R6,Inputs!$B$38))),0)</f>
        <v/>
      </c>
    </row>
    <row r="462">
      <c r="A462">
        <f>Skills!A7</f>
        <v/>
      </c>
      <c r="B462">
        <f>Skills!B7</f>
        <v/>
      </c>
      <c r="C462">
        <f>Inputs!$B$3&gt;=40</f>
        <v/>
      </c>
      <c r="D462">
        <f>IF(Skills!C7=1,60+Inputs!$B$26+Inputs!$B$30,IF(Skills!C7=2,90+Inputs!$B$27+Inputs!$B$30,IF(Skills!C7=3,120+Inputs!$B$28+Inputs!$B$30,MAX(0,(Inputs!$B$3-100)*3)+Inputs!$B$29+Inputs!$B$30)))</f>
        <v/>
      </c>
      <c r="E462">
        <f>INDEX(FactorTable!$B$2:$Y$301, MATCH(ROUND(MIN(300,MAX(1,D462)),0), FactorTable!$A$2:$A$301,0), Skills!M7+1)</f>
        <v/>
      </c>
      <c r="F462">
        <f>IF(Skills!N7=TRUE,(Skills!L7/10)*(E462/1000),Skills!L7/10)+Skills!O7</f>
        <v/>
      </c>
      <c r="G462">
        <f>Skills!G7*IF(Skills!H7&gt;0,Skills!I7/Skills!H7,1)</f>
        <v/>
      </c>
      <c r="H462">
        <f>1-(1-Skills!J7/100)^Skills!K7</f>
        <v/>
      </c>
      <c r="I462" t="inlineStr">
        <is>
          <t>1</t>
        </is>
      </c>
      <c r="J462">
        <f>((Inputs!$B$6*(1+Inputs!$B$7/100))+(((Inputs!$B$13*(1+Inputs!$B$14/100))-(Inputs!$B$13*(1+Inputs!$B$14/100)))+0.25*(Inputs!$B$15-Inputs!$B$15))*(1+Inputs!$B$7/100))*(F462/100)</f>
        <v/>
      </c>
      <c r="K462">
        <f>J462*(1+(((Inputs!$B$13+IF(Inputs!$B$3&gt;=38,(10*INDEX(FactorTable!$B$2:$Y$301, MATCH(ROUND(MIN(300,MAX(1,Inputs!$B$3)),0), FactorTable!$A$2:$A$301,0), 23)/1000)/100*(Inputs!$B$8*(1+Inputs!$B$9/100)),0))*(1+Inputs!$B$14/100))*0.01+Inputs!$B$15*0.0025)/100)*(1+Inputs!$B$16/100)*(1+Inputs!$B$17/100)*(5000/(6000+Inputs!$B$43*(1-(Inputs!$B$20+0)/100)))*(1+(Inputs!$B$25+((C480=TRUE)*(F480-Calc!F25))+((C481=TRUE)*(F481-Calc!F26))+B490)/100)*(1+0.75*IF(C466=TRUE,F466,0)/100)*(1+(IF(Skills!A7="DARK_IMPALE",Inputs!$B$18+0,Inputs!$B$19+((C478=TRUE)*(F478-Calc!F23))))/100)*((1+(((C468=TRUE)*F468*IF(AND(Inputs!$B$39&lt;&gt;"pvp",Inputs!$B$44&gt;0),(((R468-1)*(Skills!T13*(1+Inputs!$B$35/100))+MIN((Skills!T13*(1+Inputs!$B$35/100)),MAX(0,Inputs!$B$44-((R468-1)*Skills!D13))))/Inputs!$B$44),IF(Inputs!$B$39="pvp",MIN((Skills!T13*(1+Inputs!$B$35/100)),15)/15,(Skills!T13*(1+Inputs!$B$35/100))/Skills!D13)))+((C469=TRUE)*F469*IF(AND(Inputs!$B$39&lt;&gt;"pvp",Inputs!$B$44&gt;0),(((R469-1)*(Skills!T14*(1+Inputs!$B$35/100))+MIN((Skills!T14*(1+Inputs!$B$35/100)),MAX(0,Inputs!$B$44-((R469-1)*Skills!D14))))/Inputs!$B$44),IF(Inputs!$B$39="pvp",MIN((Skills!T14*(1+Inputs!$B$35/100)),15)/15,(Skills!T14*(1+Inputs!$B$35/100))/Skills!D14)))+((C470=TRUE)*F470*IF(AND(Inputs!$B$39&lt;&gt;"pvp",Inputs!$B$44&gt;0),(((R470-1)*(Skills!T15*(1+Inputs!$B$35/100))+MIN((Skills!T15*(1+Inputs!$B$35/100)),MAX(0,Inputs!$B$44-((R470-1)*Skills!D15))))/Inputs!$B$44),IF(Inputs!$B$39="pvp",MIN((Skills!T15*(1+Inputs!$B$35/100)),15)/15,(Skills!T15*(1+Inputs!$B$35/100))/Skills!D15)))+((C471=TRUE)*F471*IF(AND(Inputs!$B$39&lt;&gt;"pvp",Inputs!$B$44&gt;0),(((R471-1)*(Skills!T16*(1+Inputs!$B$35/100))+MIN((Skills!T16*(1+Inputs!$B$35/100)),MAX(0,Inputs!$B$44-((R471-1)*Skills!D16))))/Inputs!$B$44),IF(Inputs!$B$39="pvp",MIN((Skills!T16*(1+Inputs!$B$35/100)),15)/15,(Skills!T16*(1+Inputs!$B$35/100))/Skills!D16)))+0)/100)*I462)</f>
        <v/>
      </c>
      <c r="L462">
        <f>K462*(MIN((Inputs!$B$23+1)+((C477=TRUE)*(F477-Calc!F22)),Inputs!$B$24+((C479=TRUE)*(F479-Calc!F24)))/100+(Inputs!$B$24+((C479=TRUE)*(F479-Calc!F24)))/100)/2</f>
        <v/>
      </c>
      <c r="M462">
        <f>L462*(1+(Inputs!$B$11+0+B489)/100)</f>
        <v/>
      </c>
      <c r="N462">
        <f>L462*(1-MIN((Inputs!$B$10+0+B484),100)/100)+M462*(MIN((Inputs!$B$10+0+B484),100)/100)</f>
        <v/>
      </c>
      <c r="O462">
        <f>(1-Summary!$B$55)*T462+Summary!$B$55*V462</f>
        <v/>
      </c>
      <c r="P462">
        <f>IF(B494=0,0,O462/B494)</f>
        <v/>
      </c>
      <c r="Q462">
        <f>IFERROR(1/IF(Inputs!$B$39="pvp",15,MAX(0.1,Skills!D7-IF(Skills!E7=TRUE,Inputs!$B$33,0))),0)</f>
        <v/>
      </c>
      <c r="R462">
        <f>IF(AND(Inputs!$B$39&lt;&gt;"pvp",Inputs!$B$44&gt;0),IF(MAX(0,Inputs!$B$44-B491)&lt;=0,0,(INT(MAX(0,Inputs!$B$44-B491)/IF(Inputs!$B$39="pvp",15,MAX(0.1,Skills!D7-IF(Skills!E7=TRUE,Inputs!$B$33,0))))+1)),0)</f>
        <v/>
      </c>
      <c r="S462">
        <f>IFERROR(O462/N462,0)</f>
        <v/>
      </c>
      <c r="T462">
        <f>IF(C462,(H462*N462*IF(AND(Inputs!$B$39&lt;&gt;"pvp",Inputs!$B$44&gt;0),((Skills!G7*((R462-1)*IF(Skills!H7&gt;0,Skills!I7/Skills!H7,1)+IF(Skills!H7&gt;0,MIN(Skills!I7,MAX(0,MAX(0,Inputs!$B$44-B491)-((R462-1)*IF(Inputs!$B$39="pvp",15,MAX(0.1,Skills!D7-IF(Skills!E7=TRUE,Inputs!$B$33,0))))))/Skills!H7,1)))/Inputs!$B$44),G462*Q462))*IF(Inputs!$B$39="pvp",1,1+(Inputs!$B$21+0+Skills!P7+((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0)</f>
        <v/>
      </c>
      <c r="V462">
        <f>IF(C462,(H462*N462*IF(AND(Inputs!$B$39&lt;&gt;"pvp",Inputs!$B$44&gt;0),((Skills!G7*((R462-1)*IF(Skills!H7&gt;0,Skills!I7/Skills!H7,1)+IF(Skills!H7&gt;0,MIN(Skills!I7,MAX(0,MAX(0,Inputs!$B$44-B491)-((R462-1)*IF(Inputs!$B$39="pvp",15,MAX(0.1,Skills!D7-IF(Skills!E7=TRUE,Inputs!$B$33,0))))))/Skills!H7,1)))/Inputs!$B$44),G462*Q462))*IF(Inputs!$B$39="pvp",1,(1+(Inputs!$B$22+Skills!Q7+((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MIN(Skills!R7,Inputs!$B$38))),0)</f>
        <v/>
      </c>
    </row>
    <row r="463">
      <c r="A463">
        <f>Skills!A8</f>
        <v/>
      </c>
      <c r="B463">
        <f>Skills!B8</f>
        <v/>
      </c>
      <c r="C463">
        <f>Inputs!$B$3&gt;=75</f>
        <v/>
      </c>
      <c r="D463">
        <f>IF(Skills!C8=1,60+Inputs!$B$26+Inputs!$B$30,IF(Skills!C8=2,90+Inputs!$B$27+Inputs!$B$30,IF(Skills!C8=3,120+Inputs!$B$28+Inputs!$B$30,MAX(0,(Inputs!$B$3-100)*3)+Inputs!$B$29+Inputs!$B$30)))</f>
        <v/>
      </c>
      <c r="E463">
        <f>INDEX(FactorTable!$B$2:$Y$301, MATCH(ROUND(MIN(300,MAX(1,D463)),0), FactorTable!$A$2:$A$301,0), Skills!M8+1)</f>
        <v/>
      </c>
      <c r="F463">
        <f>IF(Skills!N8=TRUE,(Skills!L8/10)*(E463/1000),Skills!L8/10)+Skills!O8</f>
        <v/>
      </c>
      <c r="G463" t="inlineStr"/>
      <c r="H463" t="inlineStr"/>
      <c r="I463" t="inlineStr">
        <is>
          <t>1</t>
        </is>
      </c>
      <c r="J463" t="inlineStr"/>
      <c r="K463" t="inlineStr"/>
      <c r="L463" t="inlineStr"/>
      <c r="M463" t="inlineStr"/>
      <c r="N463" t="inlineStr"/>
      <c r="O463" t="inlineStr"/>
      <c r="P463" t="inlineStr"/>
      <c r="Q463" t="inlineStr"/>
      <c r="R463" t="inlineStr"/>
      <c r="S463" t="inlineStr"/>
    </row>
    <row r="464">
      <c r="A464">
        <f>Skills!A9</f>
        <v/>
      </c>
      <c r="B464">
        <f>Skills!B9</f>
        <v/>
      </c>
      <c r="C464">
        <f>Inputs!$B$3&gt;=60</f>
        <v/>
      </c>
      <c r="D464">
        <f>IF(Skills!C9=1,60+Inputs!$B$26+Inputs!$B$30,IF(Skills!C9=2,90+Inputs!$B$27+Inputs!$B$30,IF(Skills!C9=3,120+Inputs!$B$28+Inputs!$B$30,MAX(0,(Inputs!$B$3-100)*3)+Inputs!$B$29+Inputs!$B$30)))</f>
        <v/>
      </c>
      <c r="E464">
        <f>INDEX(FactorTable!$B$2:$Y$301, MATCH(ROUND(MIN(300,MAX(1,D464)),0), FactorTable!$A$2:$A$301,0), Skills!M9+1)</f>
        <v/>
      </c>
      <c r="F464">
        <f>IF(Skills!N9=TRUE,(Skills!L9/10)*(E464/1000),Skills!L9/10)+Skills!O9</f>
        <v/>
      </c>
      <c r="G464">
        <f>Skills!G9*IF(Skills!H9&gt;0,Skills!I9/Skills!H9,1)</f>
        <v/>
      </c>
      <c r="H464">
        <f>1-(1-Skills!J9/100)^Skills!K9</f>
        <v/>
      </c>
      <c r="I464" t="inlineStr">
        <is>
          <t>1</t>
        </is>
      </c>
      <c r="J464">
        <f>((Inputs!$B$6*(1+Inputs!$B$7/100))+(((Inputs!$B$13*(1+Inputs!$B$14/100))-(Inputs!$B$13*(1+Inputs!$B$14/100)))+0.25*(Inputs!$B$15-Inputs!$B$15))*(1+Inputs!$B$7/100))*(F464/100)</f>
        <v/>
      </c>
      <c r="K464">
        <f>J464*(1+(((Inputs!$B$13+IF(Inputs!$B$3&gt;=38,(10*INDEX(FactorTable!$B$2:$Y$301, MATCH(ROUND(MIN(300,MAX(1,Inputs!$B$3)),0), FactorTable!$A$2:$A$301,0), 23)/1000)/100*(Inputs!$B$8*(1+Inputs!$B$9/100)),0))*(1+Inputs!$B$14/100))*0.01+Inputs!$B$15*0.0025)/100)*(1+Inputs!$B$16/100)*(1+Inputs!$B$17/100)*(5000/(6000+Inputs!$B$43*(1-(Inputs!$B$20+0)/100)))*(1+(Inputs!$B$25+((C480=TRUE)*(F480-Calc!F25))+((C481=TRUE)*(F481-Calc!F26))+B490)/100)*(1+1.0*IF(C466=TRUE,F466,0)/100)*(1+(IF(Skills!A9="DARK_IMPALE",Inputs!$B$18+0,Inputs!$B$19+((C478=TRUE)*(F478-Calc!F23))))/100)*((1+(((C468=TRUE)*F468*IF(AND(Inputs!$B$39&lt;&gt;"pvp",Inputs!$B$44&gt;0),(((R468-1)*(Skills!T13*(1+Inputs!$B$35/100))+MIN((Skills!T13*(1+Inputs!$B$35/100)),MAX(0,Inputs!$B$44-((R468-1)*Skills!D13))))/Inputs!$B$44),IF(Inputs!$B$39="pvp",MIN((Skills!T13*(1+Inputs!$B$35/100)),15)/15,(Skills!T13*(1+Inputs!$B$35/100))/Skills!D13)))+((C469=TRUE)*F469*IF(AND(Inputs!$B$39&lt;&gt;"pvp",Inputs!$B$44&gt;0),(((R469-1)*(Skills!T14*(1+Inputs!$B$35/100))+MIN((Skills!T14*(1+Inputs!$B$35/100)),MAX(0,Inputs!$B$44-((R469-1)*Skills!D14))))/Inputs!$B$44),IF(Inputs!$B$39="pvp",MIN((Skills!T14*(1+Inputs!$B$35/100)),15)/15,(Skills!T14*(1+Inputs!$B$35/100))/Skills!D14)))+((C470=TRUE)*F470*IF(AND(Inputs!$B$39&lt;&gt;"pvp",Inputs!$B$44&gt;0),(((R470-1)*(Skills!T15*(1+Inputs!$B$35/100))+MIN((Skills!T15*(1+Inputs!$B$35/100)),MAX(0,Inputs!$B$44-((R470-1)*Skills!D15))))/Inputs!$B$44),IF(Inputs!$B$39="pvp",MIN((Skills!T15*(1+Inputs!$B$35/100)),15)/15,(Skills!T15*(1+Inputs!$B$35/100))/Skills!D15)))+((C471=TRUE)*F471*IF(AND(Inputs!$B$39&lt;&gt;"pvp",Inputs!$B$44&gt;0),(((R471-1)*(Skills!T16*(1+Inputs!$B$35/100))+MIN((Skills!T16*(1+Inputs!$B$35/100)),MAX(0,Inputs!$B$44-((R471-1)*Skills!D16))))/Inputs!$B$44),IF(Inputs!$B$39="pvp",MIN((Skills!T16*(1+Inputs!$B$35/100)),15)/15,(Skills!T16*(1+Inputs!$B$35/100))/Skills!D16)))+0)/100)*I464)</f>
        <v/>
      </c>
      <c r="L464">
        <f>K464*(MIN((Inputs!$B$23+1)+((C477=TRUE)*(F477-Calc!F22)),Inputs!$B$24+((C479=TRUE)*(F479-Calc!F24)))/100+(Inputs!$B$24+((C479=TRUE)*(F479-Calc!F24)))/100)/2</f>
        <v/>
      </c>
      <c r="M464">
        <f>L464*(1+(Inputs!$B$11+0+B489)/100)</f>
        <v/>
      </c>
      <c r="N464">
        <f>L464*(1-MIN((Inputs!$B$10+0+B484),100)/100)+M464*(MIN((Inputs!$B$10+0+B484),100)/100)</f>
        <v/>
      </c>
      <c r="O464">
        <f>(1-Summary!$B$55)*T464+Summary!$B$55*V464</f>
        <v/>
      </c>
      <c r="P464">
        <f>IF(B494=0,0,O464/B494)</f>
        <v/>
      </c>
      <c r="Q464">
        <f>IFERROR(1/IF(Inputs!$B$39="pvp",15,MAX(0.1,Skills!D9-IF(Skills!E9=TRUE,Inputs!$B$33,0))),0)</f>
        <v/>
      </c>
      <c r="R464">
        <f>IF(AND(Inputs!$B$39&lt;&gt;"pvp",Inputs!$B$44&gt;0),IF(MAX(0,Inputs!$B$44-B491)&lt;=0,0,(INT(MAX(0,Inputs!$B$44-B491)/IF(Inputs!$B$39="pvp",15,MAX(0.1,Skills!D9-IF(Skills!E9=TRUE,Inputs!$B$33,0))))+1)),0)</f>
        <v/>
      </c>
      <c r="S464">
        <f>IFERROR(O464/N464,0)</f>
        <v/>
      </c>
      <c r="T464">
        <f>IF(C464,(H464*N464*IF(AND(Inputs!$B$39&lt;&gt;"pvp",Inputs!$B$44&gt;0),((Skills!G9*((R464-1)*IF(Skills!H9&gt;0,Skills!I9/Skills!H9,1)+IF(Skills!H9&gt;0,MIN(Skills!I9,MAX(0,MAX(0,Inputs!$B$44-B491)-((R464-1)*IF(Inputs!$B$39="pvp",15,MAX(0.1,Skills!D9-IF(Skills!E9=TRUE,Inputs!$B$33,0))))))/Skills!H9,1)))/Inputs!$B$44),G464*Q464))*IF(Inputs!$B$39="pvp",1,1+(Inputs!$B$21+0+Skills!P9+((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0)</f>
        <v/>
      </c>
      <c r="V464">
        <f>IF(C464,(H464*N464*IF(AND(Inputs!$B$39&lt;&gt;"pvp",Inputs!$B$44&gt;0),((Skills!G9*((R464-1)*IF(Skills!H9&gt;0,Skills!I9/Skills!H9,1)+IF(Skills!H9&gt;0,MIN(Skills!I9,MAX(0,MAX(0,Inputs!$B$44-B491)-((R464-1)*IF(Inputs!$B$39="pvp",15,MAX(0.1,Skills!D9-IF(Skills!E9=TRUE,Inputs!$B$33,0))))))/Skills!H9,1)))/Inputs!$B$44),G464*Q464))*IF(Inputs!$B$39="pvp",1,(1+(Inputs!$B$22+Skills!Q9+((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MIN(Skills!R9,Inputs!$B$38))),0)</f>
        <v/>
      </c>
    </row>
    <row r="465">
      <c r="A465">
        <f>Skills!A10</f>
        <v/>
      </c>
      <c r="B465">
        <f>Skills!B10</f>
        <v/>
      </c>
      <c r="C465">
        <f>Inputs!$B$3&gt;=110</f>
        <v/>
      </c>
      <c r="D465">
        <f>IF(Skills!C10=1,60+Inputs!$B$26+Inputs!$B$30,IF(Skills!C10=2,90+Inputs!$B$27+Inputs!$B$30,IF(Skills!C10=3,120+Inputs!$B$28+Inputs!$B$30,MAX(0,(Inputs!$B$3-100)*3)+Inputs!$B$29+Inputs!$B$30)))</f>
        <v/>
      </c>
      <c r="E465">
        <f>INDEX(FactorTable!$B$2:$Y$301, MATCH(ROUND(MIN(300,MAX(1,D465)),0), FactorTable!$A$2:$A$301,0), Skills!M10+1)</f>
        <v/>
      </c>
      <c r="F465">
        <f>IF(Skills!N10=TRUE,(Skills!L10/10)*(E465/1000),Skills!L10/10)+Skills!O10</f>
        <v/>
      </c>
      <c r="G465">
        <f>Skills!G10*IF(Skills!H10&gt;0,Skills!I10/Skills!H10,1)</f>
        <v/>
      </c>
      <c r="H465">
        <f>1-(1-Skills!J10/100)^Skills!K10</f>
        <v/>
      </c>
      <c r="I465" t="inlineStr">
        <is>
          <t>1</t>
        </is>
      </c>
      <c r="J465">
        <f>((Inputs!$B$6*(1+Inputs!$B$7/100))+(((Inputs!$B$13*(1+Inputs!$B$14/100))-(Inputs!$B$13*(1+Inputs!$B$14/100)))+0.25*(Inputs!$B$15-Inputs!$B$15))*(1+Inputs!$B$7/100))*(F465/100)</f>
        <v/>
      </c>
      <c r="K465">
        <f>J465*(1+(((Inputs!$B$13+IF(Inputs!$B$3&gt;=38,(10*INDEX(FactorTable!$B$2:$Y$301, MATCH(ROUND(MIN(300,MAX(1,Inputs!$B$3)),0), FactorTable!$A$2:$A$301,0), 23)/1000)/100*(Inputs!$B$8*(1+Inputs!$B$9/100)),0))*(1+Inputs!$B$14/100))*0.01+Inputs!$B$15*0.0025)/100)*(1+Inputs!$B$16/100)*(1+Inputs!$B$17/100)*(5000/(6000+Inputs!$B$43*(1-(Inputs!$B$20+0)/100)))*(1+(Inputs!$B$25+((C480=TRUE)*(F480-Calc!F25))+((C481=TRUE)*(F481-Calc!F26))+B490)/100)*(1+(IF(Skills!A10="DARK_IMPALE",Inputs!$B$18+0,Inputs!$B$19+((C478=TRUE)*(F478-Calc!F23))))/100)*((1+(((C468=TRUE)*F468*IF(AND(Inputs!$B$39&lt;&gt;"pvp",Inputs!$B$44&gt;0),(((R468-1)*(Skills!T13*(1+Inputs!$B$35/100))+MIN((Skills!T13*(1+Inputs!$B$35/100)),MAX(0,Inputs!$B$44-((R468-1)*Skills!D13))))/Inputs!$B$44),IF(Inputs!$B$39="pvp",MIN((Skills!T13*(1+Inputs!$B$35/100)),15)/15,(Skills!T13*(1+Inputs!$B$35/100))/Skills!D13)))+((C469=TRUE)*F469*IF(AND(Inputs!$B$39&lt;&gt;"pvp",Inputs!$B$44&gt;0),(((R469-1)*(Skills!T14*(1+Inputs!$B$35/100))+MIN((Skills!T14*(1+Inputs!$B$35/100)),MAX(0,Inputs!$B$44-((R469-1)*Skills!D14))))/Inputs!$B$44),IF(Inputs!$B$39="pvp",MIN((Skills!T14*(1+Inputs!$B$35/100)),15)/15,(Skills!T14*(1+Inputs!$B$35/100))/Skills!D14)))+((C470=TRUE)*F470*IF(AND(Inputs!$B$39&lt;&gt;"pvp",Inputs!$B$44&gt;0),(((R470-1)*(Skills!T15*(1+Inputs!$B$35/100))+MIN((Skills!T15*(1+Inputs!$B$35/100)),MAX(0,Inputs!$B$44-((R470-1)*Skills!D15))))/Inputs!$B$44),IF(Inputs!$B$39="pvp",MIN((Skills!T15*(1+Inputs!$B$35/100)),15)/15,(Skills!T15*(1+Inputs!$B$35/100))/Skills!D15)))+((C471=TRUE)*F471*IF(AND(Inputs!$B$39&lt;&gt;"pvp",Inputs!$B$44&gt;0),(((R471-1)*(Skills!T16*(1+Inputs!$B$35/100))+MIN((Skills!T16*(1+Inputs!$B$35/100)),MAX(0,Inputs!$B$44-((R471-1)*Skills!D16))))/Inputs!$B$44),IF(Inputs!$B$39="pvp",MIN((Skills!T16*(1+Inputs!$B$35/100)),15)/15,(Skills!T16*(1+Inputs!$B$35/100))/Skills!D16)))+0)/100)*I465)</f>
        <v/>
      </c>
      <c r="L465">
        <f>K465*(MIN((Inputs!$B$23+1)+((C477=TRUE)*(F477-Calc!F22)),Inputs!$B$24+((C479=TRUE)*(F479-Calc!F24)))/100+(Inputs!$B$24+((C479=TRUE)*(F479-Calc!F24)))/100)/2</f>
        <v/>
      </c>
      <c r="M465">
        <f>L465*(1+(Inputs!$B$11+0+B489)/100)</f>
        <v/>
      </c>
      <c r="N465">
        <f>L465*(1-MIN((Inputs!$B$10+0+B484),100)/100)+M465*(MIN((Inputs!$B$10+0+B484),100)/100)</f>
        <v/>
      </c>
      <c r="O465">
        <f>(1-Summary!$B$55)*T465+Summary!$B$55*V465</f>
        <v/>
      </c>
      <c r="P465">
        <f>IF(B494=0,0,O465/B494)</f>
        <v/>
      </c>
      <c r="Q465">
        <f>IFERROR(1/IF(Inputs!$B$39="pvp",15,MAX(0.1,Skills!D10-IF(Skills!E10=TRUE,Inputs!$B$33,0))),0)</f>
        <v/>
      </c>
      <c r="R465">
        <f>IF(AND(Inputs!$B$39&lt;&gt;"pvp",Inputs!$B$44&gt;0),IF(MAX(0,Inputs!$B$44-B491)&lt;=0,0,(INT(MAX(0,Inputs!$B$44-B491)/IF(Inputs!$B$39="pvp",15,MAX(0.1,Skills!D10-IF(Skills!E10=TRUE,Inputs!$B$33,0))))+1)),0)</f>
        <v/>
      </c>
      <c r="S465">
        <f>IFERROR(O465/N465,0)</f>
        <v/>
      </c>
      <c r="T465">
        <f>IF(C465,(H465*N465*IF(AND(Inputs!$B$39&lt;&gt;"pvp",Inputs!$B$44&gt;0),((Skills!G10*((R465-1)*IF(Skills!H10&gt;0,Skills!I10/Skills!H10,1)+IF(Skills!H10&gt;0,MIN(Skills!I10,MAX(0,MAX(0,Inputs!$B$44-B491)-((R465-1)*IF(Inputs!$B$39="pvp",15,MAX(0.1,Skills!D10-IF(Skills!E10=TRUE,Inputs!$B$33,0))))))/Skills!H10,1)))/Inputs!$B$44),G465*Q465))*IF(Inputs!$B$39="pvp",1,1+(Inputs!$B$21+0+Skills!P10+((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0)</f>
        <v/>
      </c>
      <c r="V465">
        <f>IF(C465,(H465*N465*IF(AND(Inputs!$B$39&lt;&gt;"pvp",Inputs!$B$44&gt;0),((Skills!G10*((R465-1)*IF(Skills!H10&gt;0,Skills!I10/Skills!H10,1)+IF(Skills!H10&gt;0,MIN(Skills!I10,MAX(0,MAX(0,Inputs!$B$44-B491)-((R465-1)*IF(Inputs!$B$39="pvp",15,MAX(0.1,Skills!D10-IF(Skills!E10=TRUE,Inputs!$B$33,0))))))/Skills!H10,1)))/Inputs!$B$44),G465*Q465))*IF(Inputs!$B$39="pvp",1,(1+(Inputs!$B$22+Skills!Q10+((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MIN(Skills!R10,Inputs!$B$38))),0)</f>
        <v/>
      </c>
    </row>
    <row r="466">
      <c r="A466">
        <f>Skills!A11</f>
        <v/>
      </c>
      <c r="B466">
        <f>Skills!B11</f>
        <v/>
      </c>
      <c r="C466">
        <f>Inputs!$B$3&gt;=100</f>
        <v/>
      </c>
      <c r="D466">
        <f>IF(Skills!C11=1,60+Inputs!$B$26+Inputs!$B$30,IF(Skills!C11=2,90+Inputs!$B$27+Inputs!$B$30,IF(Skills!C11=3,120+Inputs!$B$28+Inputs!$B$30,MAX(0,(Inputs!$B$3-100)*3)+Inputs!$B$29+Inputs!$B$30)))</f>
        <v/>
      </c>
      <c r="E466">
        <f>INDEX(FactorTable!$B$2:$Y$301, MATCH(ROUND(MIN(300,MAX(1,D466)),0), FactorTable!$A$2:$A$301,0), Skills!M11+1)</f>
        <v/>
      </c>
      <c r="F466">
        <f>IF(Skills!N11=TRUE,(Skills!L11/10)*(E466/1000),Skills!L11/10)+Skills!O11</f>
        <v/>
      </c>
      <c r="G466" t="inlineStr"/>
      <c r="H466" t="inlineStr"/>
      <c r="I466" t="inlineStr">
        <is>
          <t>1</t>
        </is>
      </c>
      <c r="J466" t="inlineStr"/>
      <c r="K466" t="inlineStr"/>
      <c r="L466" t="inlineStr"/>
      <c r="M466" t="inlineStr"/>
      <c r="N466" t="inlineStr"/>
      <c r="O466" t="inlineStr"/>
      <c r="P466" t="inlineStr"/>
      <c r="Q466" t="inlineStr"/>
      <c r="R466" t="inlineStr"/>
      <c r="S466" t="inlineStr"/>
    </row>
    <row r="467">
      <c r="A467">
        <f>Skills!A12</f>
        <v/>
      </c>
      <c r="B467">
        <f>Skills!B12</f>
        <v/>
      </c>
      <c r="C467">
        <f>Inputs!$B$3&gt;=63</f>
        <v/>
      </c>
      <c r="D467">
        <f>IF(Skills!C12=1,60+Inputs!$B$26+Inputs!$B$30,IF(Skills!C12=2,90+Inputs!$B$27+Inputs!$B$30,IF(Skills!C12=3,120+Inputs!$B$28+Inputs!$B$30,MAX(0,(Inputs!$B$3-100)*3)+Inputs!$B$29+Inputs!$B$30)))</f>
        <v/>
      </c>
      <c r="E467">
        <f>INDEX(FactorTable!$B$2:$Y$301, MATCH(ROUND(MIN(300,MAX(1,D467)),0), FactorTable!$A$2:$A$301,0), Skills!M12+1)</f>
        <v/>
      </c>
      <c r="F467">
        <f>IF(Skills!N12=TRUE,(Skills!L12/10)*(E467/1000),Skills!L12/10)+Skills!O12</f>
        <v/>
      </c>
      <c r="G467">
        <f>Skills!G12*IF(Skills!H12&gt;0,Skills!I12/Skills!H12,1)</f>
        <v/>
      </c>
      <c r="H467">
        <f>1-(1-Skills!J12/100)^Skills!K12</f>
        <v/>
      </c>
      <c r="I467" t="inlineStr">
        <is>
          <t>1</t>
        </is>
      </c>
      <c r="J467">
        <f>((Inputs!$B$6*(1+Inputs!$B$7/100))+(((Inputs!$B$13*(1+Inputs!$B$14/100))-(Inputs!$B$13*(1+Inputs!$B$14/100)))+0.25*(Inputs!$B$15-Inputs!$B$15))*(1+Inputs!$B$7/100))*(F467/100)</f>
        <v/>
      </c>
      <c r="K467">
        <f>J467*(1+(((Inputs!$B$13+IF(Inputs!$B$3&gt;=38,(10*INDEX(FactorTable!$B$2:$Y$301, MATCH(ROUND(MIN(300,MAX(1,Inputs!$B$3)),0), FactorTable!$A$2:$A$301,0), 23)/1000)/100*(Inputs!$B$8*(1+Inputs!$B$9/100)),0))*(1+Inputs!$B$14/100))*0.01+Inputs!$B$15*0.0025)/100)*(1+Inputs!$B$16/100)*(1+Inputs!$B$17/100)*(5000/(6000+Inputs!$B$43*(1-(Inputs!$B$20+0)/100)))*(1+(Inputs!$B$25+((C480=TRUE)*(F480-Calc!F25))+((C481=TRUE)*(F481-Calc!F26))+B490)/100)*(1+0.75*IF(C466=TRUE,F466,0)/100)*(1+(IF(Skills!A12="DARK_IMPALE",Inputs!$B$18+0,Inputs!$B$19+((C478=TRUE)*(F478-Calc!F23))))/100)*((1+(((C468=TRUE)*F468*IF(AND(Inputs!$B$39&lt;&gt;"pvp",Inputs!$B$44&gt;0),(((R468-1)*(Skills!T13*(1+Inputs!$B$35/100))+MIN((Skills!T13*(1+Inputs!$B$35/100)),MAX(0,Inputs!$B$44-((R468-1)*Skills!D13))))/Inputs!$B$44),IF(Inputs!$B$39="pvp",MIN((Skills!T13*(1+Inputs!$B$35/100)),15)/15,(Skills!T13*(1+Inputs!$B$35/100))/Skills!D13)))+((C469=TRUE)*F469*IF(AND(Inputs!$B$39&lt;&gt;"pvp",Inputs!$B$44&gt;0),(((R469-1)*(Skills!T14*(1+Inputs!$B$35/100))+MIN((Skills!T14*(1+Inputs!$B$35/100)),MAX(0,Inputs!$B$44-((R469-1)*Skills!D14))))/Inputs!$B$44),IF(Inputs!$B$39="pvp",MIN((Skills!T14*(1+Inputs!$B$35/100)),15)/15,(Skills!T14*(1+Inputs!$B$35/100))/Skills!D14)))+((C470=TRUE)*F470*IF(AND(Inputs!$B$39&lt;&gt;"pvp",Inputs!$B$44&gt;0),(((R470-1)*(Skills!T15*(1+Inputs!$B$35/100))+MIN((Skills!T15*(1+Inputs!$B$35/100)),MAX(0,Inputs!$B$44-((R470-1)*Skills!D15))))/Inputs!$B$44),IF(Inputs!$B$39="pvp",MIN((Skills!T15*(1+Inputs!$B$35/100)),15)/15,(Skills!T15*(1+Inputs!$B$35/100))/Skills!D15)))+((C471=TRUE)*F471*IF(AND(Inputs!$B$39&lt;&gt;"pvp",Inputs!$B$44&gt;0),(((R471-1)*(Skills!T16*(1+Inputs!$B$35/100))+MIN((Skills!T16*(1+Inputs!$B$35/100)),MAX(0,Inputs!$B$44-((R471-1)*Skills!D16))))/Inputs!$B$44),IF(Inputs!$B$39="pvp",MIN((Skills!T16*(1+Inputs!$B$35/100)),15)/15,(Skills!T16*(1+Inputs!$B$35/100))/Skills!D16)))+0)/100)*I467)</f>
        <v/>
      </c>
      <c r="L467">
        <f>K467*(MIN((Inputs!$B$23+1)+((C477=TRUE)*(F477-Calc!F22)),Inputs!$B$24+((C479=TRUE)*(F479-Calc!F24)))/100+(Inputs!$B$24+((C479=TRUE)*(F479-Calc!F24)))/100)/2</f>
        <v/>
      </c>
      <c r="M467">
        <f>L467*(1+(Inputs!$B$11+0+B489)/100)</f>
        <v/>
      </c>
      <c r="N467">
        <f>L467*(1-MIN((Inputs!$B$10+0+B484),100)/100)+M467*(MIN((Inputs!$B$10+0+B484),100)/100)</f>
        <v/>
      </c>
      <c r="O467">
        <f>(1-Summary!$B$55)*T467+Summary!$B$55*V467</f>
        <v/>
      </c>
      <c r="P467">
        <f>IF(B494=0,0,O467/B494)</f>
        <v/>
      </c>
      <c r="Q467">
        <f>IFERROR(1/IF(Inputs!$B$39="pvp",15,MAX(0.1,Skills!D12-IF(Skills!E12=TRUE,Inputs!$B$33,0))),0)</f>
        <v/>
      </c>
      <c r="R467">
        <f>IF(AND(Inputs!$B$39&lt;&gt;"pvp",Inputs!$B$44&gt;0),IF(MAX(0,Inputs!$B$44-B491)&lt;=0,0,(INT(MAX(0,Inputs!$B$44-B491)/IF(Inputs!$B$39="pvp",15,MAX(0.1,Skills!D12-IF(Skills!E12=TRUE,Inputs!$B$33,0))))+1)),0)</f>
        <v/>
      </c>
      <c r="S467">
        <f>IFERROR(O467/N467,0)</f>
        <v/>
      </c>
      <c r="T467">
        <f>IF(C467,(H467*N467*IF(AND(Inputs!$B$39&lt;&gt;"pvp",Inputs!$B$44&gt;0),((Skills!G12*((R467-1)*IF(Skills!H12&gt;0,Skills!I12/Skills!H12,1)+IF(Skills!H12&gt;0,MIN(Skills!I12,MAX(0,MAX(0,Inputs!$B$44-B491)-((R467-1)*IF(Inputs!$B$39="pvp",15,MAX(0.1,Skills!D12-IF(Skills!E12=TRUE,Inputs!$B$33,0))))))/Skills!H12,1)))/Inputs!$B$44),G467*Q467))*IF(Inputs!$B$39="pvp",1,1+(Inputs!$B$21+0+Skills!P12+((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0)</f>
        <v/>
      </c>
      <c r="V467">
        <f>IF(C467,(H467*N467*IF(AND(Inputs!$B$39&lt;&gt;"pvp",Inputs!$B$44&gt;0),((Skills!G12*((R467-1)*IF(Skills!H12&gt;0,Skills!I12/Skills!H12,1)+IF(Skills!H12&gt;0,MIN(Skills!I12,MAX(0,MAX(0,Inputs!$B$44-B491)-((R467-1)*IF(Inputs!$B$39="pvp",15,MAX(0.1,Skills!D12-IF(Skills!E12=TRUE,Inputs!$B$33,0))))))/Skills!H12,1)))/Inputs!$B$44),G467*Q467))*IF(Inputs!$B$39="pvp",1,(1+(Inputs!$B$22+Skills!Q12+((C472=TRUE)*F472*IF(AND(Inputs!$B$39&lt;&gt;"pvp",Inputs!$B$44&gt;0),(((R472-1)*(Skills!T17*(1+Inputs!$B$35/100))+MIN((Skills!T17*(1+Inputs!$B$35/100)),MAX(0,Inputs!$B$44-((R472-1)*Skills!D17))))/Inputs!$B$44),IF(Inputs!$B$39="pvp",MIN((Skills!T17*(1+Inputs!$B$35/100)),15)/15,(Skills!T17*(1+Inputs!$B$35/100))/Skills!D17)))+((C469=TRUE)*IF(Inputs!$B$39="pvp",20,(1-Summary!$B$55)*(20)+Summary!$B$55*(0))*IF(AND(Inputs!$B$39&lt;&gt;"pvp",Inputs!$B$44&gt;0),(((R469-1)*(Skills!T14*(1+Inputs!$B$35/100))+MIN((Skills!T14*(1+Inputs!$B$35/100)),MAX(0,Inputs!$B$44-((R469-1)*Skills!D14))))/Inputs!$B$44),IF(Inputs!$B$39="pvp",MIN((Skills!T14*(1+Inputs!$B$35/100)),15)/15,(Skills!T14*(1+Inputs!$B$35/100))/Skills!D14))))/100)*(MIN(Skills!R12,Inputs!$B$38))),0)</f>
        <v/>
      </c>
    </row>
    <row r="468">
      <c r="A468">
        <f>Skills!A13</f>
        <v/>
      </c>
      <c r="B468">
        <f>Skills!B13</f>
        <v/>
      </c>
      <c r="C468">
        <f>Inputs!$B$3&gt;=69</f>
        <v/>
      </c>
      <c r="D468">
        <f>IF(Skills!C13=1,60+Inputs!$B$26+Inputs!$B$30,IF(Skills!C13=2,90+Inputs!$B$27+Inputs!$B$30,IF(Skills!C13=3,120+Inputs!$B$28+Inputs!$B$30,MAX(0,(Inputs!$B$3-100)*3)+Inputs!$B$29+Inputs!$B$30)))</f>
        <v/>
      </c>
      <c r="E468">
        <f>INDEX(FactorTable!$B$2:$Y$301, MATCH(ROUND(MIN(300,MAX(1,D468)),0), FactorTable!$A$2:$A$301,0), Skills!M13+1)</f>
        <v/>
      </c>
      <c r="F468">
        <f>IF(Skills!N13=TRUE,(Skills!L13/10)*(E468/1000),Skills!L13/10)+Skills!O13</f>
        <v/>
      </c>
      <c r="G468">
        <f>Skills!G13*IF(Skills!H13&gt;0,Skills!I13/Skills!H13,1)</f>
        <v/>
      </c>
      <c r="H468">
        <f>1-(1-Skills!J13/100)^Skills!K13</f>
        <v/>
      </c>
      <c r="I468" t="inlineStr">
        <is>
          <t>1</t>
        </is>
      </c>
      <c r="J468" t="inlineStr"/>
      <c r="K468" t="inlineStr"/>
      <c r="L468" t="inlineStr"/>
      <c r="M468" t="inlineStr"/>
      <c r="N468" t="inlineStr"/>
      <c r="O468">
        <f>(1-Summary!$B$55)*T468+Summary!$B$55*V468</f>
        <v/>
      </c>
      <c r="P468">
        <f>IF(B494=0,0,O468/B494)</f>
        <v/>
      </c>
      <c r="Q468">
        <f>IFERROR(1/IF(Inputs!$B$39="pvp",15,MAX(0.1,Skills!D13-IF(Skills!E13=TRUE,Inputs!$B$33,0))),0)</f>
        <v/>
      </c>
      <c r="R468">
        <f>IF(AND(Inputs!$B$39&lt;&gt;"pvp",Inputs!$B$44&gt;0),IF(Inputs!$B$44&lt;=0,0,(INT(Inputs!$B$44/IF(Inputs!$B$39="pvp",15,MAX(0.1,Skills!D13-IF(Skills!E13=TRUE,Inputs!$B$33,0))))+1)),0)</f>
        <v/>
      </c>
      <c r="S468">
        <f>IFERROR(O468/N468,0)</f>
        <v/>
      </c>
      <c r="T468" t="n">
        <v>0</v>
      </c>
      <c r="V468" t="n">
        <v>0</v>
      </c>
    </row>
    <row r="469">
      <c r="A469">
        <f>Skills!A14</f>
        <v/>
      </c>
      <c r="B469">
        <f>Skills!B14</f>
        <v/>
      </c>
      <c r="C469">
        <f>Inputs!$B$3&gt;=115</f>
        <v/>
      </c>
      <c r="D469">
        <f>IF(Skills!C14=1,60+Inputs!$B$26+Inputs!$B$30,IF(Skills!C14=2,90+Inputs!$B$27+Inputs!$B$30,IF(Skills!C14=3,120+Inputs!$B$28+Inputs!$B$30,MAX(0,(Inputs!$B$3-100)*3)+Inputs!$B$29+Inputs!$B$30)))</f>
        <v/>
      </c>
      <c r="E469">
        <f>INDEX(FactorTable!$B$2:$Y$301, MATCH(ROUND(MIN(300,MAX(1,D469)),0), FactorTable!$A$2:$A$301,0), Skills!M14+1)</f>
        <v/>
      </c>
      <c r="F469">
        <f>IF(Skills!N14=TRUE,(Skills!L14/10)*(E469/1000),Skills!L14/10)+Skills!O14</f>
        <v/>
      </c>
      <c r="G469">
        <f>Skills!G14*IF(Skills!H14&gt;0,Skills!I14/Skills!H14,1)</f>
        <v/>
      </c>
      <c r="H469">
        <f>1-(1-Skills!J14/100)^Skills!K14</f>
        <v/>
      </c>
      <c r="I469" t="inlineStr">
        <is>
          <t>1</t>
        </is>
      </c>
      <c r="J469" t="inlineStr"/>
      <c r="K469" t="inlineStr"/>
      <c r="L469" t="inlineStr"/>
      <c r="M469" t="inlineStr"/>
      <c r="N469" t="inlineStr"/>
      <c r="O469">
        <f>(1-Summary!$B$55)*T469+Summary!$B$55*V469</f>
        <v/>
      </c>
      <c r="P469">
        <f>IF(B494=0,0,O469/B494)</f>
        <v/>
      </c>
      <c r="Q469">
        <f>IFERROR(1/IF(Inputs!$B$39="pvp",15,MAX(0.1,Skills!D14-IF(Skills!E14=TRUE,Inputs!$B$33,0))),0)</f>
        <v/>
      </c>
      <c r="R469">
        <f>IF(AND(Inputs!$B$39&lt;&gt;"pvp",Inputs!$B$44&gt;0),IF(Inputs!$B$44&lt;=0,0,(INT(Inputs!$B$44/IF(Inputs!$B$39="pvp",15,MAX(0.1,Skills!D14-IF(Skills!E14=TRUE,Inputs!$B$33,0))))+1)),0)</f>
        <v/>
      </c>
      <c r="S469">
        <f>IFERROR(O469/N469,0)</f>
        <v/>
      </c>
      <c r="T469" t="n">
        <v>0</v>
      </c>
      <c r="V469" t="n">
        <v>0</v>
      </c>
    </row>
    <row r="470">
      <c r="A470">
        <f>Skills!A15</f>
        <v/>
      </c>
      <c r="B470">
        <f>Skills!B15</f>
        <v/>
      </c>
      <c r="C470">
        <f>Inputs!$B$3&gt;=66</f>
        <v/>
      </c>
      <c r="D470">
        <f>IF(Skills!C15=1,60+Inputs!$B$26+Inputs!$B$30,IF(Skills!C15=2,90+Inputs!$B$27+Inputs!$B$30,IF(Skills!C15=3,120+Inputs!$B$28+Inputs!$B$30,MAX(0,(Inputs!$B$3-100)*3)+Inputs!$B$29+Inputs!$B$30)))</f>
        <v/>
      </c>
      <c r="E470">
        <f>INDEX(FactorTable!$B$2:$Y$301, MATCH(ROUND(MIN(300,MAX(1,D470)),0), FactorTable!$A$2:$A$301,0), Skills!M15+1)</f>
        <v/>
      </c>
      <c r="F470">
        <f>IF(Skills!N15=TRUE,(Skills!L15/10)*(E470/1000),Skills!L15/10)+Skills!O15</f>
        <v/>
      </c>
      <c r="G470">
        <f>Skills!G15*IF(Skills!H15&gt;0,Skills!I15/Skills!H15,1)</f>
        <v/>
      </c>
      <c r="H470">
        <f>1-(1-Skills!J15/100)^Skills!K15</f>
        <v/>
      </c>
      <c r="I470" t="inlineStr">
        <is>
          <t>1</t>
        </is>
      </c>
      <c r="J470" t="inlineStr"/>
      <c r="K470" t="inlineStr"/>
      <c r="L470" t="inlineStr"/>
      <c r="M470" t="inlineStr"/>
      <c r="N470" t="inlineStr"/>
      <c r="O470">
        <f>(1-Summary!$B$55)*T470+Summary!$B$55*V470</f>
        <v/>
      </c>
      <c r="P470">
        <f>IF(B494=0,0,O470/B494)</f>
        <v/>
      </c>
      <c r="Q470">
        <f>IFERROR(1/IF(Inputs!$B$39="pvp",15,MAX(0.1,Skills!D15-IF(Skills!E15=TRUE,Inputs!$B$33,0))),0)</f>
        <v/>
      </c>
      <c r="R470">
        <f>IF(AND(Inputs!$B$39&lt;&gt;"pvp",Inputs!$B$44&gt;0),IF(Inputs!$B$44&lt;=0,0,(INT(Inputs!$B$44/IF(Inputs!$B$39="pvp",15,MAX(0.1,Skills!D15-IF(Skills!E15=TRUE,Inputs!$B$33,0))))+1)),0)</f>
        <v/>
      </c>
      <c r="S470">
        <f>IFERROR(O470/N470,0)</f>
        <v/>
      </c>
      <c r="T470" t="n">
        <v>0</v>
      </c>
      <c r="V470" t="n">
        <v>0</v>
      </c>
    </row>
    <row r="471">
      <c r="A471">
        <f>Skills!A16</f>
        <v/>
      </c>
      <c r="B471">
        <f>Skills!B16</f>
        <v/>
      </c>
      <c r="C471">
        <f>Inputs!$B$3&gt;=45</f>
        <v/>
      </c>
      <c r="D471">
        <f>IF(Skills!C16=1,60+Inputs!$B$26+Inputs!$B$30,IF(Skills!C16=2,90+Inputs!$B$27+Inputs!$B$30,IF(Skills!C16=3,120+Inputs!$B$28+Inputs!$B$30,MAX(0,(Inputs!$B$3-100)*3)+Inputs!$B$29+Inputs!$B$30)))</f>
        <v/>
      </c>
      <c r="E471">
        <f>INDEX(FactorTable!$B$2:$Y$301, MATCH(ROUND(MIN(300,MAX(1,D471)),0), FactorTable!$A$2:$A$301,0), Skills!M16+1)</f>
        <v/>
      </c>
      <c r="F471">
        <f>IF(Skills!N16=TRUE,(Skills!L16/10)*(E471/1000),Skills!L16/10)+Skills!O16</f>
        <v/>
      </c>
      <c r="G471">
        <f>Skills!G16*IF(Skills!H16&gt;0,Skills!I16/Skills!H16,1)</f>
        <v/>
      </c>
      <c r="H471">
        <f>1-(1-Skills!J16/100)^Skills!K16</f>
        <v/>
      </c>
      <c r="I471" t="inlineStr">
        <is>
          <t>1</t>
        </is>
      </c>
      <c r="J471" t="inlineStr"/>
      <c r="K471" t="inlineStr"/>
      <c r="L471" t="inlineStr"/>
      <c r="M471" t="inlineStr"/>
      <c r="N471" t="inlineStr"/>
      <c r="O471">
        <f>(1-Summary!$B$55)*T471+Summary!$B$55*V471</f>
        <v/>
      </c>
      <c r="P471">
        <f>IF(B494=0,0,O471/B494)</f>
        <v/>
      </c>
      <c r="Q471">
        <f>IFERROR(1/IF(Inputs!$B$39="pvp",15,MAX(0.1,Skills!D16-IF(Skills!E16=TRUE,Inputs!$B$33,0))),0)</f>
        <v/>
      </c>
      <c r="R471">
        <f>IF(AND(Inputs!$B$39&lt;&gt;"pvp",Inputs!$B$44&gt;0),IF(Inputs!$B$44&lt;=0,0,(INT(Inputs!$B$44/IF(Inputs!$B$39="pvp",15,MAX(0.1,Skills!D16-IF(Skills!E16=TRUE,Inputs!$B$33,0))))+1)),0)</f>
        <v/>
      </c>
      <c r="S471">
        <f>IFERROR(O471/N471,0)</f>
        <v/>
      </c>
      <c r="T471" t="n">
        <v>0</v>
      </c>
      <c r="V471" t="n">
        <v>0</v>
      </c>
    </row>
    <row r="472">
      <c r="A472">
        <f>Skills!A17</f>
        <v/>
      </c>
      <c r="B472">
        <f>Skills!B17</f>
        <v/>
      </c>
      <c r="C472">
        <f>Inputs!$B$3&gt;=35</f>
        <v/>
      </c>
      <c r="D472">
        <f>IF(Skills!C17=1,60+Inputs!$B$26+Inputs!$B$30,IF(Skills!C17=2,90+Inputs!$B$27+Inputs!$B$30,IF(Skills!C17=3,120+Inputs!$B$28+Inputs!$B$30,MAX(0,(Inputs!$B$3-100)*3)+Inputs!$B$29+Inputs!$B$30)))</f>
        <v/>
      </c>
      <c r="E472">
        <f>INDEX(FactorTable!$B$2:$Y$301, MATCH(ROUND(MIN(300,MAX(1,D472)),0), FactorTable!$A$2:$A$301,0), Skills!M17+1)</f>
        <v/>
      </c>
      <c r="F472">
        <f>IF(Skills!N17=TRUE,(Skills!L17/10)*(E472/1000),Skills!L17/10)+Skills!O17</f>
        <v/>
      </c>
      <c r="G472">
        <f>Skills!G17*IF(Skills!H17&gt;0,Skills!I17/Skills!H17,1)</f>
        <v/>
      </c>
      <c r="H472">
        <f>1-(1-Skills!J17/100)^Skills!K17</f>
        <v/>
      </c>
      <c r="I472" t="inlineStr">
        <is>
          <t>1</t>
        </is>
      </c>
      <c r="J472" t="inlineStr"/>
      <c r="K472" t="inlineStr"/>
      <c r="L472" t="inlineStr"/>
      <c r="M472" t="inlineStr"/>
      <c r="N472" t="inlineStr"/>
      <c r="O472">
        <f>(1-Summary!$B$55)*T472+Summary!$B$55*V472</f>
        <v/>
      </c>
      <c r="P472">
        <f>IF(B494=0,0,O472/B494)</f>
        <v/>
      </c>
      <c r="Q472">
        <f>IFERROR(1/IF(Inputs!$B$39="pvp",15,MAX(0.1,Skills!D17-IF(Skills!E17=TRUE,Inputs!$B$33,0))),0)</f>
        <v/>
      </c>
      <c r="R472">
        <f>IF(AND(Inputs!$B$39&lt;&gt;"pvp",Inputs!$B$44&gt;0),IF(Inputs!$B$44&lt;=0,0,(INT(Inputs!$B$44/IF(Inputs!$B$39="pvp",15,MAX(0.1,Skills!D17-IF(Skills!E17=TRUE,Inputs!$B$33,0))))+1)),0)</f>
        <v/>
      </c>
      <c r="S472">
        <f>IFERROR(O472/N472,0)</f>
        <v/>
      </c>
      <c r="T472" t="n">
        <v>0</v>
      </c>
      <c r="V472" t="n">
        <v>0</v>
      </c>
    </row>
    <row r="473">
      <c r="A473">
        <f>Skills!A18</f>
        <v/>
      </c>
      <c r="B473">
        <f>Skills!B18</f>
        <v/>
      </c>
      <c r="C473">
        <f>Inputs!$B$3&gt;=72</f>
        <v/>
      </c>
      <c r="D473">
        <f>IF(Skills!C18=1,60+Inputs!$B$26+Inputs!$B$30,IF(Skills!C18=2,90+Inputs!$B$27+Inputs!$B$30,IF(Skills!C18=3,120+Inputs!$B$28+Inputs!$B$30,MAX(0,(Inputs!$B$3-100)*3)+Inputs!$B$29+Inputs!$B$30)))</f>
        <v/>
      </c>
      <c r="E473">
        <f>INDEX(FactorTable!$B$2:$Y$301, MATCH(ROUND(MIN(300,MAX(1,D473)),0), FactorTable!$A$2:$A$301,0), Skills!M18+1)</f>
        <v/>
      </c>
      <c r="F473">
        <f>IF(Skills!N18=TRUE,(Skills!L18/10)*(E473/1000),Skills!L18/10)+Skills!O18</f>
        <v/>
      </c>
      <c r="G473">
        <f>Skills!G18*IF(Skills!H18&gt;0,Skills!I18/Skills!H18,1)</f>
        <v/>
      </c>
      <c r="H473">
        <f>1-(1-Skills!J18/100)^Skills!K18</f>
        <v/>
      </c>
      <c r="I473" t="inlineStr">
        <is>
          <t>1</t>
        </is>
      </c>
      <c r="J473" t="inlineStr"/>
      <c r="K473" t="inlineStr"/>
      <c r="L473" t="inlineStr"/>
      <c r="M473" t="inlineStr"/>
      <c r="N473" t="inlineStr"/>
      <c r="O473">
        <f>(1-Summary!$B$55)*T473+Summary!$B$55*V473</f>
        <v/>
      </c>
      <c r="P473">
        <f>IF(B494=0,0,O473/B494)</f>
        <v/>
      </c>
      <c r="Q473">
        <f>IFERROR(1/IF(Inputs!$B$39="pvp",15,MAX(0.1,Skills!D18-IF(Skills!E18=TRUE,Inputs!$B$33,0))),0)</f>
        <v/>
      </c>
      <c r="R473">
        <f>IF(AND(Inputs!$B$39&lt;&gt;"pvp",Inputs!$B$44&gt;0),IF(Inputs!$B$44&lt;=0,0,(INT(Inputs!$B$44/IF(Inputs!$B$39="pvp",15,MAX(0.1,Skills!D18-IF(Skills!E18=TRUE,Inputs!$B$33,0))))+1)),0)</f>
        <v/>
      </c>
      <c r="S473">
        <f>IFERROR(O473/N473,0)</f>
        <v/>
      </c>
      <c r="T473" t="n">
        <v>0</v>
      </c>
      <c r="V473" t="n">
        <v>0</v>
      </c>
    </row>
    <row r="474">
      <c r="A474">
        <f>Skills!A19</f>
        <v/>
      </c>
      <c r="B474">
        <f>Skills!B19</f>
        <v/>
      </c>
      <c r="C474">
        <f>Inputs!$B$3&gt;=72</f>
        <v/>
      </c>
      <c r="D474">
        <f>IF(Skills!C19=1,60+Inputs!$B$26+Inputs!$B$30,IF(Skills!C19=2,90+Inputs!$B$27+Inputs!$B$30,IF(Skills!C19=3,120+Inputs!$B$28+Inputs!$B$30,MAX(0,(Inputs!$B$3-100)*3)+Inputs!$B$29+Inputs!$B$30)))</f>
        <v/>
      </c>
      <c r="E474">
        <f>INDEX(FactorTable!$B$2:$Y$301, MATCH(ROUND(MIN(300,MAX(1,D474)),0), FactorTable!$A$2:$A$301,0), Skills!M19+1)</f>
        <v/>
      </c>
      <c r="F474">
        <f>IF(Skills!N19=TRUE,(Skills!L19/10)*(E474/1000),Skills!L19/10)+Skills!O19</f>
        <v/>
      </c>
      <c r="G474">
        <f>Skills!G19*IF(Skills!H19&gt;0,Skills!I19/Skills!H19,1)</f>
        <v/>
      </c>
      <c r="H474">
        <f>1-(1-Skills!J19/100)^Skills!K19</f>
        <v/>
      </c>
      <c r="I474" t="inlineStr">
        <is>
          <t>1</t>
        </is>
      </c>
      <c r="J474" t="inlineStr"/>
      <c r="K474" t="inlineStr"/>
      <c r="L474" t="inlineStr"/>
      <c r="M474" t="inlineStr"/>
      <c r="N474" t="inlineStr"/>
      <c r="O474">
        <f>(1-Summary!$B$55)*T474+Summary!$B$55*V474</f>
        <v/>
      </c>
      <c r="P474">
        <f>IF(B494=0,0,O474/B494)</f>
        <v/>
      </c>
      <c r="Q474">
        <f>IFERROR(1/IF(Inputs!$B$39="pvp",15,MAX(0.1,Skills!D19-IF(Skills!E19=TRUE,Inputs!$B$33,0))),0)</f>
        <v/>
      </c>
      <c r="R474">
        <f>IF(AND(Inputs!$B$39&lt;&gt;"pvp",Inputs!$B$44&gt;0),IF(Inputs!$B$44&lt;=0,0,(INT(Inputs!$B$44/IF(Inputs!$B$39="pvp",15,MAX(0.1,Skills!D19-IF(Skills!E19=TRUE,Inputs!$B$33,0))))+1)),0)</f>
        <v/>
      </c>
      <c r="S474">
        <f>IFERROR(O474/N474,0)</f>
        <v/>
      </c>
      <c r="T474" t="n">
        <v>0</v>
      </c>
      <c r="V474" t="n">
        <v>0</v>
      </c>
    </row>
    <row r="475">
      <c r="A475">
        <f>Skills!A20</f>
        <v/>
      </c>
      <c r="B475">
        <f>Skills!B20</f>
        <v/>
      </c>
      <c r="C475">
        <f>TRUE</f>
        <v/>
      </c>
      <c r="D475">
        <f>IF(Skills!C20=1,60+Inputs!$B$26+Inputs!$B$30,IF(Skills!C20=2,90+Inputs!$B$27+Inputs!$B$30,IF(Skills!C20=3,120+Inputs!$B$28+Inputs!$B$30,MAX(0,(Inputs!$B$3-100)*3)+Inputs!$B$29+Inputs!$B$30)))</f>
        <v/>
      </c>
      <c r="E475">
        <f>INDEX(FactorTable!$B$2:$Y$301, MATCH(ROUND(MIN(300,MAX(1,D475)),0), FactorTable!$A$2:$A$301,0), Skills!M20+1)</f>
        <v/>
      </c>
      <c r="F475">
        <f>IF(Skills!N20=TRUE,(Skills!L20/10)*(E475/1000),Skills!L20/10)+Skills!O20</f>
        <v/>
      </c>
      <c r="G475">
        <f>Skills!G20*IF(Skills!H20&gt;0,Skills!I20/Skills!H20,1)</f>
        <v/>
      </c>
      <c r="H475">
        <f>1-(1-Skills!J20/100)^Skills!K20</f>
        <v/>
      </c>
      <c r="I475" t="inlineStr">
        <is>
          <t>1</t>
        </is>
      </c>
      <c r="J475" t="inlineStr"/>
      <c r="K475" t="inlineStr"/>
      <c r="L475" t="inlineStr"/>
      <c r="M475" t="inlineStr"/>
      <c r="N475" t="inlineStr"/>
      <c r="O475">
        <f>(1-Summary!$B$55)*T475+Summary!$B$55*V475</f>
        <v/>
      </c>
      <c r="P475">
        <f>IF(B494=0,0,O475/B494)</f>
        <v/>
      </c>
      <c r="Q475">
        <f>IFERROR(1/IF(Inputs!$B$39="pvp",15,MAX(0.1,Skills!D20-IF(Skills!E20=TRUE,Inputs!$B$33,0))),0)</f>
        <v/>
      </c>
      <c r="R475">
        <f>IF(AND(Inputs!$B$39&lt;&gt;"pvp",Inputs!$B$44&gt;0),IF(Inputs!$B$44&lt;=0,0,(INT(Inputs!$B$44/IF(Inputs!$B$39="pvp",15,MAX(0.1,Skills!D20-IF(Skills!E20=TRUE,Inputs!$B$33,0))))+1)),0)</f>
        <v/>
      </c>
      <c r="S475">
        <f>IFERROR(O475/N475,0)</f>
        <v/>
      </c>
      <c r="T475" t="n">
        <v>0</v>
      </c>
      <c r="V475" t="n">
        <v>0</v>
      </c>
    </row>
    <row r="476">
      <c r="A476">
        <f>Skills!A21</f>
        <v/>
      </c>
      <c r="B476">
        <f>Skills!B21</f>
        <v/>
      </c>
      <c r="C476">
        <f>Inputs!$B$3&gt;=33</f>
        <v/>
      </c>
      <c r="D476">
        <f>IF(Skills!C21=1,60+Inputs!$B$26+Inputs!$B$30,IF(Skills!C21=2,90+Inputs!$B$27+Inputs!$B$30,IF(Skills!C21=3,120+Inputs!$B$28+Inputs!$B$30,MAX(0,(Inputs!$B$3-100)*3)+Inputs!$B$29+Inputs!$B$30)))</f>
        <v/>
      </c>
      <c r="E476">
        <f>INDEX(FactorTable!$B$2:$Y$301, MATCH(ROUND(MIN(300,MAX(1,D476)),0), FactorTable!$A$2:$A$301,0), Skills!M21+1)</f>
        <v/>
      </c>
      <c r="F476">
        <f>IF(Skills!N21=TRUE,(Skills!L21/10)*(E476/1000),Skills!L21/10)+Skills!O21</f>
        <v/>
      </c>
      <c r="G476">
        <f>Skills!G21*IF(Skills!H21&gt;0,Skills!I21/Skills!H21,1)</f>
        <v/>
      </c>
      <c r="H476">
        <f>1-(1-Skills!J21/100)^Skills!K21</f>
        <v/>
      </c>
      <c r="I476" t="inlineStr">
        <is>
          <t>1</t>
        </is>
      </c>
      <c r="J476" t="inlineStr"/>
      <c r="K476" t="inlineStr"/>
      <c r="L476" t="inlineStr"/>
      <c r="M476" t="inlineStr"/>
      <c r="N476" t="inlineStr"/>
      <c r="O476">
        <f>(1-Summary!$B$55)*T476+Summary!$B$55*V476</f>
        <v/>
      </c>
      <c r="P476">
        <f>IF(B494=0,0,O476/B494)</f>
        <v/>
      </c>
      <c r="Q476" t="n">
        <v>0</v>
      </c>
      <c r="R476" t="n">
        <v>0</v>
      </c>
      <c r="S476">
        <f>IFERROR(O476/N476,0)</f>
        <v/>
      </c>
      <c r="T476" t="n">
        <v>0</v>
      </c>
      <c r="V476" t="n">
        <v>0</v>
      </c>
    </row>
    <row r="477">
      <c r="A477">
        <f>Skills!A22</f>
        <v/>
      </c>
      <c r="B477">
        <f>Skills!B22</f>
        <v/>
      </c>
      <c r="C477">
        <f>Inputs!$B$3&gt;=43</f>
        <v/>
      </c>
      <c r="D477">
        <f>IF(Skills!C22=1,60+Inputs!$B$26+Inputs!$B$30,IF(Skills!C22=2,90+Inputs!$B$27+Inputs!$B$30,IF(Skills!C22=3,120+Inputs!$B$28+Inputs!$B$30,MAX(0,(Inputs!$B$3-100)*3)+Inputs!$B$29+Inputs!$B$30)))</f>
        <v/>
      </c>
      <c r="E477">
        <f>INDEX(FactorTable!$B$2:$Y$301, MATCH(ROUND(MIN(300,MAX(1,D477)),0), FactorTable!$A$2:$A$301,0), Skills!M22+1)</f>
        <v/>
      </c>
      <c r="F477">
        <f>IF(Skills!N22=TRUE,(Skills!L22/10)*(E477/1000),Skills!L22/10)+Skills!O22</f>
        <v/>
      </c>
      <c r="G477">
        <f>Skills!G22*IF(Skills!H22&gt;0,Skills!I22/Skills!H22,1)</f>
        <v/>
      </c>
      <c r="H477">
        <f>1-(1-Skills!J22/100)^Skills!K22</f>
        <v/>
      </c>
      <c r="I477" t="inlineStr">
        <is>
          <t>1</t>
        </is>
      </c>
      <c r="J477" t="inlineStr"/>
      <c r="K477" t="inlineStr"/>
      <c r="L477" t="inlineStr"/>
      <c r="M477" t="inlineStr"/>
      <c r="N477" t="inlineStr"/>
      <c r="O477">
        <f>(1-Summary!$B$55)*T477+Summary!$B$55*V477</f>
        <v/>
      </c>
      <c r="P477">
        <f>IF(B494=0,0,O477/B494)</f>
        <v/>
      </c>
      <c r="Q477" t="n">
        <v>0</v>
      </c>
      <c r="R477" t="n">
        <v>0</v>
      </c>
      <c r="S477">
        <f>IFERROR(O477/N477,0)</f>
        <v/>
      </c>
      <c r="T477" t="n">
        <v>0</v>
      </c>
      <c r="V477" t="n">
        <v>0</v>
      </c>
    </row>
    <row r="478">
      <c r="A478">
        <f>Skills!A23</f>
        <v/>
      </c>
      <c r="B478">
        <f>Skills!B23</f>
        <v/>
      </c>
      <c r="C478">
        <f>Inputs!$B$3&gt;=120</f>
        <v/>
      </c>
      <c r="D478">
        <f>IF(Skills!C23=1,60+Inputs!$B$26+Inputs!$B$30,IF(Skills!C23=2,90+Inputs!$B$27+Inputs!$B$30,IF(Skills!C23=3,120+Inputs!$B$28+Inputs!$B$30,MAX(0,(Inputs!$B$3-100)*3)+Inputs!$B$29+Inputs!$B$30)))</f>
        <v/>
      </c>
      <c r="E478">
        <f>INDEX(FactorTable!$B$2:$Y$301, MATCH(ROUND(MIN(300,MAX(1,D478)),0), FactorTable!$A$2:$A$301,0), Skills!M23+1)</f>
        <v/>
      </c>
      <c r="F478">
        <f>IF(Skills!N23=TRUE,(Skills!L23/10)*(E478/1000),Skills!L23/10)+Skills!O23</f>
        <v/>
      </c>
      <c r="G478">
        <f>Skills!G23*IF(Skills!H23&gt;0,Skills!I23/Skills!H23,1)</f>
        <v/>
      </c>
      <c r="H478">
        <f>1-(1-Skills!J23/100)^Skills!K23</f>
        <v/>
      </c>
      <c r="I478" t="inlineStr">
        <is>
          <t>1</t>
        </is>
      </c>
      <c r="J478" t="inlineStr"/>
      <c r="K478" t="inlineStr"/>
      <c r="L478" t="inlineStr"/>
      <c r="M478" t="inlineStr"/>
      <c r="N478" t="inlineStr"/>
      <c r="O478">
        <f>(1-Summary!$B$55)*T478+Summary!$B$55*V478</f>
        <v/>
      </c>
      <c r="P478">
        <f>IF(B494=0,0,O478/B494)</f>
        <v/>
      </c>
      <c r="Q478" t="n">
        <v>0</v>
      </c>
      <c r="R478" t="n">
        <v>0</v>
      </c>
      <c r="S478">
        <f>IFERROR(O478/N478,0)</f>
        <v/>
      </c>
      <c r="T478" t="n">
        <v>0</v>
      </c>
      <c r="V478" t="n">
        <v>0</v>
      </c>
    </row>
    <row r="479">
      <c r="A479">
        <f>Skills!A24</f>
        <v/>
      </c>
      <c r="B479">
        <f>Skills!B24</f>
        <v/>
      </c>
      <c r="C479">
        <f>Inputs!$B$3&gt;=120</f>
        <v/>
      </c>
      <c r="D479">
        <f>IF(Skills!C24=1,60+Inputs!$B$26+Inputs!$B$30,IF(Skills!C24=2,90+Inputs!$B$27+Inputs!$B$30,IF(Skills!C24=3,120+Inputs!$B$28+Inputs!$B$30,MAX(0,(Inputs!$B$3-100)*3)+Inputs!$B$29+Inputs!$B$30)))</f>
        <v/>
      </c>
      <c r="E479">
        <f>INDEX(FactorTable!$B$2:$Y$301, MATCH(ROUND(MIN(300,MAX(1,D479)),0), FactorTable!$A$2:$A$301,0), Skills!M24+1)</f>
        <v/>
      </c>
      <c r="F479">
        <f>IF(Skills!N24=TRUE,(Skills!L24/10)*(E479/1000),Skills!L24/10)+Skills!O24</f>
        <v/>
      </c>
      <c r="G479">
        <f>Skills!G24*IF(Skills!H24&gt;0,Skills!I24/Skills!H24,1)</f>
        <v/>
      </c>
      <c r="H479">
        <f>1-(1-Skills!J24/100)^Skills!K24</f>
        <v/>
      </c>
      <c r="I479" t="inlineStr">
        <is>
          <t>1</t>
        </is>
      </c>
      <c r="J479" t="inlineStr"/>
      <c r="K479" t="inlineStr"/>
      <c r="L479" t="inlineStr"/>
      <c r="M479" t="inlineStr"/>
      <c r="N479" t="inlineStr"/>
      <c r="O479">
        <f>(1-Summary!$B$55)*T479+Summary!$B$55*V479</f>
        <v/>
      </c>
      <c r="P479">
        <f>IF(B494=0,0,O479/B494)</f>
        <v/>
      </c>
      <c r="Q479" t="n">
        <v>0</v>
      </c>
      <c r="R479" t="n">
        <v>0</v>
      </c>
      <c r="S479">
        <f>IFERROR(O479/N479,0)</f>
        <v/>
      </c>
      <c r="T479" t="n">
        <v>0</v>
      </c>
      <c r="V479" t="n">
        <v>0</v>
      </c>
    </row>
    <row r="480">
      <c r="A480">
        <f>Skills!A25</f>
        <v/>
      </c>
      <c r="B480">
        <f>Skills!B25</f>
        <v/>
      </c>
      <c r="C480">
        <f>Inputs!$B$3&gt;=125</f>
        <v/>
      </c>
      <c r="D480">
        <f>IF(Skills!C25=1,60+Inputs!$B$26+Inputs!$B$30,IF(Skills!C25=2,90+Inputs!$B$27+Inputs!$B$30,IF(Skills!C25=3,120+Inputs!$B$28+Inputs!$B$30,MAX(0,(Inputs!$B$3-100)*3)+Inputs!$B$29+Inputs!$B$30)))</f>
        <v/>
      </c>
      <c r="E480">
        <f>INDEX(FactorTable!$B$2:$Y$301, MATCH(ROUND(MIN(300,MAX(1,D480)),0), FactorTable!$A$2:$A$301,0), Skills!M25+1)</f>
        <v/>
      </c>
      <c r="F480">
        <f>IF(Skills!N25=TRUE,(Skills!L25/10)*(E480/1000),Skills!L25/10)+Skills!O25</f>
        <v/>
      </c>
      <c r="G480">
        <f>Skills!G25*IF(Skills!H25&gt;0,Skills!I25/Skills!H25,1)</f>
        <v/>
      </c>
      <c r="H480">
        <f>1-(1-Skills!J25/100)^Skills!K25</f>
        <v/>
      </c>
      <c r="I480" t="inlineStr">
        <is>
          <t>1</t>
        </is>
      </c>
      <c r="J480" t="inlineStr"/>
      <c r="K480" t="inlineStr"/>
      <c r="L480" t="inlineStr"/>
      <c r="M480" t="inlineStr"/>
      <c r="N480" t="inlineStr"/>
      <c r="O480">
        <f>(1-Summary!$B$55)*T480+Summary!$B$55*V480</f>
        <v/>
      </c>
      <c r="P480">
        <f>IF(B494=0,0,O480/B494)</f>
        <v/>
      </c>
      <c r="Q480" t="n">
        <v>0</v>
      </c>
      <c r="R480" t="n">
        <v>0</v>
      </c>
      <c r="S480">
        <f>IFERROR(O480/N480,0)</f>
        <v/>
      </c>
      <c r="T480" t="n">
        <v>0</v>
      </c>
      <c r="V480" t="n">
        <v>0</v>
      </c>
    </row>
    <row r="481">
      <c r="A481">
        <f>Skills!A26</f>
        <v/>
      </c>
      <c r="B481">
        <f>Skills!B26</f>
        <v/>
      </c>
      <c r="C481">
        <f>Inputs!$B$3&gt;=107</f>
        <v/>
      </c>
      <c r="D481">
        <f>IF(Skills!C26=1,60+Inputs!$B$26+Inputs!$B$30,IF(Skills!C26=2,90+Inputs!$B$27+Inputs!$B$30,IF(Skills!C26=3,120+Inputs!$B$28+Inputs!$B$30,MAX(0,(Inputs!$B$3-100)*3)+Inputs!$B$29+Inputs!$B$30)))</f>
        <v/>
      </c>
      <c r="E481">
        <f>INDEX(FactorTable!$B$2:$Y$301, MATCH(ROUND(MIN(300,MAX(1,D481)),0), FactorTable!$A$2:$A$301,0), Skills!M26+1)</f>
        <v/>
      </c>
      <c r="F481">
        <f>IF(Skills!N26=TRUE,(Skills!L26/10)*(E481/1000),Skills!L26/10)+Skills!O26</f>
        <v/>
      </c>
      <c r="G481">
        <f>Skills!G26*IF(Skills!H26&gt;0,Skills!I26/Skills!H26,1)</f>
        <v/>
      </c>
      <c r="H481">
        <f>1-(1-Skills!J26/100)^Skills!K26</f>
        <v/>
      </c>
      <c r="I481" t="inlineStr">
        <is>
          <t>1</t>
        </is>
      </c>
      <c r="J481" t="inlineStr"/>
      <c r="K481" t="inlineStr"/>
      <c r="L481" t="inlineStr"/>
      <c r="M481" t="inlineStr"/>
      <c r="N481" t="inlineStr"/>
      <c r="O481">
        <f>(1-Summary!$B$55)*T481+Summary!$B$55*V481</f>
        <v/>
      </c>
      <c r="P481">
        <f>IF(B494=0,0,O481/B494)</f>
        <v/>
      </c>
      <c r="Q481" t="n">
        <v>0</v>
      </c>
      <c r="R481" t="n">
        <v>0</v>
      </c>
      <c r="S481">
        <f>IFERROR(O481/N481,0)</f>
        <v/>
      </c>
      <c r="T481" t="n">
        <v>0</v>
      </c>
      <c r="V481" t="n">
        <v>0</v>
      </c>
    </row>
    <row r="483">
      <c r="A483" t="inlineStr">
        <is>
          <t>Attack% Bucket Multiplier</t>
        </is>
      </c>
      <c r="B483">
        <f>(1+(((C468=TRUE)*F468*IF(AND(Inputs!$B$39&lt;&gt;"pvp",Inputs!$B$44&gt;0),(((R468-1)*(Skills!T13*(1+Inputs!$B$35/100))+MIN((Skills!T13*(1+Inputs!$B$35/100)),MAX(0,Inputs!$B$44-((R468-1)*Skills!D13))))/Inputs!$B$44),IF(Inputs!$B$39="pvp",MIN((Skills!T13*(1+Inputs!$B$35/100)),15)/15,(Skills!T13*(1+Inputs!$B$35/100))/Skills!D13)))+((C469=TRUE)*F469*IF(AND(Inputs!$B$39&lt;&gt;"pvp",Inputs!$B$44&gt;0),(((R469-1)*(Skills!T14*(1+Inputs!$B$35/100))+MIN((Skills!T14*(1+Inputs!$B$35/100)),MAX(0,Inputs!$B$44-((R469-1)*Skills!D14))))/Inputs!$B$44),IF(Inputs!$B$39="pvp",MIN((Skills!T14*(1+Inputs!$B$35/100)),15)/15,(Skills!T14*(1+Inputs!$B$35/100))/Skills!D14)))+((C470=TRUE)*F470*IF(AND(Inputs!$B$39&lt;&gt;"pvp",Inputs!$B$44&gt;0),(((R470-1)*(Skills!T15*(1+Inputs!$B$35/100))+MIN((Skills!T15*(1+Inputs!$B$35/100)),MAX(0,Inputs!$B$44-((R470-1)*Skills!D15))))/Inputs!$B$44),IF(Inputs!$B$39="pvp",MIN((Skills!T15*(1+Inputs!$B$35/100)),15)/15,(Skills!T15*(1+Inputs!$B$35/100))/Skills!D15)))+((C471=TRUE)*F471*IF(AND(Inputs!$B$39&lt;&gt;"pvp",Inputs!$B$44&gt;0),(((R471-1)*(Skills!T16*(1+Inputs!$B$35/100))+MIN((Skills!T16*(1+Inputs!$B$35/100)),MAX(0,Inputs!$B$44-((R471-1)*Skills!D16))))/Inputs!$B$44),IF(Inputs!$B$39="pvp",MIN((Skills!T16*(1+Inputs!$B$35/100)),15)/15,(Skills!T16*(1+Inputs!$B$35/100))/Skills!D16)))+0)/100)</f>
        <v/>
      </c>
    </row>
    <row r="484">
      <c r="A484" t="inlineStr">
        <is>
          <t>Global Crit Rate Bonus % (Lord of Darkness)</t>
        </is>
      </c>
      <c r="B484">
        <f>((C473=TRUE)*F473*(Skills!J18/100)*IF(AND(Inputs!$B$39&lt;&gt;"pvp",Inputs!$B$44&gt;0),(((R473-1)*(Skills!T18*(1+Inputs!$B$35/100))+MIN((Skills!T18*(1+Inputs!$B$35/100)),MAX(0,Inputs!$B$44-((R473-1)*Skills!D18))))/Inputs!$B$44),IF(Inputs!$B$39="pvp",MIN((Skills!T18*(1+Inputs!$B$35/100)),15)/15,(Skills!T18*(1+Inputs!$B$35/100))/Skills!D18)))</f>
        <v/>
      </c>
    </row>
    <row r="485">
      <c r="A485" t="inlineStr">
        <is>
          <t>Attack Speed Buff Bonus %</t>
        </is>
      </c>
      <c r="B485">
        <f>((C475=TRUE)*F475*IF(AND(Inputs!$B$39&lt;&gt;"pvp",Inputs!$B$44&gt;0),(((R475-1)*(Skills!T20*(1+Inputs!$B$35/100))+MIN((Skills!T20*(1+Inputs!$B$35/100)),MAX(0,Inputs!$B$44-((R475-1)*Skills!D20))))/Inputs!$B$44),IF(Inputs!$B$39="pvp",MIN((Skills!T20*(1+Inputs!$B$35/100)),15)/15,(Skills!T20*(1+Inputs!$B$35/100))/Skills!D20)))</f>
        <v/>
      </c>
    </row>
    <row r="486">
      <c r="A486" t="inlineStr">
        <is>
          <t>Actions Per Second</t>
        </is>
      </c>
      <c r="B486">
        <f>1+MIN(150,150*(1-(1-(Inputs!$B$12+((C476=TRUE)*(F476-Calc!F21)))/150)*(1-B485/150)))/100</f>
        <v/>
      </c>
    </row>
    <row r="487">
      <c r="A487" t="inlineStr">
        <is>
          <t>Skill + Buff Cast Rate</t>
        </is>
      </c>
      <c r="B487">
        <f>IF(AND(Inputs!$B$39&lt;&gt;"pvp",Inputs!$B$44&gt;0),SUMPRODUCT((Skills!E2:E26=TRUE)*(C457:C481=TRUE)*R457:R481*Skills!F2:F26)/Inputs!$B$44,SUMPRODUCT((Skills!E2:E26=TRUE)*(C457:C481=TRUE)*Q457:Q481*Skills!F2:F26))</f>
        <v/>
      </c>
    </row>
    <row r="488">
      <c r="A488" t="inlineStr">
        <is>
          <t>Dark Impale Casts Per Second</t>
        </is>
      </c>
      <c r="B488">
        <f>MAX(0,B486-B487)</f>
        <v/>
      </c>
    </row>
    <row r="489">
      <c r="A489" t="inlineStr">
        <is>
          <t>Global Critical Damage Bonus % (Lord of Darkness)</t>
        </is>
      </c>
      <c r="B489">
        <f>((C474=TRUE)*F474*(Skills!J19/100)*IF(AND(Inputs!$B$39&lt;&gt;"pvp",Inputs!$B$44&gt;0),(((R474-1)*(Skills!T19*(1+Inputs!$B$35/100))+MIN((Skills!T19*(1+Inputs!$B$35/100)),MAX(0,Inputs!$B$44-((R474-1)*Skills!D19))))/Inputs!$B$44),IF(Inputs!$B$39="pvp",MIN((Skills!T19*(1+Inputs!$B$35/100)),15)/15,(Skills!T19*(1+Inputs!$B$35/100))/Skills!D19)))</f>
        <v/>
      </c>
    </row>
    <row r="490">
      <c r="A490" t="inlineStr">
        <is>
          <t>Global Final Damage Bonus % (unused)</t>
        </is>
      </c>
      <c r="B490" t="n">
        <v>0</v>
      </c>
    </row>
    <row r="491">
      <c r="A491" t="inlineStr">
        <is>
          <t>Buff-Casting Startup Delay (s, fixed-duration only)</t>
        </is>
      </c>
      <c r="B491">
        <f>IF(AND(Inputs!$B$39&lt;&gt;"pvp",Inputs!$B$44&gt;0),SUMPRODUCT((Skills!T2:T26&gt;0)*(Skills!E2:E26=TRUE)*(C457:C481=TRUE))/B486,0)</f>
        <v/>
      </c>
    </row>
    <row r="492">
      <c r="A492" t="inlineStr">
        <is>
          <t>Boss-Only Total DPS (this block's swept value)</t>
        </is>
      </c>
      <c r="B492">
        <f>SUM(T457:T481)</f>
        <v/>
      </c>
    </row>
    <row r="493">
      <c r="A493" t="inlineStr">
        <is>
          <t>Normal-Only Total DPS (this block's swept value)</t>
        </is>
      </c>
      <c r="B493">
        <f>SUM(V457:V481)</f>
        <v/>
      </c>
    </row>
    <row r="494">
      <c r="A494" s="5" t="inlineStr">
        <is>
          <t>TOTAL DPS</t>
        </is>
      </c>
      <c r="B494" s="5">
        <f>SUM(O457:O481)</f>
        <v/>
      </c>
    </row>
    <row r="497">
      <c r="A497" s="5" t="inlineStr">
        <is>
          <t>Stat: MAX_DAMAGE %</t>
        </is>
      </c>
    </row>
    <row r="498">
      <c r="A498" s="9" t="inlineStr">
        <is>
          <t>Key</t>
        </is>
      </c>
      <c r="B498" s="9" t="inlineStr">
        <is>
          <t>Name</t>
        </is>
      </c>
      <c r="C498" s="9" t="inlineStr">
        <is>
          <t>Unlocked</t>
        </is>
      </c>
      <c r="D498" s="9" t="inlineStr">
        <is>
          <t>InputLevel</t>
        </is>
      </c>
      <c r="E498" s="9" t="inlineStr">
        <is>
          <t>Factor</t>
        </is>
      </c>
      <c r="F498" s="9" t="inlineStr">
        <is>
          <t>CoefficientPercent</t>
        </is>
      </c>
      <c r="G498" s="9" t="inlineStr">
        <is>
          <t>EffectiveHits</t>
        </is>
      </c>
      <c r="H498" s="9" t="inlineStr">
        <is>
          <t>ProcProbability</t>
        </is>
      </c>
      <c r="I498" s="9" t="inlineStr">
        <is>
          <t>MapleHeroMultiplier</t>
        </is>
      </c>
      <c r="J498" s="9" t="inlineStr">
        <is>
          <t>BaseDamage</t>
        </is>
      </c>
      <c r="K498" s="9" t="inlineStr">
        <is>
          <t>BaseHitDamage</t>
        </is>
      </c>
      <c r="L498" s="9" t="inlineStr">
        <is>
          <t>NonCritAvg</t>
        </is>
      </c>
      <c r="M498" s="9" t="inlineStr">
        <is>
          <t>CritAvg</t>
        </is>
      </c>
      <c r="N498" s="9" t="inlineStr">
        <is>
          <t>ExpectedDamage(perHit)</t>
        </is>
      </c>
      <c r="O498" s="9" t="inlineStr">
        <is>
          <t>DPS</t>
        </is>
      </c>
      <c r="P498" s="9" t="inlineStr">
        <is>
          <t>% of Total</t>
        </is>
      </c>
      <c r="Q498" s="9" t="inlineStr">
        <is>
          <t>InvCooldown</t>
        </is>
      </c>
      <c r="R498" s="9" t="inlineStr">
        <is>
          <t>CastsInFight</t>
        </is>
      </c>
      <c r="S498" s="9" t="inlineStr">
        <is>
          <t>HitRate(perSec)</t>
        </is>
      </c>
      <c r="U498" t="inlineStr">
        <is>
          <t>helpers</t>
        </is>
      </c>
    </row>
    <row r="499">
      <c r="A499">
        <f>Skills!A2</f>
        <v/>
      </c>
      <c r="B499">
        <f>Skills!B2</f>
        <v/>
      </c>
      <c r="C499">
        <f>Inputs!$B$3&gt;=100</f>
        <v/>
      </c>
      <c r="D499" t="inlineStr"/>
      <c r="E499" t="inlineStr"/>
      <c r="F499">
        <f>U501+Skills!O2</f>
        <v/>
      </c>
      <c r="G499">
        <f>Skills!G2*IF(Skills!H2&gt;0,Skills!I2/Skills!H2,1)</f>
        <v/>
      </c>
      <c r="H499">
        <f>1-(1-Skills!J2/100)^Skills!K2</f>
        <v/>
      </c>
      <c r="I499" t="inlineStr">
        <is>
          <t>1</t>
        </is>
      </c>
      <c r="J499">
        <f>((Inputs!$B$6*(1+Inputs!$B$7/100))+(((Inputs!$B$13*(1+Inputs!$B$14/100))-(Inputs!$B$13*(1+Inputs!$B$14/100)))+0.25*(Inputs!$B$15-Inputs!$B$15))*(1+Inputs!$B$7/100))*(F499/100)</f>
        <v/>
      </c>
      <c r="K499">
        <f>J499*(1+(((Inputs!$B$13+IF(Inputs!$B$3&gt;=38,(10*INDEX(FactorTable!$B$2:$Y$301, MATCH(ROUND(MIN(300,MAX(1,Inputs!$B$3)),0), FactorTable!$A$2:$A$301,0), 23)/1000)/100*(Inputs!$B$8*(1+Inputs!$B$9/100)),0))*(1+Inputs!$B$14/100))*0.01+Inputs!$B$15*0.0025)/100)*(1+Inputs!$B$16/100)*(1+Inputs!$B$17/100)*(5000/(6000+Inputs!$B$43*(1-(Inputs!$B$20+0)/100)))*(1+(Inputs!$B$25+((C522=TRUE)*(F522-Calc!F25))+((C523=TRUE)*(F523-Calc!F26))+B532)/100)*(1+(IF(Skills!A2="DARK_IMPALE",Inputs!$B$18+0,Inputs!$B$19+((C520=TRUE)*(F520-Calc!F23))))/100)*((1+(((C510=TRUE)*F510*IF(AND(Inputs!$B$39&lt;&gt;"pvp",Inputs!$B$44&gt;0),(((R510-1)*(Skills!T13*(1+Inputs!$B$35/100))+MIN((Skills!T13*(1+Inputs!$B$35/100)),MAX(0,Inputs!$B$44-((R510-1)*Skills!D13))))/Inputs!$B$44),IF(Inputs!$B$39="pvp",MIN((Skills!T13*(1+Inputs!$B$35/100)),15)/15,(Skills!T13*(1+Inputs!$B$35/100))/Skills!D13)))+((C511=TRUE)*F511*IF(AND(Inputs!$B$39&lt;&gt;"pvp",Inputs!$B$44&gt;0),(((R511-1)*(Skills!T14*(1+Inputs!$B$35/100))+MIN((Skills!T14*(1+Inputs!$B$35/100)),MAX(0,Inputs!$B$44-((R511-1)*Skills!D14))))/Inputs!$B$44),IF(Inputs!$B$39="pvp",MIN((Skills!T14*(1+Inputs!$B$35/100)),15)/15,(Skills!T14*(1+Inputs!$B$35/100))/Skills!D14)))+((C512=TRUE)*F512*IF(AND(Inputs!$B$39&lt;&gt;"pvp",Inputs!$B$44&gt;0),(((R512-1)*(Skills!T15*(1+Inputs!$B$35/100))+MIN((Skills!T15*(1+Inputs!$B$35/100)),MAX(0,Inputs!$B$44-((R512-1)*Skills!D15))))/Inputs!$B$44),IF(Inputs!$B$39="pvp",MIN((Skills!T15*(1+Inputs!$B$35/100)),15)/15,(Skills!T15*(1+Inputs!$B$35/100))/Skills!D15)))+((C513=TRUE)*F513*IF(AND(Inputs!$B$39&lt;&gt;"pvp",Inputs!$B$44&gt;0),(((R513-1)*(Skills!T16*(1+Inputs!$B$35/100))+MIN((Skills!T16*(1+Inputs!$B$35/100)),MAX(0,Inputs!$B$44-((R513-1)*Skills!D16))))/Inputs!$B$44),IF(Inputs!$B$39="pvp",MIN((Skills!T16*(1+Inputs!$B$35/100)),15)/15,(Skills!T16*(1+Inputs!$B$35/100))/Skills!D16)))+0)/100)*I499)</f>
        <v/>
      </c>
      <c r="L499">
        <f>K499*(MIN(Inputs!$B$23+((C519=TRUE)*(F519-Calc!F22)),(Inputs!$B$24+1)+((C521=TRUE)*(F521-Calc!F24)))/100+((Inputs!$B$24+1)+((C521=TRUE)*(F521-Calc!F24)))/100)/2</f>
        <v/>
      </c>
      <c r="M499">
        <f>L499*(1+(Inputs!$B$11+0+B531)/100)</f>
        <v/>
      </c>
      <c r="N499">
        <f>L499*(1-MIN((Inputs!$B$10+0+B526),100)/100)+M499*(MIN((Inputs!$B$10+0+B526),100)/100)</f>
        <v/>
      </c>
      <c r="O499">
        <f>(1-Summary!$B$55)*T499+Summary!$B$55*V499</f>
        <v/>
      </c>
      <c r="P499">
        <f>IF(B536=0,0,O499/B536)</f>
        <v/>
      </c>
      <c r="Q499" t="n">
        <v>0</v>
      </c>
      <c r="R499" t="n">
        <v>0</v>
      </c>
      <c r="S499">
        <f>IFERROR(O499/N499,0)</f>
        <v/>
      </c>
      <c r="T499">
        <f>IF(C499,(Skills!G2*N499*B530)*IF(Inputs!$B$39="pvp",1,1+(Inputs!$B$21+0+Skills!P2+((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0)</f>
        <v/>
      </c>
      <c r="U499">
        <f>MAX(0,(Inputs!$B$3-100)*3)+Inputs!$B$29+Inputs!$B$30</f>
        <v/>
      </c>
      <c r="V499">
        <f>IF(C499,(Skills!G2*N499*B530)*IF(Inputs!$B$39="pvp",1,(1+(Inputs!$B$22+Skills!Q2+((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MIN((6+Inputs!$B$34),Inputs!$B$38))),0)</f>
        <v/>
      </c>
    </row>
    <row r="500">
      <c r="A500">
        <f>Skills!A3</f>
        <v/>
      </c>
      <c r="B500">
        <f>Skills!B3</f>
        <v/>
      </c>
      <c r="C500">
        <f>Inputs!$B$3&gt;=50</f>
        <v/>
      </c>
      <c r="D500">
        <f>IF(Skills!C3=1,60+Inputs!$B$26+Inputs!$B$30,IF(Skills!C3=2,90+Inputs!$B$27+Inputs!$B$30,IF(Skills!C3=3,120+Inputs!$B$28+Inputs!$B$30,MAX(0,(Inputs!$B$3-100)*3)+Inputs!$B$29+Inputs!$B$30)))</f>
        <v/>
      </c>
      <c r="E500">
        <f>INDEX(FactorTable!$B$2:$Y$301, MATCH(ROUND(MIN(300,MAX(1,D500)),0), FactorTable!$A$2:$A$301,0), Skills!M3+1)</f>
        <v/>
      </c>
      <c r="F500">
        <f>IF(Skills!N3=TRUE,(Skills!L3/10)*(E500/1000),Skills!L3/10)+Skills!O3</f>
        <v/>
      </c>
      <c r="G500" t="inlineStr"/>
      <c r="H500" t="inlineStr"/>
      <c r="I500" t="inlineStr">
        <is>
          <t>1</t>
        </is>
      </c>
      <c r="J500" t="inlineStr"/>
      <c r="K500" t="inlineStr"/>
      <c r="L500" t="inlineStr"/>
      <c r="M500" t="inlineStr"/>
      <c r="N500" t="inlineStr"/>
      <c r="O500" t="inlineStr"/>
      <c r="P500" t="inlineStr"/>
      <c r="Q500" t="inlineStr"/>
      <c r="R500" t="inlineStr"/>
      <c r="S500" t="inlineStr"/>
      <c r="U500">
        <f>INDEX(FactorTable!$B$2:$Y$301, MATCH(ROUND(MIN(300,MAX(1,U499)),0), FactorTable!$A$2:$A$301,0), 22)</f>
        <v/>
      </c>
    </row>
    <row r="501">
      <c r="A501">
        <f>Skills!A4</f>
        <v/>
      </c>
      <c r="B501">
        <f>Skills!B4</f>
        <v/>
      </c>
      <c r="C501">
        <f>Inputs!$B$3&gt;=105</f>
        <v/>
      </c>
      <c r="D501">
        <f>IF(Skills!C4=1,60+Inputs!$B$26+Inputs!$B$30,IF(Skills!C4=2,90+Inputs!$B$27+Inputs!$B$30,IF(Skills!C4=3,120+Inputs!$B$28+Inputs!$B$30,MAX(0,(Inputs!$B$3-100)*3)+Inputs!$B$29+Inputs!$B$30)))</f>
        <v/>
      </c>
      <c r="E501">
        <f>INDEX(FactorTable!$B$2:$Y$301, MATCH(ROUND(MIN(300,MAX(1,D501)),0), FactorTable!$A$2:$A$301,0), Skills!M4+1)</f>
        <v/>
      </c>
      <c r="F501">
        <f>IF(Skills!N4=TRUE,(Skills!L4/10)*(E501/1000),Skills!L4/10)+Skills!O4</f>
        <v/>
      </c>
      <c r="G501" t="inlineStr"/>
      <c r="H501" t="inlineStr"/>
      <c r="I501" t="inlineStr">
        <is>
          <t>1</t>
        </is>
      </c>
      <c r="J501" t="inlineStr"/>
      <c r="K501" t="inlineStr"/>
      <c r="L501" t="inlineStr"/>
      <c r="M501" t="inlineStr"/>
      <c r="N501" t="inlineStr"/>
      <c r="O501" t="inlineStr"/>
      <c r="P501" t="inlineStr"/>
      <c r="Q501" t="inlineStr"/>
      <c r="R501" t="inlineStr"/>
      <c r="S501" t="inlineStr"/>
      <c r="U501">
        <f>290*U500/1000</f>
        <v/>
      </c>
    </row>
    <row r="502">
      <c r="A502">
        <f>Skills!A5</f>
        <v/>
      </c>
      <c r="B502">
        <f>Skills!B5</f>
        <v/>
      </c>
      <c r="C502">
        <f>Inputs!$B$3&gt;=117</f>
        <v/>
      </c>
      <c r="D502">
        <f>IF(Skills!C5=1,60+Inputs!$B$26+Inputs!$B$30,IF(Skills!C5=2,90+Inputs!$B$27+Inputs!$B$30,IF(Skills!C5=3,120+Inputs!$B$28+Inputs!$B$30,MAX(0,(Inputs!$B$3-100)*3)+Inputs!$B$29+Inputs!$B$30)))</f>
        <v/>
      </c>
      <c r="E502">
        <f>INDEX(FactorTable!$B$2:$Y$301, MATCH(ROUND(MIN(300,MAX(1,D502)),0), FactorTable!$A$2:$A$301,0), Skills!M5+1)</f>
        <v/>
      </c>
      <c r="F502">
        <f>IF(Skills!N5=TRUE,(Skills!L5/10)*(E502/1000),Skills!L5/10)+Skills!O5</f>
        <v/>
      </c>
      <c r="G502">
        <f>Skills!G5*IF(Skills!H5&gt;0,Skills!I5/Skills!H5,1)</f>
        <v/>
      </c>
      <c r="H502">
        <f>1-(1-Skills!J5/100)^Skills!K5</f>
        <v/>
      </c>
      <c r="I502" t="inlineStr">
        <is>
          <t>1</t>
        </is>
      </c>
      <c r="J502">
        <f>((Inputs!$B$6*(1+Inputs!$B$7/100))+(((Inputs!$B$13*(1+Inputs!$B$14/100))-(Inputs!$B$13*(1+Inputs!$B$14/100)))+0.25*(Inputs!$B$15-Inputs!$B$15))*(1+Inputs!$B$7/100))*(F502/100)</f>
        <v/>
      </c>
      <c r="K502">
        <f>J502*(1+(((Inputs!$B$13+IF(Inputs!$B$3&gt;=38,(10*INDEX(FactorTable!$B$2:$Y$301, MATCH(ROUND(MIN(300,MAX(1,Inputs!$B$3)),0), FactorTable!$A$2:$A$301,0), 23)/1000)/100*(Inputs!$B$8*(1+Inputs!$B$9/100)),0))*(1+Inputs!$B$14/100))*0.01+Inputs!$B$15*0.0025)/100)*(1+Inputs!$B$16/100)*(1+Inputs!$B$17/100)*(5000/(6000+Inputs!$B$43*(1-(Inputs!$B$20+0)/100)))*(1+(Inputs!$B$25+((C522=TRUE)*(F522-Calc!F25))+((C523=TRUE)*(F523-Calc!F26))+B532)/100)*(1+(IF(Skills!A5="DARK_IMPALE",Inputs!$B$18+0,Inputs!$B$19+((C520=TRUE)*(F520-Calc!F23))))/100)*((1+(((C510=TRUE)*F510*IF(AND(Inputs!$B$39&lt;&gt;"pvp",Inputs!$B$44&gt;0),(((R510-1)*(Skills!T13*(1+Inputs!$B$35/100))+MIN((Skills!T13*(1+Inputs!$B$35/100)),MAX(0,Inputs!$B$44-((R510-1)*Skills!D13))))/Inputs!$B$44),IF(Inputs!$B$39="pvp",MIN((Skills!T13*(1+Inputs!$B$35/100)),15)/15,(Skills!T13*(1+Inputs!$B$35/100))/Skills!D13)))+((C511=TRUE)*F511*IF(AND(Inputs!$B$39&lt;&gt;"pvp",Inputs!$B$44&gt;0),(((R511-1)*(Skills!T14*(1+Inputs!$B$35/100))+MIN((Skills!T14*(1+Inputs!$B$35/100)),MAX(0,Inputs!$B$44-((R511-1)*Skills!D14))))/Inputs!$B$44),IF(Inputs!$B$39="pvp",MIN((Skills!T14*(1+Inputs!$B$35/100)),15)/15,(Skills!T14*(1+Inputs!$B$35/100))/Skills!D14)))+((C512=TRUE)*F512*IF(AND(Inputs!$B$39&lt;&gt;"pvp",Inputs!$B$44&gt;0),(((R512-1)*(Skills!T15*(1+Inputs!$B$35/100))+MIN((Skills!T15*(1+Inputs!$B$35/100)),MAX(0,Inputs!$B$44-((R512-1)*Skills!D15))))/Inputs!$B$44),IF(Inputs!$B$39="pvp",MIN((Skills!T15*(1+Inputs!$B$35/100)),15)/15,(Skills!T15*(1+Inputs!$B$35/100))/Skills!D15)))+((C513=TRUE)*F513*IF(AND(Inputs!$B$39&lt;&gt;"pvp",Inputs!$B$44&gt;0),(((R513-1)*(Skills!T16*(1+Inputs!$B$35/100))+MIN((Skills!T16*(1+Inputs!$B$35/100)),MAX(0,Inputs!$B$44-((R513-1)*Skills!D16))))/Inputs!$B$44),IF(Inputs!$B$39="pvp",MIN((Skills!T16*(1+Inputs!$B$35/100)),15)/15,(Skills!T16*(1+Inputs!$B$35/100))/Skills!D16)))+0)/100)*I502)</f>
        <v/>
      </c>
      <c r="L502">
        <f>K502*(MIN(Inputs!$B$23+((C519=TRUE)*(F519-Calc!F22)),(Inputs!$B$24+1)+((C521=TRUE)*(F521-Calc!F24)))/100+((Inputs!$B$24+1)+((C521=TRUE)*(F521-Calc!F24)))/100)/2</f>
        <v/>
      </c>
      <c r="M502">
        <f>L502*(1+(Inputs!$B$11+0+B531)/100)</f>
        <v/>
      </c>
      <c r="N502">
        <f>L502*(1-MIN((Inputs!$B$10+0+B526),100)/100)+M502*(MIN((Inputs!$B$10+0+B526),100)/100)</f>
        <v/>
      </c>
      <c r="O502">
        <f>(1-Summary!$B$55)*T502+Summary!$B$55*V502</f>
        <v/>
      </c>
      <c r="P502">
        <f>IF(B536=0,0,O502/B536)</f>
        <v/>
      </c>
      <c r="Q502">
        <f>IFERROR(1/IF(Inputs!$B$39="pvp",15,MAX(0.1,Skills!D5-IF(Skills!E5=TRUE,Inputs!$B$33,0))),0)</f>
        <v/>
      </c>
      <c r="R502">
        <f>IF(AND(Inputs!$B$39&lt;&gt;"pvp",Inputs!$B$44&gt;0),IF(MAX(0,Inputs!$B$44-B533)&lt;=0,0,(INT(MAX(0,Inputs!$B$44-B533)/IF(Inputs!$B$39="pvp",15,MAX(0.1,Skills!D5-IF(Skills!E5=TRUE,Inputs!$B$33,0))))+1)),0)</f>
        <v/>
      </c>
      <c r="S502">
        <f>IFERROR(O502/N502,0)</f>
        <v/>
      </c>
      <c r="T502">
        <f>IF(C502,(H502*N502*IF(AND(Inputs!$B$39&lt;&gt;"pvp",Inputs!$B$44&gt;0),((Skills!G5*((R502-1)*IF(Skills!H5&gt;0,Skills!I5/Skills!H5,1)+IF(Skills!H5&gt;0,MIN(Skills!I5,MAX(0,MAX(0,Inputs!$B$44-B533)-((R502-1)*IF(Inputs!$B$39="pvp",15,MAX(0.1,Skills!D5-IF(Skills!E5=TRUE,Inputs!$B$33,0))))))/Skills!H5,1)))/Inputs!$B$44),G502*Q502))*IF(Inputs!$B$39="pvp",1,1+(Inputs!$B$21+0+Skills!P5+((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0)</f>
        <v/>
      </c>
      <c r="V502">
        <f>IF(C502,(H502*N502*IF(AND(Inputs!$B$39&lt;&gt;"pvp",Inputs!$B$44&gt;0),((Skills!G5*((R502-1)*IF(Skills!H5&gt;0,Skills!I5/Skills!H5,1)+IF(Skills!H5&gt;0,MIN(Skills!I5,MAX(0,MAX(0,Inputs!$B$44-B533)-((R502-1)*IF(Inputs!$B$39="pvp",15,MAX(0.1,Skills!D5-IF(Skills!E5=TRUE,Inputs!$B$33,0))))))/Skills!H5,1)))/Inputs!$B$44),G502*Q502))*IF(Inputs!$B$39="pvp",1,(1+(Inputs!$B$22+Skills!Q5+((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MIN(Skills!R5,Inputs!$B$38))),0)</f>
        <v/>
      </c>
    </row>
    <row r="503">
      <c r="A503">
        <f>Skills!A6</f>
        <v/>
      </c>
      <c r="B503">
        <f>Skills!B6</f>
        <v/>
      </c>
      <c r="C503">
        <f>Inputs!$B$3&gt;=103</f>
        <v/>
      </c>
      <c r="D503">
        <f>IF(Skills!C6=1,60+Inputs!$B$26+Inputs!$B$30,IF(Skills!C6=2,90+Inputs!$B$27+Inputs!$B$30,IF(Skills!C6=3,120+Inputs!$B$28+Inputs!$B$30,MAX(0,(Inputs!$B$3-100)*3)+Inputs!$B$29+Inputs!$B$30)))</f>
        <v/>
      </c>
      <c r="E503">
        <f>INDEX(FactorTable!$B$2:$Y$301, MATCH(ROUND(MIN(300,MAX(1,D503)),0), FactorTable!$A$2:$A$301,0), Skills!M6+1)</f>
        <v/>
      </c>
      <c r="F503">
        <f>IF(Skills!N6=TRUE,(Skills!L6/10)*(E503/1000),Skills!L6/10)+Skills!O6</f>
        <v/>
      </c>
      <c r="G503">
        <f>Skills!G6*IF(Skills!H6&gt;0,Skills!I6/Skills!H6,1)</f>
        <v/>
      </c>
      <c r="H503">
        <f>1-(1-Skills!J6/100)^Skills!K6</f>
        <v/>
      </c>
      <c r="I503" t="inlineStr">
        <is>
          <t>1</t>
        </is>
      </c>
      <c r="J503">
        <f>((Inputs!$B$6*(1+Inputs!$B$7/100))+(((Inputs!$B$13*(1+Inputs!$B$14/100))-(Inputs!$B$13*(1+Inputs!$B$14/100)))+0.25*(Inputs!$B$15-Inputs!$B$15))*(1+Inputs!$B$7/100))*(F503/100)</f>
        <v/>
      </c>
      <c r="K503">
        <f>J503*(1+(((Inputs!$B$13+IF(Inputs!$B$3&gt;=38,(10*INDEX(FactorTable!$B$2:$Y$301, MATCH(ROUND(MIN(300,MAX(1,Inputs!$B$3)),0), FactorTable!$A$2:$A$301,0), 23)/1000)/100*(Inputs!$B$8*(1+Inputs!$B$9/100)),0))*(1+Inputs!$B$14/100))*0.01+Inputs!$B$15*0.0025)/100)*(1+Inputs!$B$16/100)*(1+Inputs!$B$17/100)*(5000/(6000+Inputs!$B$43*(1-(Inputs!$B$20+0)/100)))*(1+(Inputs!$B$25+((C522=TRUE)*(F522-Calc!F25))+((C523=TRUE)*(F523-Calc!F26))+B532)/100)*(1+(IF(Skills!A6="DARK_IMPALE",Inputs!$B$18+0,Inputs!$B$19+((C520=TRUE)*(F520-Calc!F23))))/100)*((1+(((C510=TRUE)*F510*IF(AND(Inputs!$B$39&lt;&gt;"pvp",Inputs!$B$44&gt;0),(((R510-1)*(Skills!T13*(1+Inputs!$B$35/100))+MIN((Skills!T13*(1+Inputs!$B$35/100)),MAX(0,Inputs!$B$44-((R510-1)*Skills!D13))))/Inputs!$B$44),IF(Inputs!$B$39="pvp",MIN((Skills!T13*(1+Inputs!$B$35/100)),15)/15,(Skills!T13*(1+Inputs!$B$35/100))/Skills!D13)))+((C511=TRUE)*F511*IF(AND(Inputs!$B$39&lt;&gt;"pvp",Inputs!$B$44&gt;0),(((R511-1)*(Skills!T14*(1+Inputs!$B$35/100))+MIN((Skills!T14*(1+Inputs!$B$35/100)),MAX(0,Inputs!$B$44-((R511-1)*Skills!D14))))/Inputs!$B$44),IF(Inputs!$B$39="pvp",MIN((Skills!T14*(1+Inputs!$B$35/100)),15)/15,(Skills!T14*(1+Inputs!$B$35/100))/Skills!D14)))+((C512=TRUE)*F512*IF(AND(Inputs!$B$39&lt;&gt;"pvp",Inputs!$B$44&gt;0),(((R512-1)*(Skills!T15*(1+Inputs!$B$35/100))+MIN((Skills!T15*(1+Inputs!$B$35/100)),MAX(0,Inputs!$B$44-((R512-1)*Skills!D15))))/Inputs!$B$44),IF(Inputs!$B$39="pvp",MIN((Skills!T15*(1+Inputs!$B$35/100)),15)/15,(Skills!T15*(1+Inputs!$B$35/100))/Skills!D15)))+((C513=TRUE)*F513*IF(AND(Inputs!$B$39&lt;&gt;"pvp",Inputs!$B$44&gt;0),(((R513-1)*(Skills!T16*(1+Inputs!$B$35/100))+MIN((Skills!T16*(1+Inputs!$B$35/100)),MAX(0,Inputs!$B$44-((R513-1)*Skills!D16))))/Inputs!$B$44),IF(Inputs!$B$39="pvp",MIN((Skills!T16*(1+Inputs!$B$35/100)),15)/15,(Skills!T16*(1+Inputs!$B$35/100))/Skills!D16)))+0)/100)*I503)</f>
        <v/>
      </c>
      <c r="L503">
        <f>K503*(MIN(Inputs!$B$23+((C519=TRUE)*(F519-Calc!F22)),(Inputs!$B$24+1)+((C521=TRUE)*(F521-Calc!F24)))/100+((Inputs!$B$24+1)+((C521=TRUE)*(F521-Calc!F24)))/100)/2</f>
        <v/>
      </c>
      <c r="M503">
        <f>L503*(1+(Inputs!$B$11+0+B531)/100)</f>
        <v/>
      </c>
      <c r="N503">
        <f>L503*(1-MIN((Inputs!$B$10+0+B526),100)/100)+M503*(MIN((Inputs!$B$10+0+B526),100)/100)</f>
        <v/>
      </c>
      <c r="O503">
        <f>(1-Summary!$B$55)*T503+Summary!$B$55*V503</f>
        <v/>
      </c>
      <c r="P503">
        <f>IF(B536=0,0,O503/B536)</f>
        <v/>
      </c>
      <c r="Q503">
        <f>IFERROR(1/IF(Inputs!$B$39="pvp",15,MAX(0.1,Skills!D6-IF(Skills!E6=TRUE,Inputs!$B$33,0))),0)</f>
        <v/>
      </c>
      <c r="R503">
        <f>IF(AND(Inputs!$B$39&lt;&gt;"pvp",Inputs!$B$44&gt;0),IF(MAX(0,Inputs!$B$44-B533)&lt;=0,0,(INT(MAX(0,Inputs!$B$44-B533)/IF(Inputs!$B$39="pvp",15,MAX(0.1,Skills!D6-IF(Skills!E6=TRUE,Inputs!$B$33,0))))+1)),0)</f>
        <v/>
      </c>
      <c r="S503">
        <f>IFERROR(O503/N503,0)</f>
        <v/>
      </c>
      <c r="T503">
        <f>IF(C503,(H503*N503*IF(AND(Inputs!$B$39&lt;&gt;"pvp",Inputs!$B$44&gt;0),((Skills!G6*((R503-1)*IF(Skills!H6&gt;0,Skills!I6/Skills!H6,1)+IF(Skills!H6&gt;0,MIN(Skills!I6,MAX(0,MAX(0,Inputs!$B$44-B533)-((R503-1)*IF(Inputs!$B$39="pvp",15,MAX(0.1,Skills!D6-IF(Skills!E6=TRUE,Inputs!$B$33,0))))))/Skills!H6,1)))/Inputs!$B$44),G503*Q503))*IF(Inputs!$B$39="pvp",1,1+(Inputs!$B$21+0+Skills!P6+((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0)</f>
        <v/>
      </c>
      <c r="V503">
        <f>IF(C503,(H503*N503*IF(AND(Inputs!$B$39&lt;&gt;"pvp",Inputs!$B$44&gt;0),((Skills!G6*((R503-1)*IF(Skills!H6&gt;0,Skills!I6/Skills!H6,1)+IF(Skills!H6&gt;0,MIN(Skills!I6,MAX(0,MAX(0,Inputs!$B$44-B533)-((R503-1)*IF(Inputs!$B$39="pvp",15,MAX(0.1,Skills!D6-IF(Skills!E6=TRUE,Inputs!$B$33,0))))))/Skills!H6,1)))/Inputs!$B$44),G503*Q503))*IF(Inputs!$B$39="pvp",1,(1+(Inputs!$B$22+Skills!Q6+((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MIN(Skills!R6,Inputs!$B$38))),0)</f>
        <v/>
      </c>
    </row>
    <row r="504">
      <c r="A504">
        <f>Skills!A7</f>
        <v/>
      </c>
      <c r="B504">
        <f>Skills!B7</f>
        <v/>
      </c>
      <c r="C504">
        <f>Inputs!$B$3&gt;=40</f>
        <v/>
      </c>
      <c r="D504">
        <f>IF(Skills!C7=1,60+Inputs!$B$26+Inputs!$B$30,IF(Skills!C7=2,90+Inputs!$B$27+Inputs!$B$30,IF(Skills!C7=3,120+Inputs!$B$28+Inputs!$B$30,MAX(0,(Inputs!$B$3-100)*3)+Inputs!$B$29+Inputs!$B$30)))</f>
        <v/>
      </c>
      <c r="E504">
        <f>INDEX(FactorTable!$B$2:$Y$301, MATCH(ROUND(MIN(300,MAX(1,D504)),0), FactorTable!$A$2:$A$301,0), Skills!M7+1)</f>
        <v/>
      </c>
      <c r="F504">
        <f>IF(Skills!N7=TRUE,(Skills!L7/10)*(E504/1000),Skills!L7/10)+Skills!O7</f>
        <v/>
      </c>
      <c r="G504">
        <f>Skills!G7*IF(Skills!H7&gt;0,Skills!I7/Skills!H7,1)</f>
        <v/>
      </c>
      <c r="H504">
        <f>1-(1-Skills!J7/100)^Skills!K7</f>
        <v/>
      </c>
      <c r="I504" t="inlineStr">
        <is>
          <t>1</t>
        </is>
      </c>
      <c r="J504">
        <f>((Inputs!$B$6*(1+Inputs!$B$7/100))+(((Inputs!$B$13*(1+Inputs!$B$14/100))-(Inputs!$B$13*(1+Inputs!$B$14/100)))+0.25*(Inputs!$B$15-Inputs!$B$15))*(1+Inputs!$B$7/100))*(F504/100)</f>
        <v/>
      </c>
      <c r="K504">
        <f>J504*(1+(((Inputs!$B$13+IF(Inputs!$B$3&gt;=38,(10*INDEX(FactorTable!$B$2:$Y$301, MATCH(ROUND(MIN(300,MAX(1,Inputs!$B$3)),0), FactorTable!$A$2:$A$301,0), 23)/1000)/100*(Inputs!$B$8*(1+Inputs!$B$9/100)),0))*(1+Inputs!$B$14/100))*0.01+Inputs!$B$15*0.0025)/100)*(1+Inputs!$B$16/100)*(1+Inputs!$B$17/100)*(5000/(6000+Inputs!$B$43*(1-(Inputs!$B$20+0)/100)))*(1+(Inputs!$B$25+((C522=TRUE)*(F522-Calc!F25))+((C523=TRUE)*(F523-Calc!F26))+B532)/100)*(1+0.75*IF(C508=TRUE,F508,0)/100)*(1+(IF(Skills!A7="DARK_IMPALE",Inputs!$B$18+0,Inputs!$B$19+((C520=TRUE)*(F520-Calc!F23))))/100)*((1+(((C510=TRUE)*F510*IF(AND(Inputs!$B$39&lt;&gt;"pvp",Inputs!$B$44&gt;0),(((R510-1)*(Skills!T13*(1+Inputs!$B$35/100))+MIN((Skills!T13*(1+Inputs!$B$35/100)),MAX(0,Inputs!$B$44-((R510-1)*Skills!D13))))/Inputs!$B$44),IF(Inputs!$B$39="pvp",MIN((Skills!T13*(1+Inputs!$B$35/100)),15)/15,(Skills!T13*(1+Inputs!$B$35/100))/Skills!D13)))+((C511=TRUE)*F511*IF(AND(Inputs!$B$39&lt;&gt;"pvp",Inputs!$B$44&gt;0),(((R511-1)*(Skills!T14*(1+Inputs!$B$35/100))+MIN((Skills!T14*(1+Inputs!$B$35/100)),MAX(0,Inputs!$B$44-((R511-1)*Skills!D14))))/Inputs!$B$44),IF(Inputs!$B$39="pvp",MIN((Skills!T14*(1+Inputs!$B$35/100)),15)/15,(Skills!T14*(1+Inputs!$B$35/100))/Skills!D14)))+((C512=TRUE)*F512*IF(AND(Inputs!$B$39&lt;&gt;"pvp",Inputs!$B$44&gt;0),(((R512-1)*(Skills!T15*(1+Inputs!$B$35/100))+MIN((Skills!T15*(1+Inputs!$B$35/100)),MAX(0,Inputs!$B$44-((R512-1)*Skills!D15))))/Inputs!$B$44),IF(Inputs!$B$39="pvp",MIN((Skills!T15*(1+Inputs!$B$35/100)),15)/15,(Skills!T15*(1+Inputs!$B$35/100))/Skills!D15)))+((C513=TRUE)*F513*IF(AND(Inputs!$B$39&lt;&gt;"pvp",Inputs!$B$44&gt;0),(((R513-1)*(Skills!T16*(1+Inputs!$B$35/100))+MIN((Skills!T16*(1+Inputs!$B$35/100)),MAX(0,Inputs!$B$44-((R513-1)*Skills!D16))))/Inputs!$B$44),IF(Inputs!$B$39="pvp",MIN((Skills!T16*(1+Inputs!$B$35/100)),15)/15,(Skills!T16*(1+Inputs!$B$35/100))/Skills!D16)))+0)/100)*I504)</f>
        <v/>
      </c>
      <c r="L504">
        <f>K504*(MIN(Inputs!$B$23+((C519=TRUE)*(F519-Calc!F22)),(Inputs!$B$24+1)+((C521=TRUE)*(F521-Calc!F24)))/100+((Inputs!$B$24+1)+((C521=TRUE)*(F521-Calc!F24)))/100)/2</f>
        <v/>
      </c>
      <c r="M504">
        <f>L504*(1+(Inputs!$B$11+0+B531)/100)</f>
        <v/>
      </c>
      <c r="N504">
        <f>L504*(1-MIN((Inputs!$B$10+0+B526),100)/100)+M504*(MIN((Inputs!$B$10+0+B526),100)/100)</f>
        <v/>
      </c>
      <c r="O504">
        <f>(1-Summary!$B$55)*T504+Summary!$B$55*V504</f>
        <v/>
      </c>
      <c r="P504">
        <f>IF(B536=0,0,O504/B536)</f>
        <v/>
      </c>
      <c r="Q504">
        <f>IFERROR(1/IF(Inputs!$B$39="pvp",15,MAX(0.1,Skills!D7-IF(Skills!E7=TRUE,Inputs!$B$33,0))),0)</f>
        <v/>
      </c>
      <c r="R504">
        <f>IF(AND(Inputs!$B$39&lt;&gt;"pvp",Inputs!$B$44&gt;0),IF(MAX(0,Inputs!$B$44-B533)&lt;=0,0,(INT(MAX(0,Inputs!$B$44-B533)/IF(Inputs!$B$39="pvp",15,MAX(0.1,Skills!D7-IF(Skills!E7=TRUE,Inputs!$B$33,0))))+1)),0)</f>
        <v/>
      </c>
      <c r="S504">
        <f>IFERROR(O504/N504,0)</f>
        <v/>
      </c>
      <c r="T504">
        <f>IF(C504,(H504*N504*IF(AND(Inputs!$B$39&lt;&gt;"pvp",Inputs!$B$44&gt;0),((Skills!G7*((R504-1)*IF(Skills!H7&gt;0,Skills!I7/Skills!H7,1)+IF(Skills!H7&gt;0,MIN(Skills!I7,MAX(0,MAX(0,Inputs!$B$44-B533)-((R504-1)*IF(Inputs!$B$39="pvp",15,MAX(0.1,Skills!D7-IF(Skills!E7=TRUE,Inputs!$B$33,0))))))/Skills!H7,1)))/Inputs!$B$44),G504*Q504))*IF(Inputs!$B$39="pvp",1,1+(Inputs!$B$21+0+Skills!P7+((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0)</f>
        <v/>
      </c>
      <c r="V504">
        <f>IF(C504,(H504*N504*IF(AND(Inputs!$B$39&lt;&gt;"pvp",Inputs!$B$44&gt;0),((Skills!G7*((R504-1)*IF(Skills!H7&gt;0,Skills!I7/Skills!H7,1)+IF(Skills!H7&gt;0,MIN(Skills!I7,MAX(0,MAX(0,Inputs!$B$44-B533)-((R504-1)*IF(Inputs!$B$39="pvp",15,MAX(0.1,Skills!D7-IF(Skills!E7=TRUE,Inputs!$B$33,0))))))/Skills!H7,1)))/Inputs!$B$44),G504*Q504))*IF(Inputs!$B$39="pvp",1,(1+(Inputs!$B$22+Skills!Q7+((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MIN(Skills!R7,Inputs!$B$38))),0)</f>
        <v/>
      </c>
    </row>
    <row r="505">
      <c r="A505">
        <f>Skills!A8</f>
        <v/>
      </c>
      <c r="B505">
        <f>Skills!B8</f>
        <v/>
      </c>
      <c r="C505">
        <f>Inputs!$B$3&gt;=75</f>
        <v/>
      </c>
      <c r="D505">
        <f>IF(Skills!C8=1,60+Inputs!$B$26+Inputs!$B$30,IF(Skills!C8=2,90+Inputs!$B$27+Inputs!$B$30,IF(Skills!C8=3,120+Inputs!$B$28+Inputs!$B$30,MAX(0,(Inputs!$B$3-100)*3)+Inputs!$B$29+Inputs!$B$30)))</f>
        <v/>
      </c>
      <c r="E505">
        <f>INDEX(FactorTable!$B$2:$Y$301, MATCH(ROUND(MIN(300,MAX(1,D505)),0), FactorTable!$A$2:$A$301,0), Skills!M8+1)</f>
        <v/>
      </c>
      <c r="F505">
        <f>IF(Skills!N8=TRUE,(Skills!L8/10)*(E505/1000),Skills!L8/10)+Skills!O8</f>
        <v/>
      </c>
      <c r="G505" t="inlineStr"/>
      <c r="H505" t="inlineStr"/>
      <c r="I505" t="inlineStr">
        <is>
          <t>1</t>
        </is>
      </c>
      <c r="J505" t="inlineStr"/>
      <c r="K505" t="inlineStr"/>
      <c r="L505" t="inlineStr"/>
      <c r="M505" t="inlineStr"/>
      <c r="N505" t="inlineStr"/>
      <c r="O505" t="inlineStr"/>
      <c r="P505" t="inlineStr"/>
      <c r="Q505" t="inlineStr"/>
      <c r="R505" t="inlineStr"/>
      <c r="S505" t="inlineStr"/>
    </row>
    <row r="506">
      <c r="A506">
        <f>Skills!A9</f>
        <v/>
      </c>
      <c r="B506">
        <f>Skills!B9</f>
        <v/>
      </c>
      <c r="C506">
        <f>Inputs!$B$3&gt;=60</f>
        <v/>
      </c>
      <c r="D506">
        <f>IF(Skills!C9=1,60+Inputs!$B$26+Inputs!$B$30,IF(Skills!C9=2,90+Inputs!$B$27+Inputs!$B$30,IF(Skills!C9=3,120+Inputs!$B$28+Inputs!$B$30,MAX(0,(Inputs!$B$3-100)*3)+Inputs!$B$29+Inputs!$B$30)))</f>
        <v/>
      </c>
      <c r="E506">
        <f>INDEX(FactorTable!$B$2:$Y$301, MATCH(ROUND(MIN(300,MAX(1,D506)),0), FactorTable!$A$2:$A$301,0), Skills!M9+1)</f>
        <v/>
      </c>
      <c r="F506">
        <f>IF(Skills!N9=TRUE,(Skills!L9/10)*(E506/1000),Skills!L9/10)+Skills!O9</f>
        <v/>
      </c>
      <c r="G506">
        <f>Skills!G9*IF(Skills!H9&gt;0,Skills!I9/Skills!H9,1)</f>
        <v/>
      </c>
      <c r="H506">
        <f>1-(1-Skills!J9/100)^Skills!K9</f>
        <v/>
      </c>
      <c r="I506" t="inlineStr">
        <is>
          <t>1</t>
        </is>
      </c>
      <c r="J506">
        <f>((Inputs!$B$6*(1+Inputs!$B$7/100))+(((Inputs!$B$13*(1+Inputs!$B$14/100))-(Inputs!$B$13*(1+Inputs!$B$14/100)))+0.25*(Inputs!$B$15-Inputs!$B$15))*(1+Inputs!$B$7/100))*(F506/100)</f>
        <v/>
      </c>
      <c r="K506">
        <f>J506*(1+(((Inputs!$B$13+IF(Inputs!$B$3&gt;=38,(10*INDEX(FactorTable!$B$2:$Y$301, MATCH(ROUND(MIN(300,MAX(1,Inputs!$B$3)),0), FactorTable!$A$2:$A$301,0), 23)/1000)/100*(Inputs!$B$8*(1+Inputs!$B$9/100)),0))*(1+Inputs!$B$14/100))*0.01+Inputs!$B$15*0.0025)/100)*(1+Inputs!$B$16/100)*(1+Inputs!$B$17/100)*(5000/(6000+Inputs!$B$43*(1-(Inputs!$B$20+0)/100)))*(1+(Inputs!$B$25+((C522=TRUE)*(F522-Calc!F25))+((C523=TRUE)*(F523-Calc!F26))+B532)/100)*(1+1.0*IF(C508=TRUE,F508,0)/100)*(1+(IF(Skills!A9="DARK_IMPALE",Inputs!$B$18+0,Inputs!$B$19+((C520=TRUE)*(F520-Calc!F23))))/100)*((1+(((C510=TRUE)*F510*IF(AND(Inputs!$B$39&lt;&gt;"pvp",Inputs!$B$44&gt;0),(((R510-1)*(Skills!T13*(1+Inputs!$B$35/100))+MIN((Skills!T13*(1+Inputs!$B$35/100)),MAX(0,Inputs!$B$44-((R510-1)*Skills!D13))))/Inputs!$B$44),IF(Inputs!$B$39="pvp",MIN((Skills!T13*(1+Inputs!$B$35/100)),15)/15,(Skills!T13*(1+Inputs!$B$35/100))/Skills!D13)))+((C511=TRUE)*F511*IF(AND(Inputs!$B$39&lt;&gt;"pvp",Inputs!$B$44&gt;0),(((R511-1)*(Skills!T14*(1+Inputs!$B$35/100))+MIN((Skills!T14*(1+Inputs!$B$35/100)),MAX(0,Inputs!$B$44-((R511-1)*Skills!D14))))/Inputs!$B$44),IF(Inputs!$B$39="pvp",MIN((Skills!T14*(1+Inputs!$B$35/100)),15)/15,(Skills!T14*(1+Inputs!$B$35/100))/Skills!D14)))+((C512=TRUE)*F512*IF(AND(Inputs!$B$39&lt;&gt;"pvp",Inputs!$B$44&gt;0),(((R512-1)*(Skills!T15*(1+Inputs!$B$35/100))+MIN((Skills!T15*(1+Inputs!$B$35/100)),MAX(0,Inputs!$B$44-((R512-1)*Skills!D15))))/Inputs!$B$44),IF(Inputs!$B$39="pvp",MIN((Skills!T15*(1+Inputs!$B$35/100)),15)/15,(Skills!T15*(1+Inputs!$B$35/100))/Skills!D15)))+((C513=TRUE)*F513*IF(AND(Inputs!$B$39&lt;&gt;"pvp",Inputs!$B$44&gt;0),(((R513-1)*(Skills!T16*(1+Inputs!$B$35/100))+MIN((Skills!T16*(1+Inputs!$B$35/100)),MAX(0,Inputs!$B$44-((R513-1)*Skills!D16))))/Inputs!$B$44),IF(Inputs!$B$39="pvp",MIN((Skills!T16*(1+Inputs!$B$35/100)),15)/15,(Skills!T16*(1+Inputs!$B$35/100))/Skills!D16)))+0)/100)*I506)</f>
        <v/>
      </c>
      <c r="L506">
        <f>K506*(MIN(Inputs!$B$23+((C519=TRUE)*(F519-Calc!F22)),(Inputs!$B$24+1)+((C521=TRUE)*(F521-Calc!F24)))/100+((Inputs!$B$24+1)+((C521=TRUE)*(F521-Calc!F24)))/100)/2</f>
        <v/>
      </c>
      <c r="M506">
        <f>L506*(1+(Inputs!$B$11+0+B531)/100)</f>
        <v/>
      </c>
      <c r="N506">
        <f>L506*(1-MIN((Inputs!$B$10+0+B526),100)/100)+M506*(MIN((Inputs!$B$10+0+B526),100)/100)</f>
        <v/>
      </c>
      <c r="O506">
        <f>(1-Summary!$B$55)*T506+Summary!$B$55*V506</f>
        <v/>
      </c>
      <c r="P506">
        <f>IF(B536=0,0,O506/B536)</f>
        <v/>
      </c>
      <c r="Q506">
        <f>IFERROR(1/IF(Inputs!$B$39="pvp",15,MAX(0.1,Skills!D9-IF(Skills!E9=TRUE,Inputs!$B$33,0))),0)</f>
        <v/>
      </c>
      <c r="R506">
        <f>IF(AND(Inputs!$B$39&lt;&gt;"pvp",Inputs!$B$44&gt;0),IF(MAX(0,Inputs!$B$44-B533)&lt;=0,0,(INT(MAX(0,Inputs!$B$44-B533)/IF(Inputs!$B$39="pvp",15,MAX(0.1,Skills!D9-IF(Skills!E9=TRUE,Inputs!$B$33,0))))+1)),0)</f>
        <v/>
      </c>
      <c r="S506">
        <f>IFERROR(O506/N506,0)</f>
        <v/>
      </c>
      <c r="T506">
        <f>IF(C506,(H506*N506*IF(AND(Inputs!$B$39&lt;&gt;"pvp",Inputs!$B$44&gt;0),((Skills!G9*((R506-1)*IF(Skills!H9&gt;0,Skills!I9/Skills!H9,1)+IF(Skills!H9&gt;0,MIN(Skills!I9,MAX(0,MAX(0,Inputs!$B$44-B533)-((R506-1)*IF(Inputs!$B$39="pvp",15,MAX(0.1,Skills!D9-IF(Skills!E9=TRUE,Inputs!$B$33,0))))))/Skills!H9,1)))/Inputs!$B$44),G506*Q506))*IF(Inputs!$B$39="pvp",1,1+(Inputs!$B$21+0+Skills!P9+((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0)</f>
        <v/>
      </c>
      <c r="V506">
        <f>IF(C506,(H506*N506*IF(AND(Inputs!$B$39&lt;&gt;"pvp",Inputs!$B$44&gt;0),((Skills!G9*((R506-1)*IF(Skills!H9&gt;0,Skills!I9/Skills!H9,1)+IF(Skills!H9&gt;0,MIN(Skills!I9,MAX(0,MAX(0,Inputs!$B$44-B533)-((R506-1)*IF(Inputs!$B$39="pvp",15,MAX(0.1,Skills!D9-IF(Skills!E9=TRUE,Inputs!$B$33,0))))))/Skills!H9,1)))/Inputs!$B$44),G506*Q506))*IF(Inputs!$B$39="pvp",1,(1+(Inputs!$B$22+Skills!Q9+((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MIN(Skills!R9,Inputs!$B$38))),0)</f>
        <v/>
      </c>
    </row>
    <row r="507">
      <c r="A507">
        <f>Skills!A10</f>
        <v/>
      </c>
      <c r="B507">
        <f>Skills!B10</f>
        <v/>
      </c>
      <c r="C507">
        <f>Inputs!$B$3&gt;=110</f>
        <v/>
      </c>
      <c r="D507">
        <f>IF(Skills!C10=1,60+Inputs!$B$26+Inputs!$B$30,IF(Skills!C10=2,90+Inputs!$B$27+Inputs!$B$30,IF(Skills!C10=3,120+Inputs!$B$28+Inputs!$B$30,MAX(0,(Inputs!$B$3-100)*3)+Inputs!$B$29+Inputs!$B$30)))</f>
        <v/>
      </c>
      <c r="E507">
        <f>INDEX(FactorTable!$B$2:$Y$301, MATCH(ROUND(MIN(300,MAX(1,D507)),0), FactorTable!$A$2:$A$301,0), Skills!M10+1)</f>
        <v/>
      </c>
      <c r="F507">
        <f>IF(Skills!N10=TRUE,(Skills!L10/10)*(E507/1000),Skills!L10/10)+Skills!O10</f>
        <v/>
      </c>
      <c r="G507">
        <f>Skills!G10*IF(Skills!H10&gt;0,Skills!I10/Skills!H10,1)</f>
        <v/>
      </c>
      <c r="H507">
        <f>1-(1-Skills!J10/100)^Skills!K10</f>
        <v/>
      </c>
      <c r="I507" t="inlineStr">
        <is>
          <t>1</t>
        </is>
      </c>
      <c r="J507">
        <f>((Inputs!$B$6*(1+Inputs!$B$7/100))+(((Inputs!$B$13*(1+Inputs!$B$14/100))-(Inputs!$B$13*(1+Inputs!$B$14/100)))+0.25*(Inputs!$B$15-Inputs!$B$15))*(1+Inputs!$B$7/100))*(F507/100)</f>
        <v/>
      </c>
      <c r="K507">
        <f>J507*(1+(((Inputs!$B$13+IF(Inputs!$B$3&gt;=38,(10*INDEX(FactorTable!$B$2:$Y$301, MATCH(ROUND(MIN(300,MAX(1,Inputs!$B$3)),0), FactorTable!$A$2:$A$301,0), 23)/1000)/100*(Inputs!$B$8*(1+Inputs!$B$9/100)),0))*(1+Inputs!$B$14/100))*0.01+Inputs!$B$15*0.0025)/100)*(1+Inputs!$B$16/100)*(1+Inputs!$B$17/100)*(5000/(6000+Inputs!$B$43*(1-(Inputs!$B$20+0)/100)))*(1+(Inputs!$B$25+((C522=TRUE)*(F522-Calc!F25))+((C523=TRUE)*(F523-Calc!F26))+B532)/100)*(1+(IF(Skills!A10="DARK_IMPALE",Inputs!$B$18+0,Inputs!$B$19+((C520=TRUE)*(F520-Calc!F23))))/100)*((1+(((C510=TRUE)*F510*IF(AND(Inputs!$B$39&lt;&gt;"pvp",Inputs!$B$44&gt;0),(((R510-1)*(Skills!T13*(1+Inputs!$B$35/100))+MIN((Skills!T13*(1+Inputs!$B$35/100)),MAX(0,Inputs!$B$44-((R510-1)*Skills!D13))))/Inputs!$B$44),IF(Inputs!$B$39="pvp",MIN((Skills!T13*(1+Inputs!$B$35/100)),15)/15,(Skills!T13*(1+Inputs!$B$35/100))/Skills!D13)))+((C511=TRUE)*F511*IF(AND(Inputs!$B$39&lt;&gt;"pvp",Inputs!$B$44&gt;0),(((R511-1)*(Skills!T14*(1+Inputs!$B$35/100))+MIN((Skills!T14*(1+Inputs!$B$35/100)),MAX(0,Inputs!$B$44-((R511-1)*Skills!D14))))/Inputs!$B$44),IF(Inputs!$B$39="pvp",MIN((Skills!T14*(1+Inputs!$B$35/100)),15)/15,(Skills!T14*(1+Inputs!$B$35/100))/Skills!D14)))+((C512=TRUE)*F512*IF(AND(Inputs!$B$39&lt;&gt;"pvp",Inputs!$B$44&gt;0),(((R512-1)*(Skills!T15*(1+Inputs!$B$35/100))+MIN((Skills!T15*(1+Inputs!$B$35/100)),MAX(0,Inputs!$B$44-((R512-1)*Skills!D15))))/Inputs!$B$44),IF(Inputs!$B$39="pvp",MIN((Skills!T15*(1+Inputs!$B$35/100)),15)/15,(Skills!T15*(1+Inputs!$B$35/100))/Skills!D15)))+((C513=TRUE)*F513*IF(AND(Inputs!$B$39&lt;&gt;"pvp",Inputs!$B$44&gt;0),(((R513-1)*(Skills!T16*(1+Inputs!$B$35/100))+MIN((Skills!T16*(1+Inputs!$B$35/100)),MAX(0,Inputs!$B$44-((R513-1)*Skills!D16))))/Inputs!$B$44),IF(Inputs!$B$39="pvp",MIN((Skills!T16*(1+Inputs!$B$35/100)),15)/15,(Skills!T16*(1+Inputs!$B$35/100))/Skills!D16)))+0)/100)*I507)</f>
        <v/>
      </c>
      <c r="L507">
        <f>K507*(MIN(Inputs!$B$23+((C519=TRUE)*(F519-Calc!F22)),(Inputs!$B$24+1)+((C521=TRUE)*(F521-Calc!F24)))/100+((Inputs!$B$24+1)+((C521=TRUE)*(F521-Calc!F24)))/100)/2</f>
        <v/>
      </c>
      <c r="M507">
        <f>L507*(1+(Inputs!$B$11+0+B531)/100)</f>
        <v/>
      </c>
      <c r="N507">
        <f>L507*(1-MIN((Inputs!$B$10+0+B526),100)/100)+M507*(MIN((Inputs!$B$10+0+B526),100)/100)</f>
        <v/>
      </c>
      <c r="O507">
        <f>(1-Summary!$B$55)*T507+Summary!$B$55*V507</f>
        <v/>
      </c>
      <c r="P507">
        <f>IF(B536=0,0,O507/B536)</f>
        <v/>
      </c>
      <c r="Q507">
        <f>IFERROR(1/IF(Inputs!$B$39="pvp",15,MAX(0.1,Skills!D10-IF(Skills!E10=TRUE,Inputs!$B$33,0))),0)</f>
        <v/>
      </c>
      <c r="R507">
        <f>IF(AND(Inputs!$B$39&lt;&gt;"pvp",Inputs!$B$44&gt;0),IF(MAX(0,Inputs!$B$44-B533)&lt;=0,0,(INT(MAX(0,Inputs!$B$44-B533)/IF(Inputs!$B$39="pvp",15,MAX(0.1,Skills!D10-IF(Skills!E10=TRUE,Inputs!$B$33,0))))+1)),0)</f>
        <v/>
      </c>
      <c r="S507">
        <f>IFERROR(O507/N507,0)</f>
        <v/>
      </c>
      <c r="T507">
        <f>IF(C507,(H507*N507*IF(AND(Inputs!$B$39&lt;&gt;"pvp",Inputs!$B$44&gt;0),((Skills!G10*((R507-1)*IF(Skills!H10&gt;0,Skills!I10/Skills!H10,1)+IF(Skills!H10&gt;0,MIN(Skills!I10,MAX(0,MAX(0,Inputs!$B$44-B533)-((R507-1)*IF(Inputs!$B$39="pvp",15,MAX(0.1,Skills!D10-IF(Skills!E10=TRUE,Inputs!$B$33,0))))))/Skills!H10,1)))/Inputs!$B$44),G507*Q507))*IF(Inputs!$B$39="pvp",1,1+(Inputs!$B$21+0+Skills!P10+((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0)</f>
        <v/>
      </c>
      <c r="V507">
        <f>IF(C507,(H507*N507*IF(AND(Inputs!$B$39&lt;&gt;"pvp",Inputs!$B$44&gt;0),((Skills!G10*((R507-1)*IF(Skills!H10&gt;0,Skills!I10/Skills!H10,1)+IF(Skills!H10&gt;0,MIN(Skills!I10,MAX(0,MAX(0,Inputs!$B$44-B533)-((R507-1)*IF(Inputs!$B$39="pvp",15,MAX(0.1,Skills!D10-IF(Skills!E10=TRUE,Inputs!$B$33,0))))))/Skills!H10,1)))/Inputs!$B$44),G507*Q507))*IF(Inputs!$B$39="pvp",1,(1+(Inputs!$B$22+Skills!Q10+((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MIN(Skills!R10,Inputs!$B$38))),0)</f>
        <v/>
      </c>
    </row>
    <row r="508">
      <c r="A508">
        <f>Skills!A11</f>
        <v/>
      </c>
      <c r="B508">
        <f>Skills!B11</f>
        <v/>
      </c>
      <c r="C508">
        <f>Inputs!$B$3&gt;=100</f>
        <v/>
      </c>
      <c r="D508">
        <f>IF(Skills!C11=1,60+Inputs!$B$26+Inputs!$B$30,IF(Skills!C11=2,90+Inputs!$B$27+Inputs!$B$30,IF(Skills!C11=3,120+Inputs!$B$28+Inputs!$B$30,MAX(0,(Inputs!$B$3-100)*3)+Inputs!$B$29+Inputs!$B$30)))</f>
        <v/>
      </c>
      <c r="E508">
        <f>INDEX(FactorTable!$B$2:$Y$301, MATCH(ROUND(MIN(300,MAX(1,D508)),0), FactorTable!$A$2:$A$301,0), Skills!M11+1)</f>
        <v/>
      </c>
      <c r="F508">
        <f>IF(Skills!N11=TRUE,(Skills!L11/10)*(E508/1000),Skills!L11/10)+Skills!O11</f>
        <v/>
      </c>
      <c r="G508" t="inlineStr"/>
      <c r="H508" t="inlineStr"/>
      <c r="I508" t="inlineStr">
        <is>
          <t>1</t>
        </is>
      </c>
      <c r="J508" t="inlineStr"/>
      <c r="K508" t="inlineStr"/>
      <c r="L508" t="inlineStr"/>
      <c r="M508" t="inlineStr"/>
      <c r="N508" t="inlineStr"/>
      <c r="O508" t="inlineStr"/>
      <c r="P508" t="inlineStr"/>
      <c r="Q508" t="inlineStr"/>
      <c r="R508" t="inlineStr"/>
      <c r="S508" t="inlineStr"/>
    </row>
    <row r="509">
      <c r="A509">
        <f>Skills!A12</f>
        <v/>
      </c>
      <c r="B509">
        <f>Skills!B12</f>
        <v/>
      </c>
      <c r="C509">
        <f>Inputs!$B$3&gt;=63</f>
        <v/>
      </c>
      <c r="D509">
        <f>IF(Skills!C12=1,60+Inputs!$B$26+Inputs!$B$30,IF(Skills!C12=2,90+Inputs!$B$27+Inputs!$B$30,IF(Skills!C12=3,120+Inputs!$B$28+Inputs!$B$30,MAX(0,(Inputs!$B$3-100)*3)+Inputs!$B$29+Inputs!$B$30)))</f>
        <v/>
      </c>
      <c r="E509">
        <f>INDEX(FactorTable!$B$2:$Y$301, MATCH(ROUND(MIN(300,MAX(1,D509)),0), FactorTable!$A$2:$A$301,0), Skills!M12+1)</f>
        <v/>
      </c>
      <c r="F509">
        <f>IF(Skills!N12=TRUE,(Skills!L12/10)*(E509/1000),Skills!L12/10)+Skills!O12</f>
        <v/>
      </c>
      <c r="G509">
        <f>Skills!G12*IF(Skills!H12&gt;0,Skills!I12/Skills!H12,1)</f>
        <v/>
      </c>
      <c r="H509">
        <f>1-(1-Skills!J12/100)^Skills!K12</f>
        <v/>
      </c>
      <c r="I509" t="inlineStr">
        <is>
          <t>1</t>
        </is>
      </c>
      <c r="J509">
        <f>((Inputs!$B$6*(1+Inputs!$B$7/100))+(((Inputs!$B$13*(1+Inputs!$B$14/100))-(Inputs!$B$13*(1+Inputs!$B$14/100)))+0.25*(Inputs!$B$15-Inputs!$B$15))*(1+Inputs!$B$7/100))*(F509/100)</f>
        <v/>
      </c>
      <c r="K509">
        <f>J509*(1+(((Inputs!$B$13+IF(Inputs!$B$3&gt;=38,(10*INDEX(FactorTable!$B$2:$Y$301, MATCH(ROUND(MIN(300,MAX(1,Inputs!$B$3)),0), FactorTable!$A$2:$A$301,0), 23)/1000)/100*(Inputs!$B$8*(1+Inputs!$B$9/100)),0))*(1+Inputs!$B$14/100))*0.01+Inputs!$B$15*0.0025)/100)*(1+Inputs!$B$16/100)*(1+Inputs!$B$17/100)*(5000/(6000+Inputs!$B$43*(1-(Inputs!$B$20+0)/100)))*(1+(Inputs!$B$25+((C522=TRUE)*(F522-Calc!F25))+((C523=TRUE)*(F523-Calc!F26))+B532)/100)*(1+0.75*IF(C508=TRUE,F508,0)/100)*(1+(IF(Skills!A12="DARK_IMPALE",Inputs!$B$18+0,Inputs!$B$19+((C520=TRUE)*(F520-Calc!F23))))/100)*((1+(((C510=TRUE)*F510*IF(AND(Inputs!$B$39&lt;&gt;"pvp",Inputs!$B$44&gt;0),(((R510-1)*(Skills!T13*(1+Inputs!$B$35/100))+MIN((Skills!T13*(1+Inputs!$B$35/100)),MAX(0,Inputs!$B$44-((R510-1)*Skills!D13))))/Inputs!$B$44),IF(Inputs!$B$39="pvp",MIN((Skills!T13*(1+Inputs!$B$35/100)),15)/15,(Skills!T13*(1+Inputs!$B$35/100))/Skills!D13)))+((C511=TRUE)*F511*IF(AND(Inputs!$B$39&lt;&gt;"pvp",Inputs!$B$44&gt;0),(((R511-1)*(Skills!T14*(1+Inputs!$B$35/100))+MIN((Skills!T14*(1+Inputs!$B$35/100)),MAX(0,Inputs!$B$44-((R511-1)*Skills!D14))))/Inputs!$B$44),IF(Inputs!$B$39="pvp",MIN((Skills!T14*(1+Inputs!$B$35/100)),15)/15,(Skills!T14*(1+Inputs!$B$35/100))/Skills!D14)))+((C512=TRUE)*F512*IF(AND(Inputs!$B$39&lt;&gt;"pvp",Inputs!$B$44&gt;0),(((R512-1)*(Skills!T15*(1+Inputs!$B$35/100))+MIN((Skills!T15*(1+Inputs!$B$35/100)),MAX(0,Inputs!$B$44-((R512-1)*Skills!D15))))/Inputs!$B$44),IF(Inputs!$B$39="pvp",MIN((Skills!T15*(1+Inputs!$B$35/100)),15)/15,(Skills!T15*(1+Inputs!$B$35/100))/Skills!D15)))+((C513=TRUE)*F513*IF(AND(Inputs!$B$39&lt;&gt;"pvp",Inputs!$B$44&gt;0),(((R513-1)*(Skills!T16*(1+Inputs!$B$35/100))+MIN((Skills!T16*(1+Inputs!$B$35/100)),MAX(0,Inputs!$B$44-((R513-1)*Skills!D16))))/Inputs!$B$44),IF(Inputs!$B$39="pvp",MIN((Skills!T16*(1+Inputs!$B$35/100)),15)/15,(Skills!T16*(1+Inputs!$B$35/100))/Skills!D16)))+0)/100)*I509)</f>
        <v/>
      </c>
      <c r="L509">
        <f>K509*(MIN(Inputs!$B$23+((C519=TRUE)*(F519-Calc!F22)),(Inputs!$B$24+1)+((C521=TRUE)*(F521-Calc!F24)))/100+((Inputs!$B$24+1)+((C521=TRUE)*(F521-Calc!F24)))/100)/2</f>
        <v/>
      </c>
      <c r="M509">
        <f>L509*(1+(Inputs!$B$11+0+B531)/100)</f>
        <v/>
      </c>
      <c r="N509">
        <f>L509*(1-MIN((Inputs!$B$10+0+B526),100)/100)+M509*(MIN((Inputs!$B$10+0+B526),100)/100)</f>
        <v/>
      </c>
      <c r="O509">
        <f>(1-Summary!$B$55)*T509+Summary!$B$55*V509</f>
        <v/>
      </c>
      <c r="P509">
        <f>IF(B536=0,0,O509/B536)</f>
        <v/>
      </c>
      <c r="Q509">
        <f>IFERROR(1/IF(Inputs!$B$39="pvp",15,MAX(0.1,Skills!D12-IF(Skills!E12=TRUE,Inputs!$B$33,0))),0)</f>
        <v/>
      </c>
      <c r="R509">
        <f>IF(AND(Inputs!$B$39&lt;&gt;"pvp",Inputs!$B$44&gt;0),IF(MAX(0,Inputs!$B$44-B533)&lt;=0,0,(INT(MAX(0,Inputs!$B$44-B533)/IF(Inputs!$B$39="pvp",15,MAX(0.1,Skills!D12-IF(Skills!E12=TRUE,Inputs!$B$33,0))))+1)),0)</f>
        <v/>
      </c>
      <c r="S509">
        <f>IFERROR(O509/N509,0)</f>
        <v/>
      </c>
      <c r="T509">
        <f>IF(C509,(H509*N509*IF(AND(Inputs!$B$39&lt;&gt;"pvp",Inputs!$B$44&gt;0),((Skills!G12*((R509-1)*IF(Skills!H12&gt;0,Skills!I12/Skills!H12,1)+IF(Skills!H12&gt;0,MIN(Skills!I12,MAX(0,MAX(0,Inputs!$B$44-B533)-((R509-1)*IF(Inputs!$B$39="pvp",15,MAX(0.1,Skills!D12-IF(Skills!E12=TRUE,Inputs!$B$33,0))))))/Skills!H12,1)))/Inputs!$B$44),G509*Q509))*IF(Inputs!$B$39="pvp",1,1+(Inputs!$B$21+0+Skills!P12+((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0)</f>
        <v/>
      </c>
      <c r="V509">
        <f>IF(C509,(H509*N509*IF(AND(Inputs!$B$39&lt;&gt;"pvp",Inputs!$B$44&gt;0),((Skills!G12*((R509-1)*IF(Skills!H12&gt;0,Skills!I12/Skills!H12,1)+IF(Skills!H12&gt;0,MIN(Skills!I12,MAX(0,MAX(0,Inputs!$B$44-B533)-((R509-1)*IF(Inputs!$B$39="pvp",15,MAX(0.1,Skills!D12-IF(Skills!E12=TRUE,Inputs!$B$33,0))))))/Skills!H12,1)))/Inputs!$B$44),G509*Q509))*IF(Inputs!$B$39="pvp",1,(1+(Inputs!$B$22+Skills!Q12+((C514=TRUE)*F514*IF(AND(Inputs!$B$39&lt;&gt;"pvp",Inputs!$B$44&gt;0),(((R514-1)*(Skills!T17*(1+Inputs!$B$35/100))+MIN((Skills!T17*(1+Inputs!$B$35/100)),MAX(0,Inputs!$B$44-((R514-1)*Skills!D17))))/Inputs!$B$44),IF(Inputs!$B$39="pvp",MIN((Skills!T17*(1+Inputs!$B$35/100)),15)/15,(Skills!T17*(1+Inputs!$B$35/100))/Skills!D17)))+((C511=TRUE)*IF(Inputs!$B$39="pvp",20,(1-Summary!$B$55)*(20)+Summary!$B$55*(0))*IF(AND(Inputs!$B$39&lt;&gt;"pvp",Inputs!$B$44&gt;0),(((R511-1)*(Skills!T14*(1+Inputs!$B$35/100))+MIN((Skills!T14*(1+Inputs!$B$35/100)),MAX(0,Inputs!$B$44-((R511-1)*Skills!D14))))/Inputs!$B$44),IF(Inputs!$B$39="pvp",MIN((Skills!T14*(1+Inputs!$B$35/100)),15)/15,(Skills!T14*(1+Inputs!$B$35/100))/Skills!D14))))/100)*(MIN(Skills!R12,Inputs!$B$38))),0)</f>
        <v/>
      </c>
    </row>
    <row r="510">
      <c r="A510">
        <f>Skills!A13</f>
        <v/>
      </c>
      <c r="B510">
        <f>Skills!B13</f>
        <v/>
      </c>
      <c r="C510">
        <f>Inputs!$B$3&gt;=69</f>
        <v/>
      </c>
      <c r="D510">
        <f>IF(Skills!C13=1,60+Inputs!$B$26+Inputs!$B$30,IF(Skills!C13=2,90+Inputs!$B$27+Inputs!$B$30,IF(Skills!C13=3,120+Inputs!$B$28+Inputs!$B$30,MAX(0,(Inputs!$B$3-100)*3)+Inputs!$B$29+Inputs!$B$30)))</f>
        <v/>
      </c>
      <c r="E510">
        <f>INDEX(FactorTable!$B$2:$Y$301, MATCH(ROUND(MIN(300,MAX(1,D510)),0), FactorTable!$A$2:$A$301,0), Skills!M13+1)</f>
        <v/>
      </c>
      <c r="F510">
        <f>IF(Skills!N13=TRUE,(Skills!L13/10)*(E510/1000),Skills!L13/10)+Skills!O13</f>
        <v/>
      </c>
      <c r="G510">
        <f>Skills!G13*IF(Skills!H13&gt;0,Skills!I13/Skills!H13,1)</f>
        <v/>
      </c>
      <c r="H510">
        <f>1-(1-Skills!J13/100)^Skills!K13</f>
        <v/>
      </c>
      <c r="I510" t="inlineStr">
        <is>
          <t>1</t>
        </is>
      </c>
      <c r="J510" t="inlineStr"/>
      <c r="K510" t="inlineStr"/>
      <c r="L510" t="inlineStr"/>
      <c r="M510" t="inlineStr"/>
      <c r="N510" t="inlineStr"/>
      <c r="O510">
        <f>(1-Summary!$B$55)*T510+Summary!$B$55*V510</f>
        <v/>
      </c>
      <c r="P510">
        <f>IF(B536=0,0,O510/B536)</f>
        <v/>
      </c>
      <c r="Q510">
        <f>IFERROR(1/IF(Inputs!$B$39="pvp",15,MAX(0.1,Skills!D13-IF(Skills!E13=TRUE,Inputs!$B$33,0))),0)</f>
        <v/>
      </c>
      <c r="R510">
        <f>IF(AND(Inputs!$B$39&lt;&gt;"pvp",Inputs!$B$44&gt;0),IF(Inputs!$B$44&lt;=0,0,(INT(Inputs!$B$44/IF(Inputs!$B$39="pvp",15,MAX(0.1,Skills!D13-IF(Skills!E13=TRUE,Inputs!$B$33,0))))+1)),0)</f>
        <v/>
      </c>
      <c r="S510">
        <f>IFERROR(O510/N510,0)</f>
        <v/>
      </c>
      <c r="T510" t="n">
        <v>0</v>
      </c>
      <c r="V510" t="n">
        <v>0</v>
      </c>
    </row>
    <row r="511">
      <c r="A511">
        <f>Skills!A14</f>
        <v/>
      </c>
      <c r="B511">
        <f>Skills!B14</f>
        <v/>
      </c>
      <c r="C511">
        <f>Inputs!$B$3&gt;=115</f>
        <v/>
      </c>
      <c r="D511">
        <f>IF(Skills!C14=1,60+Inputs!$B$26+Inputs!$B$30,IF(Skills!C14=2,90+Inputs!$B$27+Inputs!$B$30,IF(Skills!C14=3,120+Inputs!$B$28+Inputs!$B$30,MAX(0,(Inputs!$B$3-100)*3)+Inputs!$B$29+Inputs!$B$30)))</f>
        <v/>
      </c>
      <c r="E511">
        <f>INDEX(FactorTable!$B$2:$Y$301, MATCH(ROUND(MIN(300,MAX(1,D511)),0), FactorTable!$A$2:$A$301,0), Skills!M14+1)</f>
        <v/>
      </c>
      <c r="F511">
        <f>IF(Skills!N14=TRUE,(Skills!L14/10)*(E511/1000),Skills!L14/10)+Skills!O14</f>
        <v/>
      </c>
      <c r="G511">
        <f>Skills!G14*IF(Skills!H14&gt;0,Skills!I14/Skills!H14,1)</f>
        <v/>
      </c>
      <c r="H511">
        <f>1-(1-Skills!J14/100)^Skills!K14</f>
        <v/>
      </c>
      <c r="I511" t="inlineStr">
        <is>
          <t>1</t>
        </is>
      </c>
      <c r="J511" t="inlineStr"/>
      <c r="K511" t="inlineStr"/>
      <c r="L511" t="inlineStr"/>
      <c r="M511" t="inlineStr"/>
      <c r="N511" t="inlineStr"/>
      <c r="O511">
        <f>(1-Summary!$B$55)*T511+Summary!$B$55*V511</f>
        <v/>
      </c>
      <c r="P511">
        <f>IF(B536=0,0,O511/B536)</f>
        <v/>
      </c>
      <c r="Q511">
        <f>IFERROR(1/IF(Inputs!$B$39="pvp",15,MAX(0.1,Skills!D14-IF(Skills!E14=TRUE,Inputs!$B$33,0))),0)</f>
        <v/>
      </c>
      <c r="R511">
        <f>IF(AND(Inputs!$B$39&lt;&gt;"pvp",Inputs!$B$44&gt;0),IF(Inputs!$B$44&lt;=0,0,(INT(Inputs!$B$44/IF(Inputs!$B$39="pvp",15,MAX(0.1,Skills!D14-IF(Skills!E14=TRUE,Inputs!$B$33,0))))+1)),0)</f>
        <v/>
      </c>
      <c r="S511">
        <f>IFERROR(O511/N511,0)</f>
        <v/>
      </c>
      <c r="T511" t="n">
        <v>0</v>
      </c>
      <c r="V511" t="n">
        <v>0</v>
      </c>
    </row>
    <row r="512">
      <c r="A512">
        <f>Skills!A15</f>
        <v/>
      </c>
      <c r="B512">
        <f>Skills!B15</f>
        <v/>
      </c>
      <c r="C512">
        <f>Inputs!$B$3&gt;=66</f>
        <v/>
      </c>
      <c r="D512">
        <f>IF(Skills!C15=1,60+Inputs!$B$26+Inputs!$B$30,IF(Skills!C15=2,90+Inputs!$B$27+Inputs!$B$30,IF(Skills!C15=3,120+Inputs!$B$28+Inputs!$B$30,MAX(0,(Inputs!$B$3-100)*3)+Inputs!$B$29+Inputs!$B$30)))</f>
        <v/>
      </c>
      <c r="E512">
        <f>INDEX(FactorTable!$B$2:$Y$301, MATCH(ROUND(MIN(300,MAX(1,D512)),0), FactorTable!$A$2:$A$301,0), Skills!M15+1)</f>
        <v/>
      </c>
      <c r="F512">
        <f>IF(Skills!N15=TRUE,(Skills!L15/10)*(E512/1000),Skills!L15/10)+Skills!O15</f>
        <v/>
      </c>
      <c r="G512">
        <f>Skills!G15*IF(Skills!H15&gt;0,Skills!I15/Skills!H15,1)</f>
        <v/>
      </c>
      <c r="H512">
        <f>1-(1-Skills!J15/100)^Skills!K15</f>
        <v/>
      </c>
      <c r="I512" t="inlineStr">
        <is>
          <t>1</t>
        </is>
      </c>
      <c r="J512" t="inlineStr"/>
      <c r="K512" t="inlineStr"/>
      <c r="L512" t="inlineStr"/>
      <c r="M512" t="inlineStr"/>
      <c r="N512" t="inlineStr"/>
      <c r="O512">
        <f>(1-Summary!$B$55)*T512+Summary!$B$55*V512</f>
        <v/>
      </c>
      <c r="P512">
        <f>IF(B536=0,0,O512/B536)</f>
        <v/>
      </c>
      <c r="Q512">
        <f>IFERROR(1/IF(Inputs!$B$39="pvp",15,MAX(0.1,Skills!D15-IF(Skills!E15=TRUE,Inputs!$B$33,0))),0)</f>
        <v/>
      </c>
      <c r="R512">
        <f>IF(AND(Inputs!$B$39&lt;&gt;"pvp",Inputs!$B$44&gt;0),IF(Inputs!$B$44&lt;=0,0,(INT(Inputs!$B$44/IF(Inputs!$B$39="pvp",15,MAX(0.1,Skills!D15-IF(Skills!E15=TRUE,Inputs!$B$33,0))))+1)),0)</f>
        <v/>
      </c>
      <c r="S512">
        <f>IFERROR(O512/N512,0)</f>
        <v/>
      </c>
      <c r="T512" t="n">
        <v>0</v>
      </c>
      <c r="V512" t="n">
        <v>0</v>
      </c>
    </row>
    <row r="513">
      <c r="A513">
        <f>Skills!A16</f>
        <v/>
      </c>
      <c r="B513">
        <f>Skills!B16</f>
        <v/>
      </c>
      <c r="C513">
        <f>Inputs!$B$3&gt;=45</f>
        <v/>
      </c>
      <c r="D513">
        <f>IF(Skills!C16=1,60+Inputs!$B$26+Inputs!$B$30,IF(Skills!C16=2,90+Inputs!$B$27+Inputs!$B$30,IF(Skills!C16=3,120+Inputs!$B$28+Inputs!$B$30,MAX(0,(Inputs!$B$3-100)*3)+Inputs!$B$29+Inputs!$B$30)))</f>
        <v/>
      </c>
      <c r="E513">
        <f>INDEX(FactorTable!$B$2:$Y$301, MATCH(ROUND(MIN(300,MAX(1,D513)),0), FactorTable!$A$2:$A$301,0), Skills!M16+1)</f>
        <v/>
      </c>
      <c r="F513">
        <f>IF(Skills!N16=TRUE,(Skills!L16/10)*(E513/1000),Skills!L16/10)+Skills!O16</f>
        <v/>
      </c>
      <c r="G513">
        <f>Skills!G16*IF(Skills!H16&gt;0,Skills!I16/Skills!H16,1)</f>
        <v/>
      </c>
      <c r="H513">
        <f>1-(1-Skills!J16/100)^Skills!K16</f>
        <v/>
      </c>
      <c r="I513" t="inlineStr">
        <is>
          <t>1</t>
        </is>
      </c>
      <c r="J513" t="inlineStr"/>
      <c r="K513" t="inlineStr"/>
      <c r="L513" t="inlineStr"/>
      <c r="M513" t="inlineStr"/>
      <c r="N513" t="inlineStr"/>
      <c r="O513">
        <f>(1-Summary!$B$55)*T513+Summary!$B$55*V513</f>
        <v/>
      </c>
      <c r="P513">
        <f>IF(B536=0,0,O513/B536)</f>
        <v/>
      </c>
      <c r="Q513">
        <f>IFERROR(1/IF(Inputs!$B$39="pvp",15,MAX(0.1,Skills!D16-IF(Skills!E16=TRUE,Inputs!$B$33,0))),0)</f>
        <v/>
      </c>
      <c r="R513">
        <f>IF(AND(Inputs!$B$39&lt;&gt;"pvp",Inputs!$B$44&gt;0),IF(Inputs!$B$44&lt;=0,0,(INT(Inputs!$B$44/IF(Inputs!$B$39="pvp",15,MAX(0.1,Skills!D16-IF(Skills!E16=TRUE,Inputs!$B$33,0))))+1)),0)</f>
        <v/>
      </c>
      <c r="S513">
        <f>IFERROR(O513/N513,0)</f>
        <v/>
      </c>
      <c r="T513" t="n">
        <v>0</v>
      </c>
      <c r="V513" t="n">
        <v>0</v>
      </c>
    </row>
    <row r="514">
      <c r="A514">
        <f>Skills!A17</f>
        <v/>
      </c>
      <c r="B514">
        <f>Skills!B17</f>
        <v/>
      </c>
      <c r="C514">
        <f>Inputs!$B$3&gt;=35</f>
        <v/>
      </c>
      <c r="D514">
        <f>IF(Skills!C17=1,60+Inputs!$B$26+Inputs!$B$30,IF(Skills!C17=2,90+Inputs!$B$27+Inputs!$B$30,IF(Skills!C17=3,120+Inputs!$B$28+Inputs!$B$30,MAX(0,(Inputs!$B$3-100)*3)+Inputs!$B$29+Inputs!$B$30)))</f>
        <v/>
      </c>
      <c r="E514">
        <f>INDEX(FactorTable!$B$2:$Y$301, MATCH(ROUND(MIN(300,MAX(1,D514)),0), FactorTable!$A$2:$A$301,0), Skills!M17+1)</f>
        <v/>
      </c>
      <c r="F514">
        <f>IF(Skills!N17=TRUE,(Skills!L17/10)*(E514/1000),Skills!L17/10)+Skills!O17</f>
        <v/>
      </c>
      <c r="G514">
        <f>Skills!G17*IF(Skills!H17&gt;0,Skills!I17/Skills!H17,1)</f>
        <v/>
      </c>
      <c r="H514">
        <f>1-(1-Skills!J17/100)^Skills!K17</f>
        <v/>
      </c>
      <c r="I514" t="inlineStr">
        <is>
          <t>1</t>
        </is>
      </c>
      <c r="J514" t="inlineStr"/>
      <c r="K514" t="inlineStr"/>
      <c r="L514" t="inlineStr"/>
      <c r="M514" t="inlineStr"/>
      <c r="N514" t="inlineStr"/>
      <c r="O514">
        <f>(1-Summary!$B$55)*T514+Summary!$B$55*V514</f>
        <v/>
      </c>
      <c r="P514">
        <f>IF(B536=0,0,O514/B536)</f>
        <v/>
      </c>
      <c r="Q514">
        <f>IFERROR(1/IF(Inputs!$B$39="pvp",15,MAX(0.1,Skills!D17-IF(Skills!E17=TRUE,Inputs!$B$33,0))),0)</f>
        <v/>
      </c>
      <c r="R514">
        <f>IF(AND(Inputs!$B$39&lt;&gt;"pvp",Inputs!$B$44&gt;0),IF(Inputs!$B$44&lt;=0,0,(INT(Inputs!$B$44/IF(Inputs!$B$39="pvp",15,MAX(0.1,Skills!D17-IF(Skills!E17=TRUE,Inputs!$B$33,0))))+1)),0)</f>
        <v/>
      </c>
      <c r="S514">
        <f>IFERROR(O514/N514,0)</f>
        <v/>
      </c>
      <c r="T514" t="n">
        <v>0</v>
      </c>
      <c r="V514" t="n">
        <v>0</v>
      </c>
    </row>
    <row r="515">
      <c r="A515">
        <f>Skills!A18</f>
        <v/>
      </c>
      <c r="B515">
        <f>Skills!B18</f>
        <v/>
      </c>
      <c r="C515">
        <f>Inputs!$B$3&gt;=72</f>
        <v/>
      </c>
      <c r="D515">
        <f>IF(Skills!C18=1,60+Inputs!$B$26+Inputs!$B$30,IF(Skills!C18=2,90+Inputs!$B$27+Inputs!$B$30,IF(Skills!C18=3,120+Inputs!$B$28+Inputs!$B$30,MAX(0,(Inputs!$B$3-100)*3)+Inputs!$B$29+Inputs!$B$30)))</f>
        <v/>
      </c>
      <c r="E515">
        <f>INDEX(FactorTable!$B$2:$Y$301, MATCH(ROUND(MIN(300,MAX(1,D515)),0), FactorTable!$A$2:$A$301,0), Skills!M18+1)</f>
        <v/>
      </c>
      <c r="F515">
        <f>IF(Skills!N18=TRUE,(Skills!L18/10)*(E515/1000),Skills!L18/10)+Skills!O18</f>
        <v/>
      </c>
      <c r="G515">
        <f>Skills!G18*IF(Skills!H18&gt;0,Skills!I18/Skills!H18,1)</f>
        <v/>
      </c>
      <c r="H515">
        <f>1-(1-Skills!J18/100)^Skills!K18</f>
        <v/>
      </c>
      <c r="I515" t="inlineStr">
        <is>
          <t>1</t>
        </is>
      </c>
      <c r="J515" t="inlineStr"/>
      <c r="K515" t="inlineStr"/>
      <c r="L515" t="inlineStr"/>
      <c r="M515" t="inlineStr"/>
      <c r="N515" t="inlineStr"/>
      <c r="O515">
        <f>(1-Summary!$B$55)*T515+Summary!$B$55*V515</f>
        <v/>
      </c>
      <c r="P515">
        <f>IF(B536=0,0,O515/B536)</f>
        <v/>
      </c>
      <c r="Q515">
        <f>IFERROR(1/IF(Inputs!$B$39="pvp",15,MAX(0.1,Skills!D18-IF(Skills!E18=TRUE,Inputs!$B$33,0))),0)</f>
        <v/>
      </c>
      <c r="R515">
        <f>IF(AND(Inputs!$B$39&lt;&gt;"pvp",Inputs!$B$44&gt;0),IF(Inputs!$B$44&lt;=0,0,(INT(Inputs!$B$44/IF(Inputs!$B$39="pvp",15,MAX(0.1,Skills!D18-IF(Skills!E18=TRUE,Inputs!$B$33,0))))+1)),0)</f>
        <v/>
      </c>
      <c r="S515">
        <f>IFERROR(O515/N515,0)</f>
        <v/>
      </c>
      <c r="T515" t="n">
        <v>0</v>
      </c>
      <c r="V515" t="n">
        <v>0</v>
      </c>
    </row>
    <row r="516">
      <c r="A516">
        <f>Skills!A19</f>
        <v/>
      </c>
      <c r="B516">
        <f>Skills!B19</f>
        <v/>
      </c>
      <c r="C516">
        <f>Inputs!$B$3&gt;=72</f>
        <v/>
      </c>
      <c r="D516">
        <f>IF(Skills!C19=1,60+Inputs!$B$26+Inputs!$B$30,IF(Skills!C19=2,90+Inputs!$B$27+Inputs!$B$30,IF(Skills!C19=3,120+Inputs!$B$28+Inputs!$B$30,MAX(0,(Inputs!$B$3-100)*3)+Inputs!$B$29+Inputs!$B$30)))</f>
        <v/>
      </c>
      <c r="E516">
        <f>INDEX(FactorTable!$B$2:$Y$301, MATCH(ROUND(MIN(300,MAX(1,D516)),0), FactorTable!$A$2:$A$301,0), Skills!M19+1)</f>
        <v/>
      </c>
      <c r="F516">
        <f>IF(Skills!N19=TRUE,(Skills!L19/10)*(E516/1000),Skills!L19/10)+Skills!O19</f>
        <v/>
      </c>
      <c r="G516">
        <f>Skills!G19*IF(Skills!H19&gt;0,Skills!I19/Skills!H19,1)</f>
        <v/>
      </c>
      <c r="H516">
        <f>1-(1-Skills!J19/100)^Skills!K19</f>
        <v/>
      </c>
      <c r="I516" t="inlineStr">
        <is>
          <t>1</t>
        </is>
      </c>
      <c r="J516" t="inlineStr"/>
      <c r="K516" t="inlineStr"/>
      <c r="L516" t="inlineStr"/>
      <c r="M516" t="inlineStr"/>
      <c r="N516" t="inlineStr"/>
      <c r="O516">
        <f>(1-Summary!$B$55)*T516+Summary!$B$55*V516</f>
        <v/>
      </c>
      <c r="P516">
        <f>IF(B536=0,0,O516/B536)</f>
        <v/>
      </c>
      <c r="Q516">
        <f>IFERROR(1/IF(Inputs!$B$39="pvp",15,MAX(0.1,Skills!D19-IF(Skills!E19=TRUE,Inputs!$B$33,0))),0)</f>
        <v/>
      </c>
      <c r="R516">
        <f>IF(AND(Inputs!$B$39&lt;&gt;"pvp",Inputs!$B$44&gt;0),IF(Inputs!$B$44&lt;=0,0,(INT(Inputs!$B$44/IF(Inputs!$B$39="pvp",15,MAX(0.1,Skills!D19-IF(Skills!E19=TRUE,Inputs!$B$33,0))))+1)),0)</f>
        <v/>
      </c>
      <c r="S516">
        <f>IFERROR(O516/N516,0)</f>
        <v/>
      </c>
      <c r="T516" t="n">
        <v>0</v>
      </c>
      <c r="V516" t="n">
        <v>0</v>
      </c>
    </row>
    <row r="517">
      <c r="A517">
        <f>Skills!A20</f>
        <v/>
      </c>
      <c r="B517">
        <f>Skills!B20</f>
        <v/>
      </c>
      <c r="C517">
        <f>TRUE</f>
        <v/>
      </c>
      <c r="D517">
        <f>IF(Skills!C20=1,60+Inputs!$B$26+Inputs!$B$30,IF(Skills!C20=2,90+Inputs!$B$27+Inputs!$B$30,IF(Skills!C20=3,120+Inputs!$B$28+Inputs!$B$30,MAX(0,(Inputs!$B$3-100)*3)+Inputs!$B$29+Inputs!$B$30)))</f>
        <v/>
      </c>
      <c r="E517">
        <f>INDEX(FactorTable!$B$2:$Y$301, MATCH(ROUND(MIN(300,MAX(1,D517)),0), FactorTable!$A$2:$A$301,0), Skills!M20+1)</f>
        <v/>
      </c>
      <c r="F517">
        <f>IF(Skills!N20=TRUE,(Skills!L20/10)*(E517/1000),Skills!L20/10)+Skills!O20</f>
        <v/>
      </c>
      <c r="G517">
        <f>Skills!G20*IF(Skills!H20&gt;0,Skills!I20/Skills!H20,1)</f>
        <v/>
      </c>
      <c r="H517">
        <f>1-(1-Skills!J20/100)^Skills!K20</f>
        <v/>
      </c>
      <c r="I517" t="inlineStr">
        <is>
          <t>1</t>
        </is>
      </c>
      <c r="J517" t="inlineStr"/>
      <c r="K517" t="inlineStr"/>
      <c r="L517" t="inlineStr"/>
      <c r="M517" t="inlineStr"/>
      <c r="N517" t="inlineStr"/>
      <c r="O517">
        <f>(1-Summary!$B$55)*T517+Summary!$B$55*V517</f>
        <v/>
      </c>
      <c r="P517">
        <f>IF(B536=0,0,O517/B536)</f>
        <v/>
      </c>
      <c r="Q517">
        <f>IFERROR(1/IF(Inputs!$B$39="pvp",15,MAX(0.1,Skills!D20-IF(Skills!E20=TRUE,Inputs!$B$33,0))),0)</f>
        <v/>
      </c>
      <c r="R517">
        <f>IF(AND(Inputs!$B$39&lt;&gt;"pvp",Inputs!$B$44&gt;0),IF(Inputs!$B$44&lt;=0,0,(INT(Inputs!$B$44/IF(Inputs!$B$39="pvp",15,MAX(0.1,Skills!D20-IF(Skills!E20=TRUE,Inputs!$B$33,0))))+1)),0)</f>
        <v/>
      </c>
      <c r="S517">
        <f>IFERROR(O517/N517,0)</f>
        <v/>
      </c>
      <c r="T517" t="n">
        <v>0</v>
      </c>
      <c r="V517" t="n">
        <v>0</v>
      </c>
    </row>
    <row r="518">
      <c r="A518">
        <f>Skills!A21</f>
        <v/>
      </c>
      <c r="B518">
        <f>Skills!B21</f>
        <v/>
      </c>
      <c r="C518">
        <f>Inputs!$B$3&gt;=33</f>
        <v/>
      </c>
      <c r="D518">
        <f>IF(Skills!C21=1,60+Inputs!$B$26+Inputs!$B$30,IF(Skills!C21=2,90+Inputs!$B$27+Inputs!$B$30,IF(Skills!C21=3,120+Inputs!$B$28+Inputs!$B$30,MAX(0,(Inputs!$B$3-100)*3)+Inputs!$B$29+Inputs!$B$30)))</f>
        <v/>
      </c>
      <c r="E518">
        <f>INDEX(FactorTable!$B$2:$Y$301, MATCH(ROUND(MIN(300,MAX(1,D518)),0), FactorTable!$A$2:$A$301,0), Skills!M21+1)</f>
        <v/>
      </c>
      <c r="F518">
        <f>IF(Skills!N21=TRUE,(Skills!L21/10)*(E518/1000),Skills!L21/10)+Skills!O21</f>
        <v/>
      </c>
      <c r="G518">
        <f>Skills!G21*IF(Skills!H21&gt;0,Skills!I21/Skills!H21,1)</f>
        <v/>
      </c>
      <c r="H518">
        <f>1-(1-Skills!J21/100)^Skills!K21</f>
        <v/>
      </c>
      <c r="I518" t="inlineStr">
        <is>
          <t>1</t>
        </is>
      </c>
      <c r="J518" t="inlineStr"/>
      <c r="K518" t="inlineStr"/>
      <c r="L518" t="inlineStr"/>
      <c r="M518" t="inlineStr"/>
      <c r="N518" t="inlineStr"/>
      <c r="O518">
        <f>(1-Summary!$B$55)*T518+Summary!$B$55*V518</f>
        <v/>
      </c>
      <c r="P518">
        <f>IF(B536=0,0,O518/B536)</f>
        <v/>
      </c>
      <c r="Q518" t="n">
        <v>0</v>
      </c>
      <c r="R518" t="n">
        <v>0</v>
      </c>
      <c r="S518">
        <f>IFERROR(O518/N518,0)</f>
        <v/>
      </c>
      <c r="T518" t="n">
        <v>0</v>
      </c>
      <c r="V518" t="n">
        <v>0</v>
      </c>
    </row>
    <row r="519">
      <c r="A519">
        <f>Skills!A22</f>
        <v/>
      </c>
      <c r="B519">
        <f>Skills!B22</f>
        <v/>
      </c>
      <c r="C519">
        <f>Inputs!$B$3&gt;=43</f>
        <v/>
      </c>
      <c r="D519">
        <f>IF(Skills!C22=1,60+Inputs!$B$26+Inputs!$B$30,IF(Skills!C22=2,90+Inputs!$B$27+Inputs!$B$30,IF(Skills!C22=3,120+Inputs!$B$28+Inputs!$B$30,MAX(0,(Inputs!$B$3-100)*3)+Inputs!$B$29+Inputs!$B$30)))</f>
        <v/>
      </c>
      <c r="E519">
        <f>INDEX(FactorTable!$B$2:$Y$301, MATCH(ROUND(MIN(300,MAX(1,D519)),0), FactorTable!$A$2:$A$301,0), Skills!M22+1)</f>
        <v/>
      </c>
      <c r="F519">
        <f>IF(Skills!N22=TRUE,(Skills!L22/10)*(E519/1000),Skills!L22/10)+Skills!O22</f>
        <v/>
      </c>
      <c r="G519">
        <f>Skills!G22*IF(Skills!H22&gt;0,Skills!I22/Skills!H22,1)</f>
        <v/>
      </c>
      <c r="H519">
        <f>1-(1-Skills!J22/100)^Skills!K22</f>
        <v/>
      </c>
      <c r="I519" t="inlineStr">
        <is>
          <t>1</t>
        </is>
      </c>
      <c r="J519" t="inlineStr"/>
      <c r="K519" t="inlineStr"/>
      <c r="L519" t="inlineStr"/>
      <c r="M519" t="inlineStr"/>
      <c r="N519" t="inlineStr"/>
      <c r="O519">
        <f>(1-Summary!$B$55)*T519+Summary!$B$55*V519</f>
        <v/>
      </c>
      <c r="P519">
        <f>IF(B536=0,0,O519/B536)</f>
        <v/>
      </c>
      <c r="Q519" t="n">
        <v>0</v>
      </c>
      <c r="R519" t="n">
        <v>0</v>
      </c>
      <c r="S519">
        <f>IFERROR(O519/N519,0)</f>
        <v/>
      </c>
      <c r="T519" t="n">
        <v>0</v>
      </c>
      <c r="V519" t="n">
        <v>0</v>
      </c>
    </row>
    <row r="520">
      <c r="A520">
        <f>Skills!A23</f>
        <v/>
      </c>
      <c r="B520">
        <f>Skills!B23</f>
        <v/>
      </c>
      <c r="C520">
        <f>Inputs!$B$3&gt;=120</f>
        <v/>
      </c>
      <c r="D520">
        <f>IF(Skills!C23=1,60+Inputs!$B$26+Inputs!$B$30,IF(Skills!C23=2,90+Inputs!$B$27+Inputs!$B$30,IF(Skills!C23=3,120+Inputs!$B$28+Inputs!$B$30,MAX(0,(Inputs!$B$3-100)*3)+Inputs!$B$29+Inputs!$B$30)))</f>
        <v/>
      </c>
      <c r="E520">
        <f>INDEX(FactorTable!$B$2:$Y$301, MATCH(ROUND(MIN(300,MAX(1,D520)),0), FactorTable!$A$2:$A$301,0), Skills!M23+1)</f>
        <v/>
      </c>
      <c r="F520">
        <f>IF(Skills!N23=TRUE,(Skills!L23/10)*(E520/1000),Skills!L23/10)+Skills!O23</f>
        <v/>
      </c>
      <c r="G520">
        <f>Skills!G23*IF(Skills!H23&gt;0,Skills!I23/Skills!H23,1)</f>
        <v/>
      </c>
      <c r="H520">
        <f>1-(1-Skills!J23/100)^Skills!K23</f>
        <v/>
      </c>
      <c r="I520" t="inlineStr">
        <is>
          <t>1</t>
        </is>
      </c>
      <c r="J520" t="inlineStr"/>
      <c r="K520" t="inlineStr"/>
      <c r="L520" t="inlineStr"/>
      <c r="M520" t="inlineStr"/>
      <c r="N520" t="inlineStr"/>
      <c r="O520">
        <f>(1-Summary!$B$55)*T520+Summary!$B$55*V520</f>
        <v/>
      </c>
      <c r="P520">
        <f>IF(B536=0,0,O520/B536)</f>
        <v/>
      </c>
      <c r="Q520" t="n">
        <v>0</v>
      </c>
      <c r="R520" t="n">
        <v>0</v>
      </c>
      <c r="S520">
        <f>IFERROR(O520/N520,0)</f>
        <v/>
      </c>
      <c r="T520" t="n">
        <v>0</v>
      </c>
      <c r="V520" t="n">
        <v>0</v>
      </c>
    </row>
    <row r="521">
      <c r="A521">
        <f>Skills!A24</f>
        <v/>
      </c>
      <c r="B521">
        <f>Skills!B24</f>
        <v/>
      </c>
      <c r="C521">
        <f>Inputs!$B$3&gt;=120</f>
        <v/>
      </c>
      <c r="D521">
        <f>IF(Skills!C24=1,60+Inputs!$B$26+Inputs!$B$30,IF(Skills!C24=2,90+Inputs!$B$27+Inputs!$B$30,IF(Skills!C24=3,120+Inputs!$B$28+Inputs!$B$30,MAX(0,(Inputs!$B$3-100)*3)+Inputs!$B$29+Inputs!$B$30)))</f>
        <v/>
      </c>
      <c r="E521">
        <f>INDEX(FactorTable!$B$2:$Y$301, MATCH(ROUND(MIN(300,MAX(1,D521)),0), FactorTable!$A$2:$A$301,0), Skills!M24+1)</f>
        <v/>
      </c>
      <c r="F521">
        <f>IF(Skills!N24=TRUE,(Skills!L24/10)*(E521/1000),Skills!L24/10)+Skills!O24</f>
        <v/>
      </c>
      <c r="G521">
        <f>Skills!G24*IF(Skills!H24&gt;0,Skills!I24/Skills!H24,1)</f>
        <v/>
      </c>
      <c r="H521">
        <f>1-(1-Skills!J24/100)^Skills!K24</f>
        <v/>
      </c>
      <c r="I521" t="inlineStr">
        <is>
          <t>1</t>
        </is>
      </c>
      <c r="J521" t="inlineStr"/>
      <c r="K521" t="inlineStr"/>
      <c r="L521" t="inlineStr"/>
      <c r="M521" t="inlineStr"/>
      <c r="N521" t="inlineStr"/>
      <c r="O521">
        <f>(1-Summary!$B$55)*T521+Summary!$B$55*V521</f>
        <v/>
      </c>
      <c r="P521">
        <f>IF(B536=0,0,O521/B536)</f>
        <v/>
      </c>
      <c r="Q521" t="n">
        <v>0</v>
      </c>
      <c r="R521" t="n">
        <v>0</v>
      </c>
      <c r="S521">
        <f>IFERROR(O521/N521,0)</f>
        <v/>
      </c>
      <c r="T521" t="n">
        <v>0</v>
      </c>
      <c r="V521" t="n">
        <v>0</v>
      </c>
    </row>
    <row r="522">
      <c r="A522">
        <f>Skills!A25</f>
        <v/>
      </c>
      <c r="B522">
        <f>Skills!B25</f>
        <v/>
      </c>
      <c r="C522">
        <f>Inputs!$B$3&gt;=125</f>
        <v/>
      </c>
      <c r="D522">
        <f>IF(Skills!C25=1,60+Inputs!$B$26+Inputs!$B$30,IF(Skills!C25=2,90+Inputs!$B$27+Inputs!$B$30,IF(Skills!C25=3,120+Inputs!$B$28+Inputs!$B$30,MAX(0,(Inputs!$B$3-100)*3)+Inputs!$B$29+Inputs!$B$30)))</f>
        <v/>
      </c>
      <c r="E522">
        <f>INDEX(FactorTable!$B$2:$Y$301, MATCH(ROUND(MIN(300,MAX(1,D522)),0), FactorTable!$A$2:$A$301,0), Skills!M25+1)</f>
        <v/>
      </c>
      <c r="F522">
        <f>IF(Skills!N25=TRUE,(Skills!L25/10)*(E522/1000),Skills!L25/10)+Skills!O25</f>
        <v/>
      </c>
      <c r="G522">
        <f>Skills!G25*IF(Skills!H25&gt;0,Skills!I25/Skills!H25,1)</f>
        <v/>
      </c>
      <c r="H522">
        <f>1-(1-Skills!J25/100)^Skills!K25</f>
        <v/>
      </c>
      <c r="I522" t="inlineStr">
        <is>
          <t>1</t>
        </is>
      </c>
      <c r="J522" t="inlineStr"/>
      <c r="K522" t="inlineStr"/>
      <c r="L522" t="inlineStr"/>
      <c r="M522" t="inlineStr"/>
      <c r="N522" t="inlineStr"/>
      <c r="O522">
        <f>(1-Summary!$B$55)*T522+Summary!$B$55*V522</f>
        <v/>
      </c>
      <c r="P522">
        <f>IF(B536=0,0,O522/B536)</f>
        <v/>
      </c>
      <c r="Q522" t="n">
        <v>0</v>
      </c>
      <c r="R522" t="n">
        <v>0</v>
      </c>
      <c r="S522">
        <f>IFERROR(O522/N522,0)</f>
        <v/>
      </c>
      <c r="T522" t="n">
        <v>0</v>
      </c>
      <c r="V522" t="n">
        <v>0</v>
      </c>
    </row>
    <row r="523">
      <c r="A523">
        <f>Skills!A26</f>
        <v/>
      </c>
      <c r="B523">
        <f>Skills!B26</f>
        <v/>
      </c>
      <c r="C523">
        <f>Inputs!$B$3&gt;=107</f>
        <v/>
      </c>
      <c r="D523">
        <f>IF(Skills!C26=1,60+Inputs!$B$26+Inputs!$B$30,IF(Skills!C26=2,90+Inputs!$B$27+Inputs!$B$30,IF(Skills!C26=3,120+Inputs!$B$28+Inputs!$B$30,MAX(0,(Inputs!$B$3-100)*3)+Inputs!$B$29+Inputs!$B$30)))</f>
        <v/>
      </c>
      <c r="E523">
        <f>INDEX(FactorTable!$B$2:$Y$301, MATCH(ROUND(MIN(300,MAX(1,D523)),0), FactorTable!$A$2:$A$301,0), Skills!M26+1)</f>
        <v/>
      </c>
      <c r="F523">
        <f>IF(Skills!N26=TRUE,(Skills!L26/10)*(E523/1000),Skills!L26/10)+Skills!O26</f>
        <v/>
      </c>
      <c r="G523">
        <f>Skills!G26*IF(Skills!H26&gt;0,Skills!I26/Skills!H26,1)</f>
        <v/>
      </c>
      <c r="H523">
        <f>1-(1-Skills!J26/100)^Skills!K26</f>
        <v/>
      </c>
      <c r="I523" t="inlineStr">
        <is>
          <t>1</t>
        </is>
      </c>
      <c r="J523" t="inlineStr"/>
      <c r="K523" t="inlineStr"/>
      <c r="L523" t="inlineStr"/>
      <c r="M523" t="inlineStr"/>
      <c r="N523" t="inlineStr"/>
      <c r="O523">
        <f>(1-Summary!$B$55)*T523+Summary!$B$55*V523</f>
        <v/>
      </c>
      <c r="P523">
        <f>IF(B536=0,0,O523/B536)</f>
        <v/>
      </c>
      <c r="Q523" t="n">
        <v>0</v>
      </c>
      <c r="R523" t="n">
        <v>0</v>
      </c>
      <c r="S523">
        <f>IFERROR(O523/N523,0)</f>
        <v/>
      </c>
      <c r="T523" t="n">
        <v>0</v>
      </c>
      <c r="V523" t="n">
        <v>0</v>
      </c>
    </row>
    <row r="525">
      <c r="A525" t="inlineStr">
        <is>
          <t>Attack% Bucket Multiplier</t>
        </is>
      </c>
      <c r="B525">
        <f>(1+(((C510=TRUE)*F510*IF(AND(Inputs!$B$39&lt;&gt;"pvp",Inputs!$B$44&gt;0),(((R510-1)*(Skills!T13*(1+Inputs!$B$35/100))+MIN((Skills!T13*(1+Inputs!$B$35/100)),MAX(0,Inputs!$B$44-((R510-1)*Skills!D13))))/Inputs!$B$44),IF(Inputs!$B$39="pvp",MIN((Skills!T13*(1+Inputs!$B$35/100)),15)/15,(Skills!T13*(1+Inputs!$B$35/100))/Skills!D13)))+((C511=TRUE)*F511*IF(AND(Inputs!$B$39&lt;&gt;"pvp",Inputs!$B$44&gt;0),(((R511-1)*(Skills!T14*(1+Inputs!$B$35/100))+MIN((Skills!T14*(1+Inputs!$B$35/100)),MAX(0,Inputs!$B$44-((R511-1)*Skills!D14))))/Inputs!$B$44),IF(Inputs!$B$39="pvp",MIN((Skills!T14*(1+Inputs!$B$35/100)),15)/15,(Skills!T14*(1+Inputs!$B$35/100))/Skills!D14)))+((C512=TRUE)*F512*IF(AND(Inputs!$B$39&lt;&gt;"pvp",Inputs!$B$44&gt;0),(((R512-1)*(Skills!T15*(1+Inputs!$B$35/100))+MIN((Skills!T15*(1+Inputs!$B$35/100)),MAX(0,Inputs!$B$44-((R512-1)*Skills!D15))))/Inputs!$B$44),IF(Inputs!$B$39="pvp",MIN((Skills!T15*(1+Inputs!$B$35/100)),15)/15,(Skills!T15*(1+Inputs!$B$35/100))/Skills!D15)))+((C513=TRUE)*F513*IF(AND(Inputs!$B$39&lt;&gt;"pvp",Inputs!$B$44&gt;0),(((R513-1)*(Skills!T16*(1+Inputs!$B$35/100))+MIN((Skills!T16*(1+Inputs!$B$35/100)),MAX(0,Inputs!$B$44-((R513-1)*Skills!D16))))/Inputs!$B$44),IF(Inputs!$B$39="pvp",MIN((Skills!T16*(1+Inputs!$B$35/100)),15)/15,(Skills!T16*(1+Inputs!$B$35/100))/Skills!D16)))+0)/100)</f>
        <v/>
      </c>
    </row>
    <row r="526">
      <c r="A526" t="inlineStr">
        <is>
          <t>Global Crit Rate Bonus % (Lord of Darkness)</t>
        </is>
      </c>
      <c r="B526">
        <f>((C515=TRUE)*F515*(Skills!J18/100)*IF(AND(Inputs!$B$39&lt;&gt;"pvp",Inputs!$B$44&gt;0),(((R515-1)*(Skills!T18*(1+Inputs!$B$35/100))+MIN((Skills!T18*(1+Inputs!$B$35/100)),MAX(0,Inputs!$B$44-((R515-1)*Skills!D18))))/Inputs!$B$44),IF(Inputs!$B$39="pvp",MIN((Skills!T18*(1+Inputs!$B$35/100)),15)/15,(Skills!T18*(1+Inputs!$B$35/100))/Skills!D18)))</f>
        <v/>
      </c>
    </row>
    <row r="527">
      <c r="A527" t="inlineStr">
        <is>
          <t>Attack Speed Buff Bonus %</t>
        </is>
      </c>
      <c r="B527">
        <f>((C517=TRUE)*F517*IF(AND(Inputs!$B$39&lt;&gt;"pvp",Inputs!$B$44&gt;0),(((R517-1)*(Skills!T20*(1+Inputs!$B$35/100))+MIN((Skills!T20*(1+Inputs!$B$35/100)),MAX(0,Inputs!$B$44-((R517-1)*Skills!D20))))/Inputs!$B$44),IF(Inputs!$B$39="pvp",MIN((Skills!T20*(1+Inputs!$B$35/100)),15)/15,(Skills!T20*(1+Inputs!$B$35/100))/Skills!D20)))</f>
        <v/>
      </c>
    </row>
    <row r="528">
      <c r="A528" t="inlineStr">
        <is>
          <t>Actions Per Second</t>
        </is>
      </c>
      <c r="B528">
        <f>1+MIN(150,150*(1-(1-(Inputs!$B$12+((C518=TRUE)*(F518-Calc!F21)))/150)*(1-B527/150)))/100</f>
        <v/>
      </c>
    </row>
    <row r="529">
      <c r="A529" t="inlineStr">
        <is>
          <t>Skill + Buff Cast Rate</t>
        </is>
      </c>
      <c r="B529">
        <f>IF(AND(Inputs!$B$39&lt;&gt;"pvp",Inputs!$B$44&gt;0),SUMPRODUCT((Skills!E2:E26=TRUE)*(C499:C523=TRUE)*R499:R523*Skills!F2:F26)/Inputs!$B$44,SUMPRODUCT((Skills!E2:E26=TRUE)*(C499:C523=TRUE)*Q499:Q523*Skills!F2:F26))</f>
        <v/>
      </c>
    </row>
    <row r="530">
      <c r="A530" t="inlineStr">
        <is>
          <t>Dark Impale Casts Per Second</t>
        </is>
      </c>
      <c r="B530">
        <f>MAX(0,B528-B529)</f>
        <v/>
      </c>
    </row>
    <row r="531">
      <c r="A531" t="inlineStr">
        <is>
          <t>Global Critical Damage Bonus % (Lord of Darkness)</t>
        </is>
      </c>
      <c r="B531">
        <f>((C516=TRUE)*F516*(Skills!J19/100)*IF(AND(Inputs!$B$39&lt;&gt;"pvp",Inputs!$B$44&gt;0),(((R516-1)*(Skills!T19*(1+Inputs!$B$35/100))+MIN((Skills!T19*(1+Inputs!$B$35/100)),MAX(0,Inputs!$B$44-((R516-1)*Skills!D19))))/Inputs!$B$44),IF(Inputs!$B$39="pvp",MIN((Skills!T19*(1+Inputs!$B$35/100)),15)/15,(Skills!T19*(1+Inputs!$B$35/100))/Skills!D19)))</f>
        <v/>
      </c>
    </row>
    <row r="532">
      <c r="A532" t="inlineStr">
        <is>
          <t>Global Final Damage Bonus % (unused)</t>
        </is>
      </c>
      <c r="B532" t="n">
        <v>0</v>
      </c>
    </row>
    <row r="533">
      <c r="A533" t="inlineStr">
        <is>
          <t>Buff-Casting Startup Delay (s, fixed-duration only)</t>
        </is>
      </c>
      <c r="B533">
        <f>IF(AND(Inputs!$B$39&lt;&gt;"pvp",Inputs!$B$44&gt;0),SUMPRODUCT((Skills!T2:T26&gt;0)*(Skills!E2:E26=TRUE)*(C499:C523=TRUE))/B528,0)</f>
        <v/>
      </c>
    </row>
    <row r="534">
      <c r="A534" t="inlineStr">
        <is>
          <t>Boss-Only Total DPS (this block's swept value)</t>
        </is>
      </c>
      <c r="B534">
        <f>SUM(T499:T523)</f>
        <v/>
      </c>
    </row>
    <row r="535">
      <c r="A535" t="inlineStr">
        <is>
          <t>Normal-Only Total DPS (this block's swept value)</t>
        </is>
      </c>
      <c r="B535">
        <f>SUM(V499:V523)</f>
        <v/>
      </c>
    </row>
    <row r="536">
      <c r="A536" s="5" t="inlineStr">
        <is>
          <t>TOTAL DPS</t>
        </is>
      </c>
      <c r="B536" s="5">
        <f>SUM(O499:O523)</f>
        <v/>
      </c>
    </row>
    <row r="539">
      <c r="A539" s="5" t="inlineStr">
        <is>
          <t>Stat: CRIT_RATE %</t>
        </is>
      </c>
    </row>
    <row r="540">
      <c r="A540" s="9" t="inlineStr">
        <is>
          <t>Key</t>
        </is>
      </c>
      <c r="B540" s="9" t="inlineStr">
        <is>
          <t>Name</t>
        </is>
      </c>
      <c r="C540" s="9" t="inlineStr">
        <is>
          <t>Unlocked</t>
        </is>
      </c>
      <c r="D540" s="9" t="inlineStr">
        <is>
          <t>InputLevel</t>
        </is>
      </c>
      <c r="E540" s="9" t="inlineStr">
        <is>
          <t>Factor</t>
        </is>
      </c>
      <c r="F540" s="9" t="inlineStr">
        <is>
          <t>CoefficientPercent</t>
        </is>
      </c>
      <c r="G540" s="9" t="inlineStr">
        <is>
          <t>EffectiveHits</t>
        </is>
      </c>
      <c r="H540" s="9" t="inlineStr">
        <is>
          <t>ProcProbability</t>
        </is>
      </c>
      <c r="I540" s="9" t="inlineStr">
        <is>
          <t>MapleHeroMultiplier</t>
        </is>
      </c>
      <c r="J540" s="9" t="inlineStr">
        <is>
          <t>BaseDamage</t>
        </is>
      </c>
      <c r="K540" s="9" t="inlineStr">
        <is>
          <t>BaseHitDamage</t>
        </is>
      </c>
      <c r="L540" s="9" t="inlineStr">
        <is>
          <t>NonCritAvg</t>
        </is>
      </c>
      <c r="M540" s="9" t="inlineStr">
        <is>
          <t>CritAvg</t>
        </is>
      </c>
      <c r="N540" s="9" t="inlineStr">
        <is>
          <t>ExpectedDamage(perHit)</t>
        </is>
      </c>
      <c r="O540" s="9" t="inlineStr">
        <is>
          <t>DPS</t>
        </is>
      </c>
      <c r="P540" s="9" t="inlineStr">
        <is>
          <t>% of Total</t>
        </is>
      </c>
      <c r="Q540" s="9" t="inlineStr">
        <is>
          <t>InvCooldown</t>
        </is>
      </c>
      <c r="R540" s="9" t="inlineStr">
        <is>
          <t>CastsInFight</t>
        </is>
      </c>
      <c r="S540" s="9" t="inlineStr">
        <is>
          <t>HitRate(perSec)</t>
        </is>
      </c>
      <c r="U540" t="inlineStr">
        <is>
          <t>helpers</t>
        </is>
      </c>
    </row>
    <row r="541">
      <c r="A541">
        <f>Skills!A2</f>
        <v/>
      </c>
      <c r="B541">
        <f>Skills!B2</f>
        <v/>
      </c>
      <c r="C541">
        <f>Inputs!$B$3&gt;=100</f>
        <v/>
      </c>
      <c r="D541" t="inlineStr"/>
      <c r="E541" t="inlineStr"/>
      <c r="F541">
        <f>U543+Skills!O2</f>
        <v/>
      </c>
      <c r="G541">
        <f>Skills!G2*IF(Skills!H2&gt;0,Skills!I2/Skills!H2,1)</f>
        <v/>
      </c>
      <c r="H541">
        <f>1-(1-Skills!J2/100)^Skills!K2</f>
        <v/>
      </c>
      <c r="I541" t="inlineStr">
        <is>
          <t>1</t>
        </is>
      </c>
      <c r="J541">
        <f>((Inputs!$B$6*(1+Inputs!$B$7/100))+(((Inputs!$B$13*(1+Inputs!$B$14/100))-(Inputs!$B$13*(1+Inputs!$B$14/100)))+0.25*(Inputs!$B$15-Inputs!$B$15))*(1+Inputs!$B$7/100))*(F541/100)</f>
        <v/>
      </c>
      <c r="K541">
        <f>J541*(1+(((Inputs!$B$13+IF(Inputs!$B$3&gt;=38,(10*INDEX(FactorTable!$B$2:$Y$301, MATCH(ROUND(MIN(300,MAX(1,Inputs!$B$3)),0), FactorTable!$A$2:$A$301,0), 23)/1000)/100*(Inputs!$B$8*(1+Inputs!$B$9/100)),0))*(1+Inputs!$B$14/100))*0.01+Inputs!$B$15*0.0025)/100)*(1+Inputs!$B$16/100)*(1+Inputs!$B$17/100)*(5000/(6000+Inputs!$B$43*(1-(Inputs!$B$20+0)/100)))*(1+(Inputs!$B$25+((C564=TRUE)*(F564-Calc!F25))+((C565=TRUE)*(F565-Calc!F26))+B574)/100)*(1+(IF(Skills!A2="DARK_IMPALE",Inputs!$B$18+0,Inputs!$B$19+((C562=TRUE)*(F562-Calc!F23))))/100)*((1+(((C552=TRUE)*F552*IF(AND(Inputs!$B$39&lt;&gt;"pvp",Inputs!$B$44&gt;0),(((R552-1)*(Skills!T13*(1+Inputs!$B$35/100))+MIN((Skills!T13*(1+Inputs!$B$35/100)),MAX(0,Inputs!$B$44-((R552-1)*Skills!D13))))/Inputs!$B$44),IF(Inputs!$B$39="pvp",MIN((Skills!T13*(1+Inputs!$B$35/100)),15)/15,(Skills!T13*(1+Inputs!$B$35/100))/Skills!D13)))+((C553=TRUE)*F553*IF(AND(Inputs!$B$39&lt;&gt;"pvp",Inputs!$B$44&gt;0),(((R553-1)*(Skills!T14*(1+Inputs!$B$35/100))+MIN((Skills!T14*(1+Inputs!$B$35/100)),MAX(0,Inputs!$B$44-((R553-1)*Skills!D14))))/Inputs!$B$44),IF(Inputs!$B$39="pvp",MIN((Skills!T14*(1+Inputs!$B$35/100)),15)/15,(Skills!T14*(1+Inputs!$B$35/100))/Skills!D14)))+((C554=TRUE)*F554*IF(AND(Inputs!$B$39&lt;&gt;"pvp",Inputs!$B$44&gt;0),(((R554-1)*(Skills!T15*(1+Inputs!$B$35/100))+MIN((Skills!T15*(1+Inputs!$B$35/100)),MAX(0,Inputs!$B$44-((R554-1)*Skills!D15))))/Inputs!$B$44),IF(Inputs!$B$39="pvp",MIN((Skills!T15*(1+Inputs!$B$35/100)),15)/15,(Skills!T15*(1+Inputs!$B$35/100))/Skills!D15)))+((C555=TRUE)*F555*IF(AND(Inputs!$B$39&lt;&gt;"pvp",Inputs!$B$44&gt;0),(((R555-1)*(Skills!T16*(1+Inputs!$B$35/100))+MIN((Skills!T16*(1+Inputs!$B$35/100)),MAX(0,Inputs!$B$44-((R555-1)*Skills!D16))))/Inputs!$B$44),IF(Inputs!$B$39="pvp",MIN((Skills!T16*(1+Inputs!$B$35/100)),15)/15,(Skills!T16*(1+Inputs!$B$35/100))/Skills!D16)))+0)/100)*I541)</f>
        <v/>
      </c>
      <c r="L541">
        <f>K541*(MIN(Inputs!$B$23+((C561=TRUE)*(F561-Calc!F22)),Inputs!$B$24+((C563=TRUE)*(F563-Calc!F24)))/100+(Inputs!$B$24+((C563=TRUE)*(F563-Calc!F24)))/100)/2</f>
        <v/>
      </c>
      <c r="M541">
        <f>L541*(1+(Inputs!$B$11+0+B573)/100)</f>
        <v/>
      </c>
      <c r="N541">
        <f>L541*(1-MIN(((Inputs!$B$10+1)+0+B568),100)/100)+M541*(MIN(((Inputs!$B$10+1)+0+B568),100)/100)</f>
        <v/>
      </c>
      <c r="O541">
        <f>(1-Summary!$B$55)*T541+Summary!$B$55*V541</f>
        <v/>
      </c>
      <c r="P541">
        <f>IF(B578=0,0,O541/B578)</f>
        <v/>
      </c>
      <c r="Q541" t="n">
        <v>0</v>
      </c>
      <c r="R541" t="n">
        <v>0</v>
      </c>
      <c r="S541">
        <f>IFERROR(O541/N541,0)</f>
        <v/>
      </c>
      <c r="T541">
        <f>IF(C541,(Skills!G2*N541*B572)*IF(Inputs!$B$39="pvp",1,1+(Inputs!$B$21+0+Skills!P2+((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0)</f>
        <v/>
      </c>
      <c r="U541">
        <f>MAX(0,(Inputs!$B$3-100)*3)+Inputs!$B$29+Inputs!$B$30</f>
        <v/>
      </c>
      <c r="V541">
        <f>IF(C541,(Skills!G2*N541*B572)*IF(Inputs!$B$39="pvp",1,(1+(Inputs!$B$22+Skills!Q2+((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MIN((6+Inputs!$B$34),Inputs!$B$38))),0)</f>
        <v/>
      </c>
    </row>
    <row r="542">
      <c r="A542">
        <f>Skills!A3</f>
        <v/>
      </c>
      <c r="B542">
        <f>Skills!B3</f>
        <v/>
      </c>
      <c r="C542">
        <f>Inputs!$B$3&gt;=50</f>
        <v/>
      </c>
      <c r="D542">
        <f>IF(Skills!C3=1,60+Inputs!$B$26+Inputs!$B$30,IF(Skills!C3=2,90+Inputs!$B$27+Inputs!$B$30,IF(Skills!C3=3,120+Inputs!$B$28+Inputs!$B$30,MAX(0,(Inputs!$B$3-100)*3)+Inputs!$B$29+Inputs!$B$30)))</f>
        <v/>
      </c>
      <c r="E542">
        <f>INDEX(FactorTable!$B$2:$Y$301, MATCH(ROUND(MIN(300,MAX(1,D542)),0), FactorTable!$A$2:$A$301,0), Skills!M3+1)</f>
        <v/>
      </c>
      <c r="F542">
        <f>IF(Skills!N3=TRUE,(Skills!L3/10)*(E542/1000),Skills!L3/10)+Skills!O3</f>
        <v/>
      </c>
      <c r="G542" t="inlineStr"/>
      <c r="H542" t="inlineStr"/>
      <c r="I542" t="inlineStr">
        <is>
          <t>1</t>
        </is>
      </c>
      <c r="J542" t="inlineStr"/>
      <c r="K542" t="inlineStr"/>
      <c r="L542" t="inlineStr"/>
      <c r="M542" t="inlineStr"/>
      <c r="N542" t="inlineStr"/>
      <c r="O542" t="inlineStr"/>
      <c r="P542" t="inlineStr"/>
      <c r="Q542" t="inlineStr"/>
      <c r="R542" t="inlineStr"/>
      <c r="S542" t="inlineStr"/>
      <c r="U542">
        <f>INDEX(FactorTable!$B$2:$Y$301, MATCH(ROUND(MIN(300,MAX(1,U541)),0), FactorTable!$A$2:$A$301,0), 22)</f>
        <v/>
      </c>
    </row>
    <row r="543">
      <c r="A543">
        <f>Skills!A4</f>
        <v/>
      </c>
      <c r="B543">
        <f>Skills!B4</f>
        <v/>
      </c>
      <c r="C543">
        <f>Inputs!$B$3&gt;=105</f>
        <v/>
      </c>
      <c r="D543">
        <f>IF(Skills!C4=1,60+Inputs!$B$26+Inputs!$B$30,IF(Skills!C4=2,90+Inputs!$B$27+Inputs!$B$30,IF(Skills!C4=3,120+Inputs!$B$28+Inputs!$B$30,MAX(0,(Inputs!$B$3-100)*3)+Inputs!$B$29+Inputs!$B$30)))</f>
        <v/>
      </c>
      <c r="E543">
        <f>INDEX(FactorTable!$B$2:$Y$301, MATCH(ROUND(MIN(300,MAX(1,D543)),0), FactorTable!$A$2:$A$301,0), Skills!M4+1)</f>
        <v/>
      </c>
      <c r="F543">
        <f>IF(Skills!N4=TRUE,(Skills!L4/10)*(E543/1000),Skills!L4/10)+Skills!O4</f>
        <v/>
      </c>
      <c r="G543" t="inlineStr"/>
      <c r="H543" t="inlineStr"/>
      <c r="I543" t="inlineStr">
        <is>
          <t>1</t>
        </is>
      </c>
      <c r="J543" t="inlineStr"/>
      <c r="K543" t="inlineStr"/>
      <c r="L543" t="inlineStr"/>
      <c r="M543" t="inlineStr"/>
      <c r="N543" t="inlineStr"/>
      <c r="O543" t="inlineStr"/>
      <c r="P543" t="inlineStr"/>
      <c r="Q543" t="inlineStr"/>
      <c r="R543" t="inlineStr"/>
      <c r="S543" t="inlineStr"/>
      <c r="U543">
        <f>290*U542/1000</f>
        <v/>
      </c>
    </row>
    <row r="544">
      <c r="A544">
        <f>Skills!A5</f>
        <v/>
      </c>
      <c r="B544">
        <f>Skills!B5</f>
        <v/>
      </c>
      <c r="C544">
        <f>Inputs!$B$3&gt;=117</f>
        <v/>
      </c>
      <c r="D544">
        <f>IF(Skills!C5=1,60+Inputs!$B$26+Inputs!$B$30,IF(Skills!C5=2,90+Inputs!$B$27+Inputs!$B$30,IF(Skills!C5=3,120+Inputs!$B$28+Inputs!$B$30,MAX(0,(Inputs!$B$3-100)*3)+Inputs!$B$29+Inputs!$B$30)))</f>
        <v/>
      </c>
      <c r="E544">
        <f>INDEX(FactorTable!$B$2:$Y$301, MATCH(ROUND(MIN(300,MAX(1,D544)),0), FactorTable!$A$2:$A$301,0), Skills!M5+1)</f>
        <v/>
      </c>
      <c r="F544">
        <f>IF(Skills!N5=TRUE,(Skills!L5/10)*(E544/1000),Skills!L5/10)+Skills!O5</f>
        <v/>
      </c>
      <c r="G544">
        <f>Skills!G5*IF(Skills!H5&gt;0,Skills!I5/Skills!H5,1)</f>
        <v/>
      </c>
      <c r="H544">
        <f>1-(1-Skills!J5/100)^Skills!K5</f>
        <v/>
      </c>
      <c r="I544" t="inlineStr">
        <is>
          <t>1</t>
        </is>
      </c>
      <c r="J544">
        <f>((Inputs!$B$6*(1+Inputs!$B$7/100))+(((Inputs!$B$13*(1+Inputs!$B$14/100))-(Inputs!$B$13*(1+Inputs!$B$14/100)))+0.25*(Inputs!$B$15-Inputs!$B$15))*(1+Inputs!$B$7/100))*(F544/100)</f>
        <v/>
      </c>
      <c r="K544">
        <f>J544*(1+(((Inputs!$B$13+IF(Inputs!$B$3&gt;=38,(10*INDEX(FactorTable!$B$2:$Y$301, MATCH(ROUND(MIN(300,MAX(1,Inputs!$B$3)),0), FactorTable!$A$2:$A$301,0), 23)/1000)/100*(Inputs!$B$8*(1+Inputs!$B$9/100)),0))*(1+Inputs!$B$14/100))*0.01+Inputs!$B$15*0.0025)/100)*(1+Inputs!$B$16/100)*(1+Inputs!$B$17/100)*(5000/(6000+Inputs!$B$43*(1-(Inputs!$B$20+0)/100)))*(1+(Inputs!$B$25+((C564=TRUE)*(F564-Calc!F25))+((C565=TRUE)*(F565-Calc!F26))+B574)/100)*(1+(IF(Skills!A5="DARK_IMPALE",Inputs!$B$18+0,Inputs!$B$19+((C562=TRUE)*(F562-Calc!F23))))/100)*((1+(((C552=TRUE)*F552*IF(AND(Inputs!$B$39&lt;&gt;"pvp",Inputs!$B$44&gt;0),(((R552-1)*(Skills!T13*(1+Inputs!$B$35/100))+MIN((Skills!T13*(1+Inputs!$B$35/100)),MAX(0,Inputs!$B$44-((R552-1)*Skills!D13))))/Inputs!$B$44),IF(Inputs!$B$39="pvp",MIN((Skills!T13*(1+Inputs!$B$35/100)),15)/15,(Skills!T13*(1+Inputs!$B$35/100))/Skills!D13)))+((C553=TRUE)*F553*IF(AND(Inputs!$B$39&lt;&gt;"pvp",Inputs!$B$44&gt;0),(((R553-1)*(Skills!T14*(1+Inputs!$B$35/100))+MIN((Skills!T14*(1+Inputs!$B$35/100)),MAX(0,Inputs!$B$44-((R553-1)*Skills!D14))))/Inputs!$B$44),IF(Inputs!$B$39="pvp",MIN((Skills!T14*(1+Inputs!$B$35/100)),15)/15,(Skills!T14*(1+Inputs!$B$35/100))/Skills!D14)))+((C554=TRUE)*F554*IF(AND(Inputs!$B$39&lt;&gt;"pvp",Inputs!$B$44&gt;0),(((R554-1)*(Skills!T15*(1+Inputs!$B$35/100))+MIN((Skills!T15*(1+Inputs!$B$35/100)),MAX(0,Inputs!$B$44-((R554-1)*Skills!D15))))/Inputs!$B$44),IF(Inputs!$B$39="pvp",MIN((Skills!T15*(1+Inputs!$B$35/100)),15)/15,(Skills!T15*(1+Inputs!$B$35/100))/Skills!D15)))+((C555=TRUE)*F555*IF(AND(Inputs!$B$39&lt;&gt;"pvp",Inputs!$B$44&gt;0),(((R555-1)*(Skills!T16*(1+Inputs!$B$35/100))+MIN((Skills!T16*(1+Inputs!$B$35/100)),MAX(0,Inputs!$B$44-((R555-1)*Skills!D16))))/Inputs!$B$44),IF(Inputs!$B$39="pvp",MIN((Skills!T16*(1+Inputs!$B$35/100)),15)/15,(Skills!T16*(1+Inputs!$B$35/100))/Skills!D16)))+0)/100)*I544)</f>
        <v/>
      </c>
      <c r="L544">
        <f>K544*(MIN(Inputs!$B$23+((C561=TRUE)*(F561-Calc!F22)),Inputs!$B$24+((C563=TRUE)*(F563-Calc!F24)))/100+(Inputs!$B$24+((C563=TRUE)*(F563-Calc!F24)))/100)/2</f>
        <v/>
      </c>
      <c r="M544">
        <f>L544*(1+(Inputs!$B$11+0+B573)/100)</f>
        <v/>
      </c>
      <c r="N544">
        <f>L544*(1-MIN(((Inputs!$B$10+1)+0+B568),100)/100)+M544*(MIN(((Inputs!$B$10+1)+0+B568),100)/100)</f>
        <v/>
      </c>
      <c r="O544">
        <f>(1-Summary!$B$55)*T544+Summary!$B$55*V544</f>
        <v/>
      </c>
      <c r="P544">
        <f>IF(B578=0,0,O544/B578)</f>
        <v/>
      </c>
      <c r="Q544">
        <f>IFERROR(1/IF(Inputs!$B$39="pvp",15,MAX(0.1,Skills!D5-IF(Skills!E5=TRUE,Inputs!$B$33,0))),0)</f>
        <v/>
      </c>
      <c r="R544">
        <f>IF(AND(Inputs!$B$39&lt;&gt;"pvp",Inputs!$B$44&gt;0),IF(MAX(0,Inputs!$B$44-B575)&lt;=0,0,(INT(MAX(0,Inputs!$B$44-B575)/IF(Inputs!$B$39="pvp",15,MAX(0.1,Skills!D5-IF(Skills!E5=TRUE,Inputs!$B$33,0))))+1)),0)</f>
        <v/>
      </c>
      <c r="S544">
        <f>IFERROR(O544/N544,0)</f>
        <v/>
      </c>
      <c r="T544">
        <f>IF(C544,(H544*N544*IF(AND(Inputs!$B$39&lt;&gt;"pvp",Inputs!$B$44&gt;0),((Skills!G5*((R544-1)*IF(Skills!H5&gt;0,Skills!I5/Skills!H5,1)+IF(Skills!H5&gt;0,MIN(Skills!I5,MAX(0,MAX(0,Inputs!$B$44-B575)-((R544-1)*IF(Inputs!$B$39="pvp",15,MAX(0.1,Skills!D5-IF(Skills!E5=TRUE,Inputs!$B$33,0))))))/Skills!H5,1)))/Inputs!$B$44),G544*Q544))*IF(Inputs!$B$39="pvp",1,1+(Inputs!$B$21+0+Skills!P5+((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0)</f>
        <v/>
      </c>
      <c r="V544">
        <f>IF(C544,(H544*N544*IF(AND(Inputs!$B$39&lt;&gt;"pvp",Inputs!$B$44&gt;0),((Skills!G5*((R544-1)*IF(Skills!H5&gt;0,Skills!I5/Skills!H5,1)+IF(Skills!H5&gt;0,MIN(Skills!I5,MAX(0,MAX(0,Inputs!$B$44-B575)-((R544-1)*IF(Inputs!$B$39="pvp",15,MAX(0.1,Skills!D5-IF(Skills!E5=TRUE,Inputs!$B$33,0))))))/Skills!H5,1)))/Inputs!$B$44),G544*Q544))*IF(Inputs!$B$39="pvp",1,(1+(Inputs!$B$22+Skills!Q5+((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MIN(Skills!R5,Inputs!$B$38))),0)</f>
        <v/>
      </c>
    </row>
    <row r="545">
      <c r="A545">
        <f>Skills!A6</f>
        <v/>
      </c>
      <c r="B545">
        <f>Skills!B6</f>
        <v/>
      </c>
      <c r="C545">
        <f>Inputs!$B$3&gt;=103</f>
        <v/>
      </c>
      <c r="D545">
        <f>IF(Skills!C6=1,60+Inputs!$B$26+Inputs!$B$30,IF(Skills!C6=2,90+Inputs!$B$27+Inputs!$B$30,IF(Skills!C6=3,120+Inputs!$B$28+Inputs!$B$30,MAX(0,(Inputs!$B$3-100)*3)+Inputs!$B$29+Inputs!$B$30)))</f>
        <v/>
      </c>
      <c r="E545">
        <f>INDEX(FactorTable!$B$2:$Y$301, MATCH(ROUND(MIN(300,MAX(1,D545)),0), FactorTable!$A$2:$A$301,0), Skills!M6+1)</f>
        <v/>
      </c>
      <c r="F545">
        <f>IF(Skills!N6=TRUE,(Skills!L6/10)*(E545/1000),Skills!L6/10)+Skills!O6</f>
        <v/>
      </c>
      <c r="G545">
        <f>Skills!G6*IF(Skills!H6&gt;0,Skills!I6/Skills!H6,1)</f>
        <v/>
      </c>
      <c r="H545">
        <f>1-(1-Skills!J6/100)^Skills!K6</f>
        <v/>
      </c>
      <c r="I545" t="inlineStr">
        <is>
          <t>1</t>
        </is>
      </c>
      <c r="J545">
        <f>((Inputs!$B$6*(1+Inputs!$B$7/100))+(((Inputs!$B$13*(1+Inputs!$B$14/100))-(Inputs!$B$13*(1+Inputs!$B$14/100)))+0.25*(Inputs!$B$15-Inputs!$B$15))*(1+Inputs!$B$7/100))*(F545/100)</f>
        <v/>
      </c>
      <c r="K545">
        <f>J545*(1+(((Inputs!$B$13+IF(Inputs!$B$3&gt;=38,(10*INDEX(FactorTable!$B$2:$Y$301, MATCH(ROUND(MIN(300,MAX(1,Inputs!$B$3)),0), FactorTable!$A$2:$A$301,0), 23)/1000)/100*(Inputs!$B$8*(1+Inputs!$B$9/100)),0))*(1+Inputs!$B$14/100))*0.01+Inputs!$B$15*0.0025)/100)*(1+Inputs!$B$16/100)*(1+Inputs!$B$17/100)*(5000/(6000+Inputs!$B$43*(1-(Inputs!$B$20+0)/100)))*(1+(Inputs!$B$25+((C564=TRUE)*(F564-Calc!F25))+((C565=TRUE)*(F565-Calc!F26))+B574)/100)*(1+(IF(Skills!A6="DARK_IMPALE",Inputs!$B$18+0,Inputs!$B$19+((C562=TRUE)*(F562-Calc!F23))))/100)*((1+(((C552=TRUE)*F552*IF(AND(Inputs!$B$39&lt;&gt;"pvp",Inputs!$B$44&gt;0),(((R552-1)*(Skills!T13*(1+Inputs!$B$35/100))+MIN((Skills!T13*(1+Inputs!$B$35/100)),MAX(0,Inputs!$B$44-((R552-1)*Skills!D13))))/Inputs!$B$44),IF(Inputs!$B$39="pvp",MIN((Skills!T13*(1+Inputs!$B$35/100)),15)/15,(Skills!T13*(1+Inputs!$B$35/100))/Skills!D13)))+((C553=TRUE)*F553*IF(AND(Inputs!$B$39&lt;&gt;"pvp",Inputs!$B$44&gt;0),(((R553-1)*(Skills!T14*(1+Inputs!$B$35/100))+MIN((Skills!T14*(1+Inputs!$B$35/100)),MAX(0,Inputs!$B$44-((R553-1)*Skills!D14))))/Inputs!$B$44),IF(Inputs!$B$39="pvp",MIN((Skills!T14*(1+Inputs!$B$35/100)),15)/15,(Skills!T14*(1+Inputs!$B$35/100))/Skills!D14)))+((C554=TRUE)*F554*IF(AND(Inputs!$B$39&lt;&gt;"pvp",Inputs!$B$44&gt;0),(((R554-1)*(Skills!T15*(1+Inputs!$B$35/100))+MIN((Skills!T15*(1+Inputs!$B$35/100)),MAX(0,Inputs!$B$44-((R554-1)*Skills!D15))))/Inputs!$B$44),IF(Inputs!$B$39="pvp",MIN((Skills!T15*(1+Inputs!$B$35/100)),15)/15,(Skills!T15*(1+Inputs!$B$35/100))/Skills!D15)))+((C555=TRUE)*F555*IF(AND(Inputs!$B$39&lt;&gt;"pvp",Inputs!$B$44&gt;0),(((R555-1)*(Skills!T16*(1+Inputs!$B$35/100))+MIN((Skills!T16*(1+Inputs!$B$35/100)),MAX(0,Inputs!$B$44-((R555-1)*Skills!D16))))/Inputs!$B$44),IF(Inputs!$B$39="pvp",MIN((Skills!T16*(1+Inputs!$B$35/100)),15)/15,(Skills!T16*(1+Inputs!$B$35/100))/Skills!D16)))+0)/100)*I545)</f>
        <v/>
      </c>
      <c r="L545">
        <f>K545*(MIN(Inputs!$B$23+((C561=TRUE)*(F561-Calc!F22)),Inputs!$B$24+((C563=TRUE)*(F563-Calc!F24)))/100+(Inputs!$B$24+((C563=TRUE)*(F563-Calc!F24)))/100)/2</f>
        <v/>
      </c>
      <c r="M545">
        <f>L545*(1+(Inputs!$B$11+0+B573)/100)</f>
        <v/>
      </c>
      <c r="N545">
        <f>L545*(1-MIN(((Inputs!$B$10+1)+0+B568),100)/100)+M545*(MIN(((Inputs!$B$10+1)+0+B568),100)/100)</f>
        <v/>
      </c>
      <c r="O545">
        <f>(1-Summary!$B$55)*T545+Summary!$B$55*V545</f>
        <v/>
      </c>
      <c r="P545">
        <f>IF(B578=0,0,O545/B578)</f>
        <v/>
      </c>
      <c r="Q545">
        <f>IFERROR(1/IF(Inputs!$B$39="pvp",15,MAX(0.1,Skills!D6-IF(Skills!E6=TRUE,Inputs!$B$33,0))),0)</f>
        <v/>
      </c>
      <c r="R545">
        <f>IF(AND(Inputs!$B$39&lt;&gt;"pvp",Inputs!$B$44&gt;0),IF(MAX(0,Inputs!$B$44-B575)&lt;=0,0,(INT(MAX(0,Inputs!$B$44-B575)/IF(Inputs!$B$39="pvp",15,MAX(0.1,Skills!D6-IF(Skills!E6=TRUE,Inputs!$B$33,0))))+1)),0)</f>
        <v/>
      </c>
      <c r="S545">
        <f>IFERROR(O545/N545,0)</f>
        <v/>
      </c>
      <c r="T545">
        <f>IF(C545,(H545*N545*IF(AND(Inputs!$B$39&lt;&gt;"pvp",Inputs!$B$44&gt;0),((Skills!G6*((R545-1)*IF(Skills!H6&gt;0,Skills!I6/Skills!H6,1)+IF(Skills!H6&gt;0,MIN(Skills!I6,MAX(0,MAX(0,Inputs!$B$44-B575)-((R545-1)*IF(Inputs!$B$39="pvp",15,MAX(0.1,Skills!D6-IF(Skills!E6=TRUE,Inputs!$B$33,0))))))/Skills!H6,1)))/Inputs!$B$44),G545*Q545))*IF(Inputs!$B$39="pvp",1,1+(Inputs!$B$21+0+Skills!P6+((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0)</f>
        <v/>
      </c>
      <c r="V545">
        <f>IF(C545,(H545*N545*IF(AND(Inputs!$B$39&lt;&gt;"pvp",Inputs!$B$44&gt;0),((Skills!G6*((R545-1)*IF(Skills!H6&gt;0,Skills!I6/Skills!H6,1)+IF(Skills!H6&gt;0,MIN(Skills!I6,MAX(0,MAX(0,Inputs!$B$44-B575)-((R545-1)*IF(Inputs!$B$39="pvp",15,MAX(0.1,Skills!D6-IF(Skills!E6=TRUE,Inputs!$B$33,0))))))/Skills!H6,1)))/Inputs!$B$44),G545*Q545))*IF(Inputs!$B$39="pvp",1,(1+(Inputs!$B$22+Skills!Q6+((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MIN(Skills!R6,Inputs!$B$38))),0)</f>
        <v/>
      </c>
    </row>
    <row r="546">
      <c r="A546">
        <f>Skills!A7</f>
        <v/>
      </c>
      <c r="B546">
        <f>Skills!B7</f>
        <v/>
      </c>
      <c r="C546">
        <f>Inputs!$B$3&gt;=40</f>
        <v/>
      </c>
      <c r="D546">
        <f>IF(Skills!C7=1,60+Inputs!$B$26+Inputs!$B$30,IF(Skills!C7=2,90+Inputs!$B$27+Inputs!$B$30,IF(Skills!C7=3,120+Inputs!$B$28+Inputs!$B$30,MAX(0,(Inputs!$B$3-100)*3)+Inputs!$B$29+Inputs!$B$30)))</f>
        <v/>
      </c>
      <c r="E546">
        <f>INDEX(FactorTable!$B$2:$Y$301, MATCH(ROUND(MIN(300,MAX(1,D546)),0), FactorTable!$A$2:$A$301,0), Skills!M7+1)</f>
        <v/>
      </c>
      <c r="F546">
        <f>IF(Skills!N7=TRUE,(Skills!L7/10)*(E546/1000),Skills!L7/10)+Skills!O7</f>
        <v/>
      </c>
      <c r="G546">
        <f>Skills!G7*IF(Skills!H7&gt;0,Skills!I7/Skills!H7,1)</f>
        <v/>
      </c>
      <c r="H546">
        <f>1-(1-Skills!J7/100)^Skills!K7</f>
        <v/>
      </c>
      <c r="I546" t="inlineStr">
        <is>
          <t>1</t>
        </is>
      </c>
      <c r="J546">
        <f>((Inputs!$B$6*(1+Inputs!$B$7/100))+(((Inputs!$B$13*(1+Inputs!$B$14/100))-(Inputs!$B$13*(1+Inputs!$B$14/100)))+0.25*(Inputs!$B$15-Inputs!$B$15))*(1+Inputs!$B$7/100))*(F546/100)</f>
        <v/>
      </c>
      <c r="K546">
        <f>J546*(1+(((Inputs!$B$13+IF(Inputs!$B$3&gt;=38,(10*INDEX(FactorTable!$B$2:$Y$301, MATCH(ROUND(MIN(300,MAX(1,Inputs!$B$3)),0), FactorTable!$A$2:$A$301,0), 23)/1000)/100*(Inputs!$B$8*(1+Inputs!$B$9/100)),0))*(1+Inputs!$B$14/100))*0.01+Inputs!$B$15*0.0025)/100)*(1+Inputs!$B$16/100)*(1+Inputs!$B$17/100)*(5000/(6000+Inputs!$B$43*(1-(Inputs!$B$20+0)/100)))*(1+(Inputs!$B$25+((C564=TRUE)*(F564-Calc!F25))+((C565=TRUE)*(F565-Calc!F26))+B574)/100)*(1+0.75*IF(C550=TRUE,F550,0)/100)*(1+(IF(Skills!A7="DARK_IMPALE",Inputs!$B$18+0,Inputs!$B$19+((C562=TRUE)*(F562-Calc!F23))))/100)*((1+(((C552=TRUE)*F552*IF(AND(Inputs!$B$39&lt;&gt;"pvp",Inputs!$B$44&gt;0),(((R552-1)*(Skills!T13*(1+Inputs!$B$35/100))+MIN((Skills!T13*(1+Inputs!$B$35/100)),MAX(0,Inputs!$B$44-((R552-1)*Skills!D13))))/Inputs!$B$44),IF(Inputs!$B$39="pvp",MIN((Skills!T13*(1+Inputs!$B$35/100)),15)/15,(Skills!T13*(1+Inputs!$B$35/100))/Skills!D13)))+((C553=TRUE)*F553*IF(AND(Inputs!$B$39&lt;&gt;"pvp",Inputs!$B$44&gt;0),(((R553-1)*(Skills!T14*(1+Inputs!$B$35/100))+MIN((Skills!T14*(1+Inputs!$B$35/100)),MAX(0,Inputs!$B$44-((R553-1)*Skills!D14))))/Inputs!$B$44),IF(Inputs!$B$39="pvp",MIN((Skills!T14*(1+Inputs!$B$35/100)),15)/15,(Skills!T14*(1+Inputs!$B$35/100))/Skills!D14)))+((C554=TRUE)*F554*IF(AND(Inputs!$B$39&lt;&gt;"pvp",Inputs!$B$44&gt;0),(((R554-1)*(Skills!T15*(1+Inputs!$B$35/100))+MIN((Skills!T15*(1+Inputs!$B$35/100)),MAX(0,Inputs!$B$44-((R554-1)*Skills!D15))))/Inputs!$B$44),IF(Inputs!$B$39="pvp",MIN((Skills!T15*(1+Inputs!$B$35/100)),15)/15,(Skills!T15*(1+Inputs!$B$35/100))/Skills!D15)))+((C555=TRUE)*F555*IF(AND(Inputs!$B$39&lt;&gt;"pvp",Inputs!$B$44&gt;0),(((R555-1)*(Skills!T16*(1+Inputs!$B$35/100))+MIN((Skills!T16*(1+Inputs!$B$35/100)),MAX(0,Inputs!$B$44-((R555-1)*Skills!D16))))/Inputs!$B$44),IF(Inputs!$B$39="pvp",MIN((Skills!T16*(1+Inputs!$B$35/100)),15)/15,(Skills!T16*(1+Inputs!$B$35/100))/Skills!D16)))+0)/100)*I546)</f>
        <v/>
      </c>
      <c r="L546">
        <f>K546*(MIN(Inputs!$B$23+((C561=TRUE)*(F561-Calc!F22)),Inputs!$B$24+((C563=TRUE)*(F563-Calc!F24)))/100+(Inputs!$B$24+((C563=TRUE)*(F563-Calc!F24)))/100)/2</f>
        <v/>
      </c>
      <c r="M546">
        <f>L546*(1+(Inputs!$B$11+0+B573)/100)</f>
        <v/>
      </c>
      <c r="N546">
        <f>L546*(1-MIN(((Inputs!$B$10+1)+0+B568),100)/100)+M546*(MIN(((Inputs!$B$10+1)+0+B568),100)/100)</f>
        <v/>
      </c>
      <c r="O546">
        <f>(1-Summary!$B$55)*T546+Summary!$B$55*V546</f>
        <v/>
      </c>
      <c r="P546">
        <f>IF(B578=0,0,O546/B578)</f>
        <v/>
      </c>
      <c r="Q546">
        <f>IFERROR(1/IF(Inputs!$B$39="pvp",15,MAX(0.1,Skills!D7-IF(Skills!E7=TRUE,Inputs!$B$33,0))),0)</f>
        <v/>
      </c>
      <c r="R546">
        <f>IF(AND(Inputs!$B$39&lt;&gt;"pvp",Inputs!$B$44&gt;0),IF(MAX(0,Inputs!$B$44-B575)&lt;=0,0,(INT(MAX(0,Inputs!$B$44-B575)/IF(Inputs!$B$39="pvp",15,MAX(0.1,Skills!D7-IF(Skills!E7=TRUE,Inputs!$B$33,0))))+1)),0)</f>
        <v/>
      </c>
      <c r="S546">
        <f>IFERROR(O546/N546,0)</f>
        <v/>
      </c>
      <c r="T546">
        <f>IF(C546,(H546*N546*IF(AND(Inputs!$B$39&lt;&gt;"pvp",Inputs!$B$44&gt;0),((Skills!G7*((R546-1)*IF(Skills!H7&gt;0,Skills!I7/Skills!H7,1)+IF(Skills!H7&gt;0,MIN(Skills!I7,MAX(0,MAX(0,Inputs!$B$44-B575)-((R546-1)*IF(Inputs!$B$39="pvp",15,MAX(0.1,Skills!D7-IF(Skills!E7=TRUE,Inputs!$B$33,0))))))/Skills!H7,1)))/Inputs!$B$44),G546*Q546))*IF(Inputs!$B$39="pvp",1,1+(Inputs!$B$21+0+Skills!P7+((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0)</f>
        <v/>
      </c>
      <c r="V546">
        <f>IF(C546,(H546*N546*IF(AND(Inputs!$B$39&lt;&gt;"pvp",Inputs!$B$44&gt;0),((Skills!G7*((R546-1)*IF(Skills!H7&gt;0,Skills!I7/Skills!H7,1)+IF(Skills!H7&gt;0,MIN(Skills!I7,MAX(0,MAX(0,Inputs!$B$44-B575)-((R546-1)*IF(Inputs!$B$39="pvp",15,MAX(0.1,Skills!D7-IF(Skills!E7=TRUE,Inputs!$B$33,0))))))/Skills!H7,1)))/Inputs!$B$44),G546*Q546))*IF(Inputs!$B$39="pvp",1,(1+(Inputs!$B$22+Skills!Q7+((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MIN(Skills!R7,Inputs!$B$38))),0)</f>
        <v/>
      </c>
    </row>
    <row r="547">
      <c r="A547">
        <f>Skills!A8</f>
        <v/>
      </c>
      <c r="B547">
        <f>Skills!B8</f>
        <v/>
      </c>
      <c r="C547">
        <f>Inputs!$B$3&gt;=75</f>
        <v/>
      </c>
      <c r="D547">
        <f>IF(Skills!C8=1,60+Inputs!$B$26+Inputs!$B$30,IF(Skills!C8=2,90+Inputs!$B$27+Inputs!$B$30,IF(Skills!C8=3,120+Inputs!$B$28+Inputs!$B$30,MAX(0,(Inputs!$B$3-100)*3)+Inputs!$B$29+Inputs!$B$30)))</f>
        <v/>
      </c>
      <c r="E547">
        <f>INDEX(FactorTable!$B$2:$Y$301, MATCH(ROUND(MIN(300,MAX(1,D547)),0), FactorTable!$A$2:$A$301,0), Skills!M8+1)</f>
        <v/>
      </c>
      <c r="F547">
        <f>IF(Skills!N8=TRUE,(Skills!L8/10)*(E547/1000),Skills!L8/10)+Skills!O8</f>
        <v/>
      </c>
      <c r="G547" t="inlineStr"/>
      <c r="H547" t="inlineStr"/>
      <c r="I547" t="inlineStr">
        <is>
          <t>1</t>
        </is>
      </c>
      <c r="J547" t="inlineStr"/>
      <c r="K547" t="inlineStr"/>
      <c r="L547" t="inlineStr"/>
      <c r="M547" t="inlineStr"/>
      <c r="N547" t="inlineStr"/>
      <c r="O547" t="inlineStr"/>
      <c r="P547" t="inlineStr"/>
      <c r="Q547" t="inlineStr"/>
      <c r="R547" t="inlineStr"/>
      <c r="S547" t="inlineStr"/>
    </row>
    <row r="548">
      <c r="A548">
        <f>Skills!A9</f>
        <v/>
      </c>
      <c r="B548">
        <f>Skills!B9</f>
        <v/>
      </c>
      <c r="C548">
        <f>Inputs!$B$3&gt;=60</f>
        <v/>
      </c>
      <c r="D548">
        <f>IF(Skills!C9=1,60+Inputs!$B$26+Inputs!$B$30,IF(Skills!C9=2,90+Inputs!$B$27+Inputs!$B$30,IF(Skills!C9=3,120+Inputs!$B$28+Inputs!$B$30,MAX(0,(Inputs!$B$3-100)*3)+Inputs!$B$29+Inputs!$B$30)))</f>
        <v/>
      </c>
      <c r="E548">
        <f>INDEX(FactorTable!$B$2:$Y$301, MATCH(ROUND(MIN(300,MAX(1,D548)),0), FactorTable!$A$2:$A$301,0), Skills!M9+1)</f>
        <v/>
      </c>
      <c r="F548">
        <f>IF(Skills!N9=TRUE,(Skills!L9/10)*(E548/1000),Skills!L9/10)+Skills!O9</f>
        <v/>
      </c>
      <c r="G548">
        <f>Skills!G9*IF(Skills!H9&gt;0,Skills!I9/Skills!H9,1)</f>
        <v/>
      </c>
      <c r="H548">
        <f>1-(1-Skills!J9/100)^Skills!K9</f>
        <v/>
      </c>
      <c r="I548" t="inlineStr">
        <is>
          <t>1</t>
        </is>
      </c>
      <c r="J548">
        <f>((Inputs!$B$6*(1+Inputs!$B$7/100))+(((Inputs!$B$13*(1+Inputs!$B$14/100))-(Inputs!$B$13*(1+Inputs!$B$14/100)))+0.25*(Inputs!$B$15-Inputs!$B$15))*(1+Inputs!$B$7/100))*(F548/100)</f>
        <v/>
      </c>
      <c r="K548">
        <f>J548*(1+(((Inputs!$B$13+IF(Inputs!$B$3&gt;=38,(10*INDEX(FactorTable!$B$2:$Y$301, MATCH(ROUND(MIN(300,MAX(1,Inputs!$B$3)),0), FactorTable!$A$2:$A$301,0), 23)/1000)/100*(Inputs!$B$8*(1+Inputs!$B$9/100)),0))*(1+Inputs!$B$14/100))*0.01+Inputs!$B$15*0.0025)/100)*(1+Inputs!$B$16/100)*(1+Inputs!$B$17/100)*(5000/(6000+Inputs!$B$43*(1-(Inputs!$B$20+0)/100)))*(1+(Inputs!$B$25+((C564=TRUE)*(F564-Calc!F25))+((C565=TRUE)*(F565-Calc!F26))+B574)/100)*(1+1.0*IF(C550=TRUE,F550,0)/100)*(1+(IF(Skills!A9="DARK_IMPALE",Inputs!$B$18+0,Inputs!$B$19+((C562=TRUE)*(F562-Calc!F23))))/100)*((1+(((C552=TRUE)*F552*IF(AND(Inputs!$B$39&lt;&gt;"pvp",Inputs!$B$44&gt;0),(((R552-1)*(Skills!T13*(1+Inputs!$B$35/100))+MIN((Skills!T13*(1+Inputs!$B$35/100)),MAX(0,Inputs!$B$44-((R552-1)*Skills!D13))))/Inputs!$B$44),IF(Inputs!$B$39="pvp",MIN((Skills!T13*(1+Inputs!$B$35/100)),15)/15,(Skills!T13*(1+Inputs!$B$35/100))/Skills!D13)))+((C553=TRUE)*F553*IF(AND(Inputs!$B$39&lt;&gt;"pvp",Inputs!$B$44&gt;0),(((R553-1)*(Skills!T14*(1+Inputs!$B$35/100))+MIN((Skills!T14*(1+Inputs!$B$35/100)),MAX(0,Inputs!$B$44-((R553-1)*Skills!D14))))/Inputs!$B$44),IF(Inputs!$B$39="pvp",MIN((Skills!T14*(1+Inputs!$B$35/100)),15)/15,(Skills!T14*(1+Inputs!$B$35/100))/Skills!D14)))+((C554=TRUE)*F554*IF(AND(Inputs!$B$39&lt;&gt;"pvp",Inputs!$B$44&gt;0),(((R554-1)*(Skills!T15*(1+Inputs!$B$35/100))+MIN((Skills!T15*(1+Inputs!$B$35/100)),MAX(0,Inputs!$B$44-((R554-1)*Skills!D15))))/Inputs!$B$44),IF(Inputs!$B$39="pvp",MIN((Skills!T15*(1+Inputs!$B$35/100)),15)/15,(Skills!T15*(1+Inputs!$B$35/100))/Skills!D15)))+((C555=TRUE)*F555*IF(AND(Inputs!$B$39&lt;&gt;"pvp",Inputs!$B$44&gt;0),(((R555-1)*(Skills!T16*(1+Inputs!$B$35/100))+MIN((Skills!T16*(1+Inputs!$B$35/100)),MAX(0,Inputs!$B$44-((R555-1)*Skills!D16))))/Inputs!$B$44),IF(Inputs!$B$39="pvp",MIN((Skills!T16*(1+Inputs!$B$35/100)),15)/15,(Skills!T16*(1+Inputs!$B$35/100))/Skills!D16)))+0)/100)*I548)</f>
        <v/>
      </c>
      <c r="L548">
        <f>K548*(MIN(Inputs!$B$23+((C561=TRUE)*(F561-Calc!F22)),Inputs!$B$24+((C563=TRUE)*(F563-Calc!F24)))/100+(Inputs!$B$24+((C563=TRUE)*(F563-Calc!F24)))/100)/2</f>
        <v/>
      </c>
      <c r="M548">
        <f>L548*(1+(Inputs!$B$11+0+B573)/100)</f>
        <v/>
      </c>
      <c r="N548">
        <f>L548*(1-MIN(((Inputs!$B$10+1)+0+B568),100)/100)+M548*(MIN(((Inputs!$B$10+1)+0+B568),100)/100)</f>
        <v/>
      </c>
      <c r="O548">
        <f>(1-Summary!$B$55)*T548+Summary!$B$55*V548</f>
        <v/>
      </c>
      <c r="P548">
        <f>IF(B578=0,0,O548/B578)</f>
        <v/>
      </c>
      <c r="Q548">
        <f>IFERROR(1/IF(Inputs!$B$39="pvp",15,MAX(0.1,Skills!D9-IF(Skills!E9=TRUE,Inputs!$B$33,0))),0)</f>
        <v/>
      </c>
      <c r="R548">
        <f>IF(AND(Inputs!$B$39&lt;&gt;"pvp",Inputs!$B$44&gt;0),IF(MAX(0,Inputs!$B$44-B575)&lt;=0,0,(INT(MAX(0,Inputs!$B$44-B575)/IF(Inputs!$B$39="pvp",15,MAX(0.1,Skills!D9-IF(Skills!E9=TRUE,Inputs!$B$33,0))))+1)),0)</f>
        <v/>
      </c>
      <c r="S548">
        <f>IFERROR(O548/N548,0)</f>
        <v/>
      </c>
      <c r="T548">
        <f>IF(C548,(H548*N548*IF(AND(Inputs!$B$39&lt;&gt;"pvp",Inputs!$B$44&gt;0),((Skills!G9*((R548-1)*IF(Skills!H9&gt;0,Skills!I9/Skills!H9,1)+IF(Skills!H9&gt;0,MIN(Skills!I9,MAX(0,MAX(0,Inputs!$B$44-B575)-((R548-1)*IF(Inputs!$B$39="pvp",15,MAX(0.1,Skills!D9-IF(Skills!E9=TRUE,Inputs!$B$33,0))))))/Skills!H9,1)))/Inputs!$B$44),G548*Q548))*IF(Inputs!$B$39="pvp",1,1+(Inputs!$B$21+0+Skills!P9+((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0)</f>
        <v/>
      </c>
      <c r="V548">
        <f>IF(C548,(H548*N548*IF(AND(Inputs!$B$39&lt;&gt;"pvp",Inputs!$B$44&gt;0),((Skills!G9*((R548-1)*IF(Skills!H9&gt;0,Skills!I9/Skills!H9,1)+IF(Skills!H9&gt;0,MIN(Skills!I9,MAX(0,MAX(0,Inputs!$B$44-B575)-((R548-1)*IF(Inputs!$B$39="pvp",15,MAX(0.1,Skills!D9-IF(Skills!E9=TRUE,Inputs!$B$33,0))))))/Skills!H9,1)))/Inputs!$B$44),G548*Q548))*IF(Inputs!$B$39="pvp",1,(1+(Inputs!$B$22+Skills!Q9+((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MIN(Skills!R9,Inputs!$B$38))),0)</f>
        <v/>
      </c>
    </row>
    <row r="549">
      <c r="A549">
        <f>Skills!A10</f>
        <v/>
      </c>
      <c r="B549">
        <f>Skills!B10</f>
        <v/>
      </c>
      <c r="C549">
        <f>Inputs!$B$3&gt;=110</f>
        <v/>
      </c>
      <c r="D549">
        <f>IF(Skills!C10=1,60+Inputs!$B$26+Inputs!$B$30,IF(Skills!C10=2,90+Inputs!$B$27+Inputs!$B$30,IF(Skills!C10=3,120+Inputs!$B$28+Inputs!$B$30,MAX(0,(Inputs!$B$3-100)*3)+Inputs!$B$29+Inputs!$B$30)))</f>
        <v/>
      </c>
      <c r="E549">
        <f>INDEX(FactorTable!$B$2:$Y$301, MATCH(ROUND(MIN(300,MAX(1,D549)),0), FactorTable!$A$2:$A$301,0), Skills!M10+1)</f>
        <v/>
      </c>
      <c r="F549">
        <f>IF(Skills!N10=TRUE,(Skills!L10/10)*(E549/1000),Skills!L10/10)+Skills!O10</f>
        <v/>
      </c>
      <c r="G549">
        <f>Skills!G10*IF(Skills!H10&gt;0,Skills!I10/Skills!H10,1)</f>
        <v/>
      </c>
      <c r="H549">
        <f>1-(1-Skills!J10/100)^Skills!K10</f>
        <v/>
      </c>
      <c r="I549" t="inlineStr">
        <is>
          <t>1</t>
        </is>
      </c>
      <c r="J549">
        <f>((Inputs!$B$6*(1+Inputs!$B$7/100))+(((Inputs!$B$13*(1+Inputs!$B$14/100))-(Inputs!$B$13*(1+Inputs!$B$14/100)))+0.25*(Inputs!$B$15-Inputs!$B$15))*(1+Inputs!$B$7/100))*(F549/100)</f>
        <v/>
      </c>
      <c r="K549">
        <f>J549*(1+(((Inputs!$B$13+IF(Inputs!$B$3&gt;=38,(10*INDEX(FactorTable!$B$2:$Y$301, MATCH(ROUND(MIN(300,MAX(1,Inputs!$B$3)),0), FactorTable!$A$2:$A$301,0), 23)/1000)/100*(Inputs!$B$8*(1+Inputs!$B$9/100)),0))*(1+Inputs!$B$14/100))*0.01+Inputs!$B$15*0.0025)/100)*(1+Inputs!$B$16/100)*(1+Inputs!$B$17/100)*(5000/(6000+Inputs!$B$43*(1-(Inputs!$B$20+0)/100)))*(1+(Inputs!$B$25+((C564=TRUE)*(F564-Calc!F25))+((C565=TRUE)*(F565-Calc!F26))+B574)/100)*(1+(IF(Skills!A10="DARK_IMPALE",Inputs!$B$18+0,Inputs!$B$19+((C562=TRUE)*(F562-Calc!F23))))/100)*((1+(((C552=TRUE)*F552*IF(AND(Inputs!$B$39&lt;&gt;"pvp",Inputs!$B$44&gt;0),(((R552-1)*(Skills!T13*(1+Inputs!$B$35/100))+MIN((Skills!T13*(1+Inputs!$B$35/100)),MAX(0,Inputs!$B$44-((R552-1)*Skills!D13))))/Inputs!$B$44),IF(Inputs!$B$39="pvp",MIN((Skills!T13*(1+Inputs!$B$35/100)),15)/15,(Skills!T13*(1+Inputs!$B$35/100))/Skills!D13)))+((C553=TRUE)*F553*IF(AND(Inputs!$B$39&lt;&gt;"pvp",Inputs!$B$44&gt;0),(((R553-1)*(Skills!T14*(1+Inputs!$B$35/100))+MIN((Skills!T14*(1+Inputs!$B$35/100)),MAX(0,Inputs!$B$44-((R553-1)*Skills!D14))))/Inputs!$B$44),IF(Inputs!$B$39="pvp",MIN((Skills!T14*(1+Inputs!$B$35/100)),15)/15,(Skills!T14*(1+Inputs!$B$35/100))/Skills!D14)))+((C554=TRUE)*F554*IF(AND(Inputs!$B$39&lt;&gt;"pvp",Inputs!$B$44&gt;0),(((R554-1)*(Skills!T15*(1+Inputs!$B$35/100))+MIN((Skills!T15*(1+Inputs!$B$35/100)),MAX(0,Inputs!$B$44-((R554-1)*Skills!D15))))/Inputs!$B$44),IF(Inputs!$B$39="pvp",MIN((Skills!T15*(1+Inputs!$B$35/100)),15)/15,(Skills!T15*(1+Inputs!$B$35/100))/Skills!D15)))+((C555=TRUE)*F555*IF(AND(Inputs!$B$39&lt;&gt;"pvp",Inputs!$B$44&gt;0),(((R555-1)*(Skills!T16*(1+Inputs!$B$35/100))+MIN((Skills!T16*(1+Inputs!$B$35/100)),MAX(0,Inputs!$B$44-((R555-1)*Skills!D16))))/Inputs!$B$44),IF(Inputs!$B$39="pvp",MIN((Skills!T16*(1+Inputs!$B$35/100)),15)/15,(Skills!T16*(1+Inputs!$B$35/100))/Skills!D16)))+0)/100)*I549)</f>
        <v/>
      </c>
      <c r="L549">
        <f>K549*(MIN(Inputs!$B$23+((C561=TRUE)*(F561-Calc!F22)),Inputs!$B$24+((C563=TRUE)*(F563-Calc!F24)))/100+(Inputs!$B$24+((C563=TRUE)*(F563-Calc!F24)))/100)/2</f>
        <v/>
      </c>
      <c r="M549">
        <f>L549*(1+(Inputs!$B$11+0+B573)/100)</f>
        <v/>
      </c>
      <c r="N549">
        <f>L549*(1-MIN(((Inputs!$B$10+1)+0+B568),100)/100)+M549*(MIN(((Inputs!$B$10+1)+0+B568),100)/100)</f>
        <v/>
      </c>
      <c r="O549">
        <f>(1-Summary!$B$55)*T549+Summary!$B$55*V549</f>
        <v/>
      </c>
      <c r="P549">
        <f>IF(B578=0,0,O549/B578)</f>
        <v/>
      </c>
      <c r="Q549">
        <f>IFERROR(1/IF(Inputs!$B$39="pvp",15,MAX(0.1,Skills!D10-IF(Skills!E10=TRUE,Inputs!$B$33,0))),0)</f>
        <v/>
      </c>
      <c r="R549">
        <f>IF(AND(Inputs!$B$39&lt;&gt;"pvp",Inputs!$B$44&gt;0),IF(MAX(0,Inputs!$B$44-B575)&lt;=0,0,(INT(MAX(0,Inputs!$B$44-B575)/IF(Inputs!$B$39="pvp",15,MAX(0.1,Skills!D10-IF(Skills!E10=TRUE,Inputs!$B$33,0))))+1)),0)</f>
        <v/>
      </c>
      <c r="S549">
        <f>IFERROR(O549/N549,0)</f>
        <v/>
      </c>
      <c r="T549">
        <f>IF(C549,(H549*N549*IF(AND(Inputs!$B$39&lt;&gt;"pvp",Inputs!$B$44&gt;0),((Skills!G10*((R549-1)*IF(Skills!H10&gt;0,Skills!I10/Skills!H10,1)+IF(Skills!H10&gt;0,MIN(Skills!I10,MAX(0,MAX(0,Inputs!$B$44-B575)-((R549-1)*IF(Inputs!$B$39="pvp",15,MAX(0.1,Skills!D10-IF(Skills!E10=TRUE,Inputs!$B$33,0))))))/Skills!H10,1)))/Inputs!$B$44),G549*Q549))*IF(Inputs!$B$39="pvp",1,1+(Inputs!$B$21+0+Skills!P10+((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0)</f>
        <v/>
      </c>
      <c r="V549">
        <f>IF(C549,(H549*N549*IF(AND(Inputs!$B$39&lt;&gt;"pvp",Inputs!$B$44&gt;0),((Skills!G10*((R549-1)*IF(Skills!H10&gt;0,Skills!I10/Skills!H10,1)+IF(Skills!H10&gt;0,MIN(Skills!I10,MAX(0,MAX(0,Inputs!$B$44-B575)-((R549-1)*IF(Inputs!$B$39="pvp",15,MAX(0.1,Skills!D10-IF(Skills!E10=TRUE,Inputs!$B$33,0))))))/Skills!H10,1)))/Inputs!$B$44),G549*Q549))*IF(Inputs!$B$39="pvp",1,(1+(Inputs!$B$22+Skills!Q10+((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MIN(Skills!R10,Inputs!$B$38))),0)</f>
        <v/>
      </c>
    </row>
    <row r="550">
      <c r="A550">
        <f>Skills!A11</f>
        <v/>
      </c>
      <c r="B550">
        <f>Skills!B11</f>
        <v/>
      </c>
      <c r="C550">
        <f>Inputs!$B$3&gt;=100</f>
        <v/>
      </c>
      <c r="D550">
        <f>IF(Skills!C11=1,60+Inputs!$B$26+Inputs!$B$30,IF(Skills!C11=2,90+Inputs!$B$27+Inputs!$B$30,IF(Skills!C11=3,120+Inputs!$B$28+Inputs!$B$30,MAX(0,(Inputs!$B$3-100)*3)+Inputs!$B$29+Inputs!$B$30)))</f>
        <v/>
      </c>
      <c r="E550">
        <f>INDEX(FactorTable!$B$2:$Y$301, MATCH(ROUND(MIN(300,MAX(1,D550)),0), FactorTable!$A$2:$A$301,0), Skills!M11+1)</f>
        <v/>
      </c>
      <c r="F550">
        <f>IF(Skills!N11=TRUE,(Skills!L11/10)*(E550/1000),Skills!L11/10)+Skills!O11</f>
        <v/>
      </c>
      <c r="G550" t="inlineStr"/>
      <c r="H550" t="inlineStr"/>
      <c r="I550" t="inlineStr">
        <is>
          <t>1</t>
        </is>
      </c>
      <c r="J550" t="inlineStr"/>
      <c r="K550" t="inlineStr"/>
      <c r="L550" t="inlineStr"/>
      <c r="M550" t="inlineStr"/>
      <c r="N550" t="inlineStr"/>
      <c r="O550" t="inlineStr"/>
      <c r="P550" t="inlineStr"/>
      <c r="Q550" t="inlineStr"/>
      <c r="R550" t="inlineStr"/>
      <c r="S550" t="inlineStr"/>
    </row>
    <row r="551">
      <c r="A551">
        <f>Skills!A12</f>
        <v/>
      </c>
      <c r="B551">
        <f>Skills!B12</f>
        <v/>
      </c>
      <c r="C551">
        <f>Inputs!$B$3&gt;=63</f>
        <v/>
      </c>
      <c r="D551">
        <f>IF(Skills!C12=1,60+Inputs!$B$26+Inputs!$B$30,IF(Skills!C12=2,90+Inputs!$B$27+Inputs!$B$30,IF(Skills!C12=3,120+Inputs!$B$28+Inputs!$B$30,MAX(0,(Inputs!$B$3-100)*3)+Inputs!$B$29+Inputs!$B$30)))</f>
        <v/>
      </c>
      <c r="E551">
        <f>INDEX(FactorTable!$B$2:$Y$301, MATCH(ROUND(MIN(300,MAX(1,D551)),0), FactorTable!$A$2:$A$301,0), Skills!M12+1)</f>
        <v/>
      </c>
      <c r="F551">
        <f>IF(Skills!N12=TRUE,(Skills!L12/10)*(E551/1000),Skills!L12/10)+Skills!O12</f>
        <v/>
      </c>
      <c r="G551">
        <f>Skills!G12*IF(Skills!H12&gt;0,Skills!I12/Skills!H12,1)</f>
        <v/>
      </c>
      <c r="H551">
        <f>1-(1-Skills!J12/100)^Skills!K12</f>
        <v/>
      </c>
      <c r="I551" t="inlineStr">
        <is>
          <t>1</t>
        </is>
      </c>
      <c r="J551">
        <f>((Inputs!$B$6*(1+Inputs!$B$7/100))+(((Inputs!$B$13*(1+Inputs!$B$14/100))-(Inputs!$B$13*(1+Inputs!$B$14/100)))+0.25*(Inputs!$B$15-Inputs!$B$15))*(1+Inputs!$B$7/100))*(F551/100)</f>
        <v/>
      </c>
      <c r="K551">
        <f>J551*(1+(((Inputs!$B$13+IF(Inputs!$B$3&gt;=38,(10*INDEX(FactorTable!$B$2:$Y$301, MATCH(ROUND(MIN(300,MAX(1,Inputs!$B$3)),0), FactorTable!$A$2:$A$301,0), 23)/1000)/100*(Inputs!$B$8*(1+Inputs!$B$9/100)),0))*(1+Inputs!$B$14/100))*0.01+Inputs!$B$15*0.0025)/100)*(1+Inputs!$B$16/100)*(1+Inputs!$B$17/100)*(5000/(6000+Inputs!$B$43*(1-(Inputs!$B$20+0)/100)))*(1+(Inputs!$B$25+((C564=TRUE)*(F564-Calc!F25))+((C565=TRUE)*(F565-Calc!F26))+B574)/100)*(1+0.75*IF(C550=TRUE,F550,0)/100)*(1+(IF(Skills!A12="DARK_IMPALE",Inputs!$B$18+0,Inputs!$B$19+((C562=TRUE)*(F562-Calc!F23))))/100)*((1+(((C552=TRUE)*F552*IF(AND(Inputs!$B$39&lt;&gt;"pvp",Inputs!$B$44&gt;0),(((R552-1)*(Skills!T13*(1+Inputs!$B$35/100))+MIN((Skills!T13*(1+Inputs!$B$35/100)),MAX(0,Inputs!$B$44-((R552-1)*Skills!D13))))/Inputs!$B$44),IF(Inputs!$B$39="pvp",MIN((Skills!T13*(1+Inputs!$B$35/100)),15)/15,(Skills!T13*(1+Inputs!$B$35/100))/Skills!D13)))+((C553=TRUE)*F553*IF(AND(Inputs!$B$39&lt;&gt;"pvp",Inputs!$B$44&gt;0),(((R553-1)*(Skills!T14*(1+Inputs!$B$35/100))+MIN((Skills!T14*(1+Inputs!$B$35/100)),MAX(0,Inputs!$B$44-((R553-1)*Skills!D14))))/Inputs!$B$44),IF(Inputs!$B$39="pvp",MIN((Skills!T14*(1+Inputs!$B$35/100)),15)/15,(Skills!T14*(1+Inputs!$B$35/100))/Skills!D14)))+((C554=TRUE)*F554*IF(AND(Inputs!$B$39&lt;&gt;"pvp",Inputs!$B$44&gt;0),(((R554-1)*(Skills!T15*(1+Inputs!$B$35/100))+MIN((Skills!T15*(1+Inputs!$B$35/100)),MAX(0,Inputs!$B$44-((R554-1)*Skills!D15))))/Inputs!$B$44),IF(Inputs!$B$39="pvp",MIN((Skills!T15*(1+Inputs!$B$35/100)),15)/15,(Skills!T15*(1+Inputs!$B$35/100))/Skills!D15)))+((C555=TRUE)*F555*IF(AND(Inputs!$B$39&lt;&gt;"pvp",Inputs!$B$44&gt;0),(((R555-1)*(Skills!T16*(1+Inputs!$B$35/100))+MIN((Skills!T16*(1+Inputs!$B$35/100)),MAX(0,Inputs!$B$44-((R555-1)*Skills!D16))))/Inputs!$B$44),IF(Inputs!$B$39="pvp",MIN((Skills!T16*(1+Inputs!$B$35/100)),15)/15,(Skills!T16*(1+Inputs!$B$35/100))/Skills!D16)))+0)/100)*I551)</f>
        <v/>
      </c>
      <c r="L551">
        <f>K551*(MIN(Inputs!$B$23+((C561=TRUE)*(F561-Calc!F22)),Inputs!$B$24+((C563=TRUE)*(F563-Calc!F24)))/100+(Inputs!$B$24+((C563=TRUE)*(F563-Calc!F24)))/100)/2</f>
        <v/>
      </c>
      <c r="M551">
        <f>L551*(1+(Inputs!$B$11+0+B573)/100)</f>
        <v/>
      </c>
      <c r="N551">
        <f>L551*(1-MIN(((Inputs!$B$10+1)+0+B568),100)/100)+M551*(MIN(((Inputs!$B$10+1)+0+B568),100)/100)</f>
        <v/>
      </c>
      <c r="O551">
        <f>(1-Summary!$B$55)*T551+Summary!$B$55*V551</f>
        <v/>
      </c>
      <c r="P551">
        <f>IF(B578=0,0,O551/B578)</f>
        <v/>
      </c>
      <c r="Q551">
        <f>IFERROR(1/IF(Inputs!$B$39="pvp",15,MAX(0.1,Skills!D12-IF(Skills!E12=TRUE,Inputs!$B$33,0))),0)</f>
        <v/>
      </c>
      <c r="R551">
        <f>IF(AND(Inputs!$B$39&lt;&gt;"pvp",Inputs!$B$44&gt;0),IF(MAX(0,Inputs!$B$44-B575)&lt;=0,0,(INT(MAX(0,Inputs!$B$44-B575)/IF(Inputs!$B$39="pvp",15,MAX(0.1,Skills!D12-IF(Skills!E12=TRUE,Inputs!$B$33,0))))+1)),0)</f>
        <v/>
      </c>
      <c r="S551">
        <f>IFERROR(O551/N551,0)</f>
        <v/>
      </c>
      <c r="T551">
        <f>IF(C551,(H551*N551*IF(AND(Inputs!$B$39&lt;&gt;"pvp",Inputs!$B$44&gt;0),((Skills!G12*((R551-1)*IF(Skills!H12&gt;0,Skills!I12/Skills!H12,1)+IF(Skills!H12&gt;0,MIN(Skills!I12,MAX(0,MAX(0,Inputs!$B$44-B575)-((R551-1)*IF(Inputs!$B$39="pvp",15,MAX(0.1,Skills!D12-IF(Skills!E12=TRUE,Inputs!$B$33,0))))))/Skills!H12,1)))/Inputs!$B$44),G551*Q551))*IF(Inputs!$B$39="pvp",1,1+(Inputs!$B$21+0+Skills!P12+((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0)</f>
        <v/>
      </c>
      <c r="V551">
        <f>IF(C551,(H551*N551*IF(AND(Inputs!$B$39&lt;&gt;"pvp",Inputs!$B$44&gt;0),((Skills!G12*((R551-1)*IF(Skills!H12&gt;0,Skills!I12/Skills!H12,1)+IF(Skills!H12&gt;0,MIN(Skills!I12,MAX(0,MAX(0,Inputs!$B$44-B575)-((R551-1)*IF(Inputs!$B$39="pvp",15,MAX(0.1,Skills!D12-IF(Skills!E12=TRUE,Inputs!$B$33,0))))))/Skills!H12,1)))/Inputs!$B$44),G551*Q551))*IF(Inputs!$B$39="pvp",1,(1+(Inputs!$B$22+Skills!Q12+((C556=TRUE)*F556*IF(AND(Inputs!$B$39&lt;&gt;"pvp",Inputs!$B$44&gt;0),(((R556-1)*(Skills!T17*(1+Inputs!$B$35/100))+MIN((Skills!T17*(1+Inputs!$B$35/100)),MAX(0,Inputs!$B$44-((R556-1)*Skills!D17))))/Inputs!$B$44),IF(Inputs!$B$39="pvp",MIN((Skills!T17*(1+Inputs!$B$35/100)),15)/15,(Skills!T17*(1+Inputs!$B$35/100))/Skills!D17)))+((C553=TRUE)*IF(Inputs!$B$39="pvp",20,(1-Summary!$B$55)*(20)+Summary!$B$55*(0))*IF(AND(Inputs!$B$39&lt;&gt;"pvp",Inputs!$B$44&gt;0),(((R553-1)*(Skills!T14*(1+Inputs!$B$35/100))+MIN((Skills!T14*(1+Inputs!$B$35/100)),MAX(0,Inputs!$B$44-((R553-1)*Skills!D14))))/Inputs!$B$44),IF(Inputs!$B$39="pvp",MIN((Skills!T14*(1+Inputs!$B$35/100)),15)/15,(Skills!T14*(1+Inputs!$B$35/100))/Skills!D14))))/100)*(MIN(Skills!R12,Inputs!$B$38))),0)</f>
        <v/>
      </c>
    </row>
    <row r="552">
      <c r="A552">
        <f>Skills!A13</f>
        <v/>
      </c>
      <c r="B552">
        <f>Skills!B13</f>
        <v/>
      </c>
      <c r="C552">
        <f>Inputs!$B$3&gt;=69</f>
        <v/>
      </c>
      <c r="D552">
        <f>IF(Skills!C13=1,60+Inputs!$B$26+Inputs!$B$30,IF(Skills!C13=2,90+Inputs!$B$27+Inputs!$B$30,IF(Skills!C13=3,120+Inputs!$B$28+Inputs!$B$30,MAX(0,(Inputs!$B$3-100)*3)+Inputs!$B$29+Inputs!$B$30)))</f>
        <v/>
      </c>
      <c r="E552">
        <f>INDEX(FactorTable!$B$2:$Y$301, MATCH(ROUND(MIN(300,MAX(1,D552)),0), FactorTable!$A$2:$A$301,0), Skills!M13+1)</f>
        <v/>
      </c>
      <c r="F552">
        <f>IF(Skills!N13=TRUE,(Skills!L13/10)*(E552/1000),Skills!L13/10)+Skills!O13</f>
        <v/>
      </c>
      <c r="G552">
        <f>Skills!G13*IF(Skills!H13&gt;0,Skills!I13/Skills!H13,1)</f>
        <v/>
      </c>
      <c r="H552">
        <f>1-(1-Skills!J13/100)^Skills!K13</f>
        <v/>
      </c>
      <c r="I552" t="inlineStr">
        <is>
          <t>1</t>
        </is>
      </c>
      <c r="J552" t="inlineStr"/>
      <c r="K552" t="inlineStr"/>
      <c r="L552" t="inlineStr"/>
      <c r="M552" t="inlineStr"/>
      <c r="N552" t="inlineStr"/>
      <c r="O552">
        <f>(1-Summary!$B$55)*T552+Summary!$B$55*V552</f>
        <v/>
      </c>
      <c r="P552">
        <f>IF(B578=0,0,O552/B578)</f>
        <v/>
      </c>
      <c r="Q552">
        <f>IFERROR(1/IF(Inputs!$B$39="pvp",15,MAX(0.1,Skills!D13-IF(Skills!E13=TRUE,Inputs!$B$33,0))),0)</f>
        <v/>
      </c>
      <c r="R552">
        <f>IF(AND(Inputs!$B$39&lt;&gt;"pvp",Inputs!$B$44&gt;0),IF(Inputs!$B$44&lt;=0,0,(INT(Inputs!$B$44/IF(Inputs!$B$39="pvp",15,MAX(0.1,Skills!D13-IF(Skills!E13=TRUE,Inputs!$B$33,0))))+1)),0)</f>
        <v/>
      </c>
      <c r="S552">
        <f>IFERROR(O552/N552,0)</f>
        <v/>
      </c>
      <c r="T552" t="n">
        <v>0</v>
      </c>
      <c r="V552" t="n">
        <v>0</v>
      </c>
    </row>
    <row r="553">
      <c r="A553">
        <f>Skills!A14</f>
        <v/>
      </c>
      <c r="B553">
        <f>Skills!B14</f>
        <v/>
      </c>
      <c r="C553">
        <f>Inputs!$B$3&gt;=115</f>
        <v/>
      </c>
      <c r="D553">
        <f>IF(Skills!C14=1,60+Inputs!$B$26+Inputs!$B$30,IF(Skills!C14=2,90+Inputs!$B$27+Inputs!$B$30,IF(Skills!C14=3,120+Inputs!$B$28+Inputs!$B$30,MAX(0,(Inputs!$B$3-100)*3)+Inputs!$B$29+Inputs!$B$30)))</f>
        <v/>
      </c>
      <c r="E553">
        <f>INDEX(FactorTable!$B$2:$Y$301, MATCH(ROUND(MIN(300,MAX(1,D553)),0), FactorTable!$A$2:$A$301,0), Skills!M14+1)</f>
        <v/>
      </c>
      <c r="F553">
        <f>IF(Skills!N14=TRUE,(Skills!L14/10)*(E553/1000),Skills!L14/10)+Skills!O14</f>
        <v/>
      </c>
      <c r="G553">
        <f>Skills!G14*IF(Skills!H14&gt;0,Skills!I14/Skills!H14,1)</f>
        <v/>
      </c>
      <c r="H553">
        <f>1-(1-Skills!J14/100)^Skills!K14</f>
        <v/>
      </c>
      <c r="I553" t="inlineStr">
        <is>
          <t>1</t>
        </is>
      </c>
      <c r="J553" t="inlineStr"/>
      <c r="K553" t="inlineStr"/>
      <c r="L553" t="inlineStr"/>
      <c r="M553" t="inlineStr"/>
      <c r="N553" t="inlineStr"/>
      <c r="O553">
        <f>(1-Summary!$B$55)*T553+Summary!$B$55*V553</f>
        <v/>
      </c>
      <c r="P553">
        <f>IF(B578=0,0,O553/B578)</f>
        <v/>
      </c>
      <c r="Q553">
        <f>IFERROR(1/IF(Inputs!$B$39="pvp",15,MAX(0.1,Skills!D14-IF(Skills!E14=TRUE,Inputs!$B$33,0))),0)</f>
        <v/>
      </c>
      <c r="R553">
        <f>IF(AND(Inputs!$B$39&lt;&gt;"pvp",Inputs!$B$44&gt;0),IF(Inputs!$B$44&lt;=0,0,(INT(Inputs!$B$44/IF(Inputs!$B$39="pvp",15,MAX(0.1,Skills!D14-IF(Skills!E14=TRUE,Inputs!$B$33,0))))+1)),0)</f>
        <v/>
      </c>
      <c r="S553">
        <f>IFERROR(O553/N553,0)</f>
        <v/>
      </c>
      <c r="T553" t="n">
        <v>0</v>
      </c>
      <c r="V553" t="n">
        <v>0</v>
      </c>
    </row>
    <row r="554">
      <c r="A554">
        <f>Skills!A15</f>
        <v/>
      </c>
      <c r="B554">
        <f>Skills!B15</f>
        <v/>
      </c>
      <c r="C554">
        <f>Inputs!$B$3&gt;=66</f>
        <v/>
      </c>
      <c r="D554">
        <f>IF(Skills!C15=1,60+Inputs!$B$26+Inputs!$B$30,IF(Skills!C15=2,90+Inputs!$B$27+Inputs!$B$30,IF(Skills!C15=3,120+Inputs!$B$28+Inputs!$B$30,MAX(0,(Inputs!$B$3-100)*3)+Inputs!$B$29+Inputs!$B$30)))</f>
        <v/>
      </c>
      <c r="E554">
        <f>INDEX(FactorTable!$B$2:$Y$301, MATCH(ROUND(MIN(300,MAX(1,D554)),0), FactorTable!$A$2:$A$301,0), Skills!M15+1)</f>
        <v/>
      </c>
      <c r="F554">
        <f>IF(Skills!N15=TRUE,(Skills!L15/10)*(E554/1000),Skills!L15/10)+Skills!O15</f>
        <v/>
      </c>
      <c r="G554">
        <f>Skills!G15*IF(Skills!H15&gt;0,Skills!I15/Skills!H15,1)</f>
        <v/>
      </c>
      <c r="H554">
        <f>1-(1-Skills!J15/100)^Skills!K15</f>
        <v/>
      </c>
      <c r="I554" t="inlineStr">
        <is>
          <t>1</t>
        </is>
      </c>
      <c r="J554" t="inlineStr"/>
      <c r="K554" t="inlineStr"/>
      <c r="L554" t="inlineStr"/>
      <c r="M554" t="inlineStr"/>
      <c r="N554" t="inlineStr"/>
      <c r="O554">
        <f>(1-Summary!$B$55)*T554+Summary!$B$55*V554</f>
        <v/>
      </c>
      <c r="P554">
        <f>IF(B578=0,0,O554/B578)</f>
        <v/>
      </c>
      <c r="Q554">
        <f>IFERROR(1/IF(Inputs!$B$39="pvp",15,MAX(0.1,Skills!D15-IF(Skills!E15=TRUE,Inputs!$B$33,0))),0)</f>
        <v/>
      </c>
      <c r="R554">
        <f>IF(AND(Inputs!$B$39&lt;&gt;"pvp",Inputs!$B$44&gt;0),IF(Inputs!$B$44&lt;=0,0,(INT(Inputs!$B$44/IF(Inputs!$B$39="pvp",15,MAX(0.1,Skills!D15-IF(Skills!E15=TRUE,Inputs!$B$33,0))))+1)),0)</f>
        <v/>
      </c>
      <c r="S554">
        <f>IFERROR(O554/N554,0)</f>
        <v/>
      </c>
      <c r="T554" t="n">
        <v>0</v>
      </c>
      <c r="V554" t="n">
        <v>0</v>
      </c>
    </row>
    <row r="555">
      <c r="A555">
        <f>Skills!A16</f>
        <v/>
      </c>
      <c r="B555">
        <f>Skills!B16</f>
        <v/>
      </c>
      <c r="C555">
        <f>Inputs!$B$3&gt;=45</f>
        <v/>
      </c>
      <c r="D555">
        <f>IF(Skills!C16=1,60+Inputs!$B$26+Inputs!$B$30,IF(Skills!C16=2,90+Inputs!$B$27+Inputs!$B$30,IF(Skills!C16=3,120+Inputs!$B$28+Inputs!$B$30,MAX(0,(Inputs!$B$3-100)*3)+Inputs!$B$29+Inputs!$B$30)))</f>
        <v/>
      </c>
      <c r="E555">
        <f>INDEX(FactorTable!$B$2:$Y$301, MATCH(ROUND(MIN(300,MAX(1,D555)),0), FactorTable!$A$2:$A$301,0), Skills!M16+1)</f>
        <v/>
      </c>
      <c r="F555">
        <f>IF(Skills!N16=TRUE,(Skills!L16/10)*(E555/1000),Skills!L16/10)+Skills!O16</f>
        <v/>
      </c>
      <c r="G555">
        <f>Skills!G16*IF(Skills!H16&gt;0,Skills!I16/Skills!H16,1)</f>
        <v/>
      </c>
      <c r="H555">
        <f>1-(1-Skills!J16/100)^Skills!K16</f>
        <v/>
      </c>
      <c r="I555" t="inlineStr">
        <is>
          <t>1</t>
        </is>
      </c>
      <c r="J555" t="inlineStr"/>
      <c r="K555" t="inlineStr"/>
      <c r="L555" t="inlineStr"/>
      <c r="M555" t="inlineStr"/>
      <c r="N555" t="inlineStr"/>
      <c r="O555">
        <f>(1-Summary!$B$55)*T555+Summary!$B$55*V555</f>
        <v/>
      </c>
      <c r="P555">
        <f>IF(B578=0,0,O555/B578)</f>
        <v/>
      </c>
      <c r="Q555">
        <f>IFERROR(1/IF(Inputs!$B$39="pvp",15,MAX(0.1,Skills!D16-IF(Skills!E16=TRUE,Inputs!$B$33,0))),0)</f>
        <v/>
      </c>
      <c r="R555">
        <f>IF(AND(Inputs!$B$39&lt;&gt;"pvp",Inputs!$B$44&gt;0),IF(Inputs!$B$44&lt;=0,0,(INT(Inputs!$B$44/IF(Inputs!$B$39="pvp",15,MAX(0.1,Skills!D16-IF(Skills!E16=TRUE,Inputs!$B$33,0))))+1)),0)</f>
        <v/>
      </c>
      <c r="S555">
        <f>IFERROR(O555/N555,0)</f>
        <v/>
      </c>
      <c r="T555" t="n">
        <v>0</v>
      </c>
      <c r="V555" t="n">
        <v>0</v>
      </c>
    </row>
    <row r="556">
      <c r="A556">
        <f>Skills!A17</f>
        <v/>
      </c>
      <c r="B556">
        <f>Skills!B17</f>
        <v/>
      </c>
      <c r="C556">
        <f>Inputs!$B$3&gt;=35</f>
        <v/>
      </c>
      <c r="D556">
        <f>IF(Skills!C17=1,60+Inputs!$B$26+Inputs!$B$30,IF(Skills!C17=2,90+Inputs!$B$27+Inputs!$B$30,IF(Skills!C17=3,120+Inputs!$B$28+Inputs!$B$30,MAX(0,(Inputs!$B$3-100)*3)+Inputs!$B$29+Inputs!$B$30)))</f>
        <v/>
      </c>
      <c r="E556">
        <f>INDEX(FactorTable!$B$2:$Y$301, MATCH(ROUND(MIN(300,MAX(1,D556)),0), FactorTable!$A$2:$A$301,0), Skills!M17+1)</f>
        <v/>
      </c>
      <c r="F556">
        <f>IF(Skills!N17=TRUE,(Skills!L17/10)*(E556/1000),Skills!L17/10)+Skills!O17</f>
        <v/>
      </c>
      <c r="G556">
        <f>Skills!G17*IF(Skills!H17&gt;0,Skills!I17/Skills!H17,1)</f>
        <v/>
      </c>
      <c r="H556">
        <f>1-(1-Skills!J17/100)^Skills!K17</f>
        <v/>
      </c>
      <c r="I556" t="inlineStr">
        <is>
          <t>1</t>
        </is>
      </c>
      <c r="J556" t="inlineStr"/>
      <c r="K556" t="inlineStr"/>
      <c r="L556" t="inlineStr"/>
      <c r="M556" t="inlineStr"/>
      <c r="N556" t="inlineStr"/>
      <c r="O556">
        <f>(1-Summary!$B$55)*T556+Summary!$B$55*V556</f>
        <v/>
      </c>
      <c r="P556">
        <f>IF(B578=0,0,O556/B578)</f>
        <v/>
      </c>
      <c r="Q556">
        <f>IFERROR(1/IF(Inputs!$B$39="pvp",15,MAX(0.1,Skills!D17-IF(Skills!E17=TRUE,Inputs!$B$33,0))),0)</f>
        <v/>
      </c>
      <c r="R556">
        <f>IF(AND(Inputs!$B$39&lt;&gt;"pvp",Inputs!$B$44&gt;0),IF(Inputs!$B$44&lt;=0,0,(INT(Inputs!$B$44/IF(Inputs!$B$39="pvp",15,MAX(0.1,Skills!D17-IF(Skills!E17=TRUE,Inputs!$B$33,0))))+1)),0)</f>
        <v/>
      </c>
      <c r="S556">
        <f>IFERROR(O556/N556,0)</f>
        <v/>
      </c>
      <c r="T556" t="n">
        <v>0</v>
      </c>
      <c r="V556" t="n">
        <v>0</v>
      </c>
    </row>
    <row r="557">
      <c r="A557">
        <f>Skills!A18</f>
        <v/>
      </c>
      <c r="B557">
        <f>Skills!B18</f>
        <v/>
      </c>
      <c r="C557">
        <f>Inputs!$B$3&gt;=72</f>
        <v/>
      </c>
      <c r="D557">
        <f>IF(Skills!C18=1,60+Inputs!$B$26+Inputs!$B$30,IF(Skills!C18=2,90+Inputs!$B$27+Inputs!$B$30,IF(Skills!C18=3,120+Inputs!$B$28+Inputs!$B$30,MAX(0,(Inputs!$B$3-100)*3)+Inputs!$B$29+Inputs!$B$30)))</f>
        <v/>
      </c>
      <c r="E557">
        <f>INDEX(FactorTable!$B$2:$Y$301, MATCH(ROUND(MIN(300,MAX(1,D557)),0), FactorTable!$A$2:$A$301,0), Skills!M18+1)</f>
        <v/>
      </c>
      <c r="F557">
        <f>IF(Skills!N18=TRUE,(Skills!L18/10)*(E557/1000),Skills!L18/10)+Skills!O18</f>
        <v/>
      </c>
      <c r="G557">
        <f>Skills!G18*IF(Skills!H18&gt;0,Skills!I18/Skills!H18,1)</f>
        <v/>
      </c>
      <c r="H557">
        <f>1-(1-Skills!J18/100)^Skills!K18</f>
        <v/>
      </c>
      <c r="I557" t="inlineStr">
        <is>
          <t>1</t>
        </is>
      </c>
      <c r="J557" t="inlineStr"/>
      <c r="K557" t="inlineStr"/>
      <c r="L557" t="inlineStr"/>
      <c r="M557" t="inlineStr"/>
      <c r="N557" t="inlineStr"/>
      <c r="O557">
        <f>(1-Summary!$B$55)*T557+Summary!$B$55*V557</f>
        <v/>
      </c>
      <c r="P557">
        <f>IF(B578=0,0,O557/B578)</f>
        <v/>
      </c>
      <c r="Q557">
        <f>IFERROR(1/IF(Inputs!$B$39="pvp",15,MAX(0.1,Skills!D18-IF(Skills!E18=TRUE,Inputs!$B$33,0))),0)</f>
        <v/>
      </c>
      <c r="R557">
        <f>IF(AND(Inputs!$B$39&lt;&gt;"pvp",Inputs!$B$44&gt;0),IF(Inputs!$B$44&lt;=0,0,(INT(Inputs!$B$44/IF(Inputs!$B$39="pvp",15,MAX(0.1,Skills!D18-IF(Skills!E18=TRUE,Inputs!$B$33,0))))+1)),0)</f>
        <v/>
      </c>
      <c r="S557">
        <f>IFERROR(O557/N557,0)</f>
        <v/>
      </c>
      <c r="T557" t="n">
        <v>0</v>
      </c>
      <c r="V557" t="n">
        <v>0</v>
      </c>
    </row>
    <row r="558">
      <c r="A558">
        <f>Skills!A19</f>
        <v/>
      </c>
      <c r="B558">
        <f>Skills!B19</f>
        <v/>
      </c>
      <c r="C558">
        <f>Inputs!$B$3&gt;=72</f>
        <v/>
      </c>
      <c r="D558">
        <f>IF(Skills!C19=1,60+Inputs!$B$26+Inputs!$B$30,IF(Skills!C19=2,90+Inputs!$B$27+Inputs!$B$30,IF(Skills!C19=3,120+Inputs!$B$28+Inputs!$B$30,MAX(0,(Inputs!$B$3-100)*3)+Inputs!$B$29+Inputs!$B$30)))</f>
        <v/>
      </c>
      <c r="E558">
        <f>INDEX(FactorTable!$B$2:$Y$301, MATCH(ROUND(MIN(300,MAX(1,D558)),0), FactorTable!$A$2:$A$301,0), Skills!M19+1)</f>
        <v/>
      </c>
      <c r="F558">
        <f>IF(Skills!N19=TRUE,(Skills!L19/10)*(E558/1000),Skills!L19/10)+Skills!O19</f>
        <v/>
      </c>
      <c r="G558">
        <f>Skills!G19*IF(Skills!H19&gt;0,Skills!I19/Skills!H19,1)</f>
        <v/>
      </c>
      <c r="H558">
        <f>1-(1-Skills!J19/100)^Skills!K19</f>
        <v/>
      </c>
      <c r="I558" t="inlineStr">
        <is>
          <t>1</t>
        </is>
      </c>
      <c r="J558" t="inlineStr"/>
      <c r="K558" t="inlineStr"/>
      <c r="L558" t="inlineStr"/>
      <c r="M558" t="inlineStr"/>
      <c r="N558" t="inlineStr"/>
      <c r="O558">
        <f>(1-Summary!$B$55)*T558+Summary!$B$55*V558</f>
        <v/>
      </c>
      <c r="P558">
        <f>IF(B578=0,0,O558/B578)</f>
        <v/>
      </c>
      <c r="Q558">
        <f>IFERROR(1/IF(Inputs!$B$39="pvp",15,MAX(0.1,Skills!D19-IF(Skills!E19=TRUE,Inputs!$B$33,0))),0)</f>
        <v/>
      </c>
      <c r="R558">
        <f>IF(AND(Inputs!$B$39&lt;&gt;"pvp",Inputs!$B$44&gt;0),IF(Inputs!$B$44&lt;=0,0,(INT(Inputs!$B$44/IF(Inputs!$B$39="pvp",15,MAX(0.1,Skills!D19-IF(Skills!E19=TRUE,Inputs!$B$33,0))))+1)),0)</f>
        <v/>
      </c>
      <c r="S558">
        <f>IFERROR(O558/N558,0)</f>
        <v/>
      </c>
      <c r="T558" t="n">
        <v>0</v>
      </c>
      <c r="V558" t="n">
        <v>0</v>
      </c>
    </row>
    <row r="559">
      <c r="A559">
        <f>Skills!A20</f>
        <v/>
      </c>
      <c r="B559">
        <f>Skills!B20</f>
        <v/>
      </c>
      <c r="C559">
        <f>TRUE</f>
        <v/>
      </c>
      <c r="D559">
        <f>IF(Skills!C20=1,60+Inputs!$B$26+Inputs!$B$30,IF(Skills!C20=2,90+Inputs!$B$27+Inputs!$B$30,IF(Skills!C20=3,120+Inputs!$B$28+Inputs!$B$30,MAX(0,(Inputs!$B$3-100)*3)+Inputs!$B$29+Inputs!$B$30)))</f>
        <v/>
      </c>
      <c r="E559">
        <f>INDEX(FactorTable!$B$2:$Y$301, MATCH(ROUND(MIN(300,MAX(1,D559)),0), FactorTable!$A$2:$A$301,0), Skills!M20+1)</f>
        <v/>
      </c>
      <c r="F559">
        <f>IF(Skills!N20=TRUE,(Skills!L20/10)*(E559/1000),Skills!L20/10)+Skills!O20</f>
        <v/>
      </c>
      <c r="G559">
        <f>Skills!G20*IF(Skills!H20&gt;0,Skills!I20/Skills!H20,1)</f>
        <v/>
      </c>
      <c r="H559">
        <f>1-(1-Skills!J20/100)^Skills!K20</f>
        <v/>
      </c>
      <c r="I559" t="inlineStr">
        <is>
          <t>1</t>
        </is>
      </c>
      <c r="J559" t="inlineStr"/>
      <c r="K559" t="inlineStr"/>
      <c r="L559" t="inlineStr"/>
      <c r="M559" t="inlineStr"/>
      <c r="N559" t="inlineStr"/>
      <c r="O559">
        <f>(1-Summary!$B$55)*T559+Summary!$B$55*V559</f>
        <v/>
      </c>
      <c r="P559">
        <f>IF(B578=0,0,O559/B578)</f>
        <v/>
      </c>
      <c r="Q559">
        <f>IFERROR(1/IF(Inputs!$B$39="pvp",15,MAX(0.1,Skills!D20-IF(Skills!E20=TRUE,Inputs!$B$33,0))),0)</f>
        <v/>
      </c>
      <c r="R559">
        <f>IF(AND(Inputs!$B$39&lt;&gt;"pvp",Inputs!$B$44&gt;0),IF(Inputs!$B$44&lt;=0,0,(INT(Inputs!$B$44/IF(Inputs!$B$39="pvp",15,MAX(0.1,Skills!D20-IF(Skills!E20=TRUE,Inputs!$B$33,0))))+1)),0)</f>
        <v/>
      </c>
      <c r="S559">
        <f>IFERROR(O559/N559,0)</f>
        <v/>
      </c>
      <c r="T559" t="n">
        <v>0</v>
      </c>
      <c r="V559" t="n">
        <v>0</v>
      </c>
    </row>
    <row r="560">
      <c r="A560">
        <f>Skills!A21</f>
        <v/>
      </c>
      <c r="B560">
        <f>Skills!B21</f>
        <v/>
      </c>
      <c r="C560">
        <f>Inputs!$B$3&gt;=33</f>
        <v/>
      </c>
      <c r="D560">
        <f>IF(Skills!C21=1,60+Inputs!$B$26+Inputs!$B$30,IF(Skills!C21=2,90+Inputs!$B$27+Inputs!$B$30,IF(Skills!C21=3,120+Inputs!$B$28+Inputs!$B$30,MAX(0,(Inputs!$B$3-100)*3)+Inputs!$B$29+Inputs!$B$30)))</f>
        <v/>
      </c>
      <c r="E560">
        <f>INDEX(FactorTable!$B$2:$Y$301, MATCH(ROUND(MIN(300,MAX(1,D560)),0), FactorTable!$A$2:$A$301,0), Skills!M21+1)</f>
        <v/>
      </c>
      <c r="F560">
        <f>IF(Skills!N21=TRUE,(Skills!L21/10)*(E560/1000),Skills!L21/10)+Skills!O21</f>
        <v/>
      </c>
      <c r="G560">
        <f>Skills!G21*IF(Skills!H21&gt;0,Skills!I21/Skills!H21,1)</f>
        <v/>
      </c>
      <c r="H560">
        <f>1-(1-Skills!J21/100)^Skills!K21</f>
        <v/>
      </c>
      <c r="I560" t="inlineStr">
        <is>
          <t>1</t>
        </is>
      </c>
      <c r="J560" t="inlineStr"/>
      <c r="K560" t="inlineStr"/>
      <c r="L560" t="inlineStr"/>
      <c r="M560" t="inlineStr"/>
      <c r="N560" t="inlineStr"/>
      <c r="O560">
        <f>(1-Summary!$B$55)*T560+Summary!$B$55*V560</f>
        <v/>
      </c>
      <c r="P560">
        <f>IF(B578=0,0,O560/B578)</f>
        <v/>
      </c>
      <c r="Q560" t="n">
        <v>0</v>
      </c>
      <c r="R560" t="n">
        <v>0</v>
      </c>
      <c r="S560">
        <f>IFERROR(O560/N560,0)</f>
        <v/>
      </c>
      <c r="T560" t="n">
        <v>0</v>
      </c>
      <c r="V560" t="n">
        <v>0</v>
      </c>
    </row>
    <row r="561">
      <c r="A561">
        <f>Skills!A22</f>
        <v/>
      </c>
      <c r="B561">
        <f>Skills!B22</f>
        <v/>
      </c>
      <c r="C561">
        <f>Inputs!$B$3&gt;=43</f>
        <v/>
      </c>
      <c r="D561">
        <f>IF(Skills!C22=1,60+Inputs!$B$26+Inputs!$B$30,IF(Skills!C22=2,90+Inputs!$B$27+Inputs!$B$30,IF(Skills!C22=3,120+Inputs!$B$28+Inputs!$B$30,MAX(0,(Inputs!$B$3-100)*3)+Inputs!$B$29+Inputs!$B$30)))</f>
        <v/>
      </c>
      <c r="E561">
        <f>INDEX(FactorTable!$B$2:$Y$301, MATCH(ROUND(MIN(300,MAX(1,D561)),0), FactorTable!$A$2:$A$301,0), Skills!M22+1)</f>
        <v/>
      </c>
      <c r="F561">
        <f>IF(Skills!N22=TRUE,(Skills!L22/10)*(E561/1000),Skills!L22/10)+Skills!O22</f>
        <v/>
      </c>
      <c r="G561">
        <f>Skills!G22*IF(Skills!H22&gt;0,Skills!I22/Skills!H22,1)</f>
        <v/>
      </c>
      <c r="H561">
        <f>1-(1-Skills!J22/100)^Skills!K22</f>
        <v/>
      </c>
      <c r="I561" t="inlineStr">
        <is>
          <t>1</t>
        </is>
      </c>
      <c r="J561" t="inlineStr"/>
      <c r="K561" t="inlineStr"/>
      <c r="L561" t="inlineStr"/>
      <c r="M561" t="inlineStr"/>
      <c r="N561" t="inlineStr"/>
      <c r="O561">
        <f>(1-Summary!$B$55)*T561+Summary!$B$55*V561</f>
        <v/>
      </c>
      <c r="P561">
        <f>IF(B578=0,0,O561/B578)</f>
        <v/>
      </c>
      <c r="Q561" t="n">
        <v>0</v>
      </c>
      <c r="R561" t="n">
        <v>0</v>
      </c>
      <c r="S561">
        <f>IFERROR(O561/N561,0)</f>
        <v/>
      </c>
      <c r="T561" t="n">
        <v>0</v>
      </c>
      <c r="V561" t="n">
        <v>0</v>
      </c>
    </row>
    <row r="562">
      <c r="A562">
        <f>Skills!A23</f>
        <v/>
      </c>
      <c r="B562">
        <f>Skills!B23</f>
        <v/>
      </c>
      <c r="C562">
        <f>Inputs!$B$3&gt;=120</f>
        <v/>
      </c>
      <c r="D562">
        <f>IF(Skills!C23=1,60+Inputs!$B$26+Inputs!$B$30,IF(Skills!C23=2,90+Inputs!$B$27+Inputs!$B$30,IF(Skills!C23=3,120+Inputs!$B$28+Inputs!$B$30,MAX(0,(Inputs!$B$3-100)*3)+Inputs!$B$29+Inputs!$B$30)))</f>
        <v/>
      </c>
      <c r="E562">
        <f>INDEX(FactorTable!$B$2:$Y$301, MATCH(ROUND(MIN(300,MAX(1,D562)),0), FactorTable!$A$2:$A$301,0), Skills!M23+1)</f>
        <v/>
      </c>
      <c r="F562">
        <f>IF(Skills!N23=TRUE,(Skills!L23/10)*(E562/1000),Skills!L23/10)+Skills!O23</f>
        <v/>
      </c>
      <c r="G562">
        <f>Skills!G23*IF(Skills!H23&gt;0,Skills!I23/Skills!H23,1)</f>
        <v/>
      </c>
      <c r="H562">
        <f>1-(1-Skills!J23/100)^Skills!K23</f>
        <v/>
      </c>
      <c r="I562" t="inlineStr">
        <is>
          <t>1</t>
        </is>
      </c>
      <c r="J562" t="inlineStr"/>
      <c r="K562" t="inlineStr"/>
      <c r="L562" t="inlineStr"/>
      <c r="M562" t="inlineStr"/>
      <c r="N562" t="inlineStr"/>
      <c r="O562">
        <f>(1-Summary!$B$55)*T562+Summary!$B$55*V562</f>
        <v/>
      </c>
      <c r="P562">
        <f>IF(B578=0,0,O562/B578)</f>
        <v/>
      </c>
      <c r="Q562" t="n">
        <v>0</v>
      </c>
      <c r="R562" t="n">
        <v>0</v>
      </c>
      <c r="S562">
        <f>IFERROR(O562/N562,0)</f>
        <v/>
      </c>
      <c r="T562" t="n">
        <v>0</v>
      </c>
      <c r="V562" t="n">
        <v>0</v>
      </c>
    </row>
    <row r="563">
      <c r="A563">
        <f>Skills!A24</f>
        <v/>
      </c>
      <c r="B563">
        <f>Skills!B24</f>
        <v/>
      </c>
      <c r="C563">
        <f>Inputs!$B$3&gt;=120</f>
        <v/>
      </c>
      <c r="D563">
        <f>IF(Skills!C24=1,60+Inputs!$B$26+Inputs!$B$30,IF(Skills!C24=2,90+Inputs!$B$27+Inputs!$B$30,IF(Skills!C24=3,120+Inputs!$B$28+Inputs!$B$30,MAX(0,(Inputs!$B$3-100)*3)+Inputs!$B$29+Inputs!$B$30)))</f>
        <v/>
      </c>
      <c r="E563">
        <f>INDEX(FactorTable!$B$2:$Y$301, MATCH(ROUND(MIN(300,MAX(1,D563)),0), FactorTable!$A$2:$A$301,0), Skills!M24+1)</f>
        <v/>
      </c>
      <c r="F563">
        <f>IF(Skills!N24=TRUE,(Skills!L24/10)*(E563/1000),Skills!L24/10)+Skills!O24</f>
        <v/>
      </c>
      <c r="G563">
        <f>Skills!G24*IF(Skills!H24&gt;0,Skills!I24/Skills!H24,1)</f>
        <v/>
      </c>
      <c r="H563">
        <f>1-(1-Skills!J24/100)^Skills!K24</f>
        <v/>
      </c>
      <c r="I563" t="inlineStr">
        <is>
          <t>1</t>
        </is>
      </c>
      <c r="J563" t="inlineStr"/>
      <c r="K563" t="inlineStr"/>
      <c r="L563" t="inlineStr"/>
      <c r="M563" t="inlineStr"/>
      <c r="N563" t="inlineStr"/>
      <c r="O563">
        <f>(1-Summary!$B$55)*T563+Summary!$B$55*V563</f>
        <v/>
      </c>
      <c r="P563">
        <f>IF(B578=0,0,O563/B578)</f>
        <v/>
      </c>
      <c r="Q563" t="n">
        <v>0</v>
      </c>
      <c r="R563" t="n">
        <v>0</v>
      </c>
      <c r="S563">
        <f>IFERROR(O563/N563,0)</f>
        <v/>
      </c>
      <c r="T563" t="n">
        <v>0</v>
      </c>
      <c r="V563" t="n">
        <v>0</v>
      </c>
    </row>
    <row r="564">
      <c r="A564">
        <f>Skills!A25</f>
        <v/>
      </c>
      <c r="B564">
        <f>Skills!B25</f>
        <v/>
      </c>
      <c r="C564">
        <f>Inputs!$B$3&gt;=125</f>
        <v/>
      </c>
      <c r="D564">
        <f>IF(Skills!C25=1,60+Inputs!$B$26+Inputs!$B$30,IF(Skills!C25=2,90+Inputs!$B$27+Inputs!$B$30,IF(Skills!C25=3,120+Inputs!$B$28+Inputs!$B$30,MAX(0,(Inputs!$B$3-100)*3)+Inputs!$B$29+Inputs!$B$30)))</f>
        <v/>
      </c>
      <c r="E564">
        <f>INDEX(FactorTable!$B$2:$Y$301, MATCH(ROUND(MIN(300,MAX(1,D564)),0), FactorTable!$A$2:$A$301,0), Skills!M25+1)</f>
        <v/>
      </c>
      <c r="F564">
        <f>IF(Skills!N25=TRUE,(Skills!L25/10)*(E564/1000),Skills!L25/10)+Skills!O25</f>
        <v/>
      </c>
      <c r="G564">
        <f>Skills!G25*IF(Skills!H25&gt;0,Skills!I25/Skills!H25,1)</f>
        <v/>
      </c>
      <c r="H564">
        <f>1-(1-Skills!J25/100)^Skills!K25</f>
        <v/>
      </c>
      <c r="I564" t="inlineStr">
        <is>
          <t>1</t>
        </is>
      </c>
      <c r="J564" t="inlineStr"/>
      <c r="K564" t="inlineStr"/>
      <c r="L564" t="inlineStr"/>
      <c r="M564" t="inlineStr"/>
      <c r="N564" t="inlineStr"/>
      <c r="O564">
        <f>(1-Summary!$B$55)*T564+Summary!$B$55*V564</f>
        <v/>
      </c>
      <c r="P564">
        <f>IF(B578=0,0,O564/B578)</f>
        <v/>
      </c>
      <c r="Q564" t="n">
        <v>0</v>
      </c>
      <c r="R564" t="n">
        <v>0</v>
      </c>
      <c r="S564">
        <f>IFERROR(O564/N564,0)</f>
        <v/>
      </c>
      <c r="T564" t="n">
        <v>0</v>
      </c>
      <c r="V564" t="n">
        <v>0</v>
      </c>
    </row>
    <row r="565">
      <c r="A565">
        <f>Skills!A26</f>
        <v/>
      </c>
      <c r="B565">
        <f>Skills!B26</f>
        <v/>
      </c>
      <c r="C565">
        <f>Inputs!$B$3&gt;=107</f>
        <v/>
      </c>
      <c r="D565">
        <f>IF(Skills!C26=1,60+Inputs!$B$26+Inputs!$B$30,IF(Skills!C26=2,90+Inputs!$B$27+Inputs!$B$30,IF(Skills!C26=3,120+Inputs!$B$28+Inputs!$B$30,MAX(0,(Inputs!$B$3-100)*3)+Inputs!$B$29+Inputs!$B$30)))</f>
        <v/>
      </c>
      <c r="E565">
        <f>INDEX(FactorTable!$B$2:$Y$301, MATCH(ROUND(MIN(300,MAX(1,D565)),0), FactorTable!$A$2:$A$301,0), Skills!M26+1)</f>
        <v/>
      </c>
      <c r="F565">
        <f>IF(Skills!N26=TRUE,(Skills!L26/10)*(E565/1000),Skills!L26/10)+Skills!O26</f>
        <v/>
      </c>
      <c r="G565">
        <f>Skills!G26*IF(Skills!H26&gt;0,Skills!I26/Skills!H26,1)</f>
        <v/>
      </c>
      <c r="H565">
        <f>1-(1-Skills!J26/100)^Skills!K26</f>
        <v/>
      </c>
      <c r="I565" t="inlineStr">
        <is>
          <t>1</t>
        </is>
      </c>
      <c r="J565" t="inlineStr"/>
      <c r="K565" t="inlineStr"/>
      <c r="L565" t="inlineStr"/>
      <c r="M565" t="inlineStr"/>
      <c r="N565" t="inlineStr"/>
      <c r="O565">
        <f>(1-Summary!$B$55)*T565+Summary!$B$55*V565</f>
        <v/>
      </c>
      <c r="P565">
        <f>IF(B578=0,0,O565/B578)</f>
        <v/>
      </c>
      <c r="Q565" t="n">
        <v>0</v>
      </c>
      <c r="R565" t="n">
        <v>0</v>
      </c>
      <c r="S565">
        <f>IFERROR(O565/N565,0)</f>
        <v/>
      </c>
      <c r="T565" t="n">
        <v>0</v>
      </c>
      <c r="V565" t="n">
        <v>0</v>
      </c>
    </row>
    <row r="567">
      <c r="A567" t="inlineStr">
        <is>
          <t>Attack% Bucket Multiplier</t>
        </is>
      </c>
      <c r="B567">
        <f>(1+(((C552=TRUE)*F552*IF(AND(Inputs!$B$39&lt;&gt;"pvp",Inputs!$B$44&gt;0),(((R552-1)*(Skills!T13*(1+Inputs!$B$35/100))+MIN((Skills!T13*(1+Inputs!$B$35/100)),MAX(0,Inputs!$B$44-((R552-1)*Skills!D13))))/Inputs!$B$44),IF(Inputs!$B$39="pvp",MIN((Skills!T13*(1+Inputs!$B$35/100)),15)/15,(Skills!T13*(1+Inputs!$B$35/100))/Skills!D13)))+((C553=TRUE)*F553*IF(AND(Inputs!$B$39&lt;&gt;"pvp",Inputs!$B$44&gt;0),(((R553-1)*(Skills!T14*(1+Inputs!$B$35/100))+MIN((Skills!T14*(1+Inputs!$B$35/100)),MAX(0,Inputs!$B$44-((R553-1)*Skills!D14))))/Inputs!$B$44),IF(Inputs!$B$39="pvp",MIN((Skills!T14*(1+Inputs!$B$35/100)),15)/15,(Skills!T14*(1+Inputs!$B$35/100))/Skills!D14)))+((C554=TRUE)*F554*IF(AND(Inputs!$B$39&lt;&gt;"pvp",Inputs!$B$44&gt;0),(((R554-1)*(Skills!T15*(1+Inputs!$B$35/100))+MIN((Skills!T15*(1+Inputs!$B$35/100)),MAX(0,Inputs!$B$44-((R554-1)*Skills!D15))))/Inputs!$B$44),IF(Inputs!$B$39="pvp",MIN((Skills!T15*(1+Inputs!$B$35/100)),15)/15,(Skills!T15*(1+Inputs!$B$35/100))/Skills!D15)))+((C555=TRUE)*F555*IF(AND(Inputs!$B$39&lt;&gt;"pvp",Inputs!$B$44&gt;0),(((R555-1)*(Skills!T16*(1+Inputs!$B$35/100))+MIN((Skills!T16*(1+Inputs!$B$35/100)),MAX(0,Inputs!$B$44-((R555-1)*Skills!D16))))/Inputs!$B$44),IF(Inputs!$B$39="pvp",MIN((Skills!T16*(1+Inputs!$B$35/100)),15)/15,(Skills!T16*(1+Inputs!$B$35/100))/Skills!D16)))+0)/100)</f>
        <v/>
      </c>
    </row>
    <row r="568">
      <c r="A568" t="inlineStr">
        <is>
          <t>Global Crit Rate Bonus % (Lord of Darkness)</t>
        </is>
      </c>
      <c r="B568">
        <f>((C557=TRUE)*F557*(Skills!J18/100)*IF(AND(Inputs!$B$39&lt;&gt;"pvp",Inputs!$B$44&gt;0),(((R557-1)*(Skills!T18*(1+Inputs!$B$35/100))+MIN((Skills!T18*(1+Inputs!$B$35/100)),MAX(0,Inputs!$B$44-((R557-1)*Skills!D18))))/Inputs!$B$44),IF(Inputs!$B$39="pvp",MIN((Skills!T18*(1+Inputs!$B$35/100)),15)/15,(Skills!T18*(1+Inputs!$B$35/100))/Skills!D18)))</f>
        <v/>
      </c>
    </row>
    <row r="569">
      <c r="A569" t="inlineStr">
        <is>
          <t>Attack Speed Buff Bonus %</t>
        </is>
      </c>
      <c r="B569">
        <f>((C559=TRUE)*F559*IF(AND(Inputs!$B$39&lt;&gt;"pvp",Inputs!$B$44&gt;0),(((R559-1)*(Skills!T20*(1+Inputs!$B$35/100))+MIN((Skills!T20*(1+Inputs!$B$35/100)),MAX(0,Inputs!$B$44-((R559-1)*Skills!D20))))/Inputs!$B$44),IF(Inputs!$B$39="pvp",MIN((Skills!T20*(1+Inputs!$B$35/100)),15)/15,(Skills!T20*(1+Inputs!$B$35/100))/Skills!D20)))</f>
        <v/>
      </c>
    </row>
    <row r="570">
      <c r="A570" t="inlineStr">
        <is>
          <t>Actions Per Second</t>
        </is>
      </c>
      <c r="B570">
        <f>1+MIN(150,150*(1-(1-(Inputs!$B$12+((C560=TRUE)*(F560-Calc!F21)))/150)*(1-B569/150)))/100</f>
        <v/>
      </c>
    </row>
    <row r="571">
      <c r="A571" t="inlineStr">
        <is>
          <t>Skill + Buff Cast Rate</t>
        </is>
      </c>
      <c r="B571">
        <f>IF(AND(Inputs!$B$39&lt;&gt;"pvp",Inputs!$B$44&gt;0),SUMPRODUCT((Skills!E2:E26=TRUE)*(C541:C565=TRUE)*R541:R565*Skills!F2:F26)/Inputs!$B$44,SUMPRODUCT((Skills!E2:E26=TRUE)*(C541:C565=TRUE)*Q541:Q565*Skills!F2:F26))</f>
        <v/>
      </c>
    </row>
    <row r="572">
      <c r="A572" t="inlineStr">
        <is>
          <t>Dark Impale Casts Per Second</t>
        </is>
      </c>
      <c r="B572">
        <f>MAX(0,B570-B571)</f>
        <v/>
      </c>
    </row>
    <row r="573">
      <c r="A573" t="inlineStr">
        <is>
          <t>Global Critical Damage Bonus % (Lord of Darkness)</t>
        </is>
      </c>
      <c r="B573">
        <f>((C558=TRUE)*F558*(Skills!J19/100)*IF(AND(Inputs!$B$39&lt;&gt;"pvp",Inputs!$B$44&gt;0),(((R558-1)*(Skills!T19*(1+Inputs!$B$35/100))+MIN((Skills!T19*(1+Inputs!$B$35/100)),MAX(0,Inputs!$B$44-((R558-1)*Skills!D19))))/Inputs!$B$44),IF(Inputs!$B$39="pvp",MIN((Skills!T19*(1+Inputs!$B$35/100)),15)/15,(Skills!T19*(1+Inputs!$B$35/100))/Skills!D19)))</f>
        <v/>
      </c>
    </row>
    <row r="574">
      <c r="A574" t="inlineStr">
        <is>
          <t>Global Final Damage Bonus % (unused)</t>
        </is>
      </c>
      <c r="B574" t="n">
        <v>0</v>
      </c>
    </row>
    <row r="575">
      <c r="A575" t="inlineStr">
        <is>
          <t>Buff-Casting Startup Delay (s, fixed-duration only)</t>
        </is>
      </c>
      <c r="B575">
        <f>IF(AND(Inputs!$B$39&lt;&gt;"pvp",Inputs!$B$44&gt;0),SUMPRODUCT((Skills!T2:T26&gt;0)*(Skills!E2:E26=TRUE)*(C541:C565=TRUE))/B570,0)</f>
        <v/>
      </c>
    </row>
    <row r="576">
      <c r="A576" t="inlineStr">
        <is>
          <t>Boss-Only Total DPS (this block's swept value)</t>
        </is>
      </c>
      <c r="B576">
        <f>SUM(T541:T565)</f>
        <v/>
      </c>
    </row>
    <row r="577">
      <c r="A577" t="inlineStr">
        <is>
          <t>Normal-Only Total DPS (this block's swept value)</t>
        </is>
      </c>
      <c r="B577">
        <f>SUM(V541:V565)</f>
        <v/>
      </c>
    </row>
    <row r="578">
      <c r="A578" s="5" t="inlineStr">
        <is>
          <t>TOTAL DPS</t>
        </is>
      </c>
      <c r="B578" s="5">
        <f>SUM(O541:O565)</f>
        <v/>
      </c>
    </row>
    <row r="581">
      <c r="A581" s="5" t="inlineStr">
        <is>
          <t>Stat: CRIT_DAMAGE %</t>
        </is>
      </c>
    </row>
    <row r="582">
      <c r="A582" s="9" t="inlineStr">
        <is>
          <t>Key</t>
        </is>
      </c>
      <c r="B582" s="9" t="inlineStr">
        <is>
          <t>Name</t>
        </is>
      </c>
      <c r="C582" s="9" t="inlineStr">
        <is>
          <t>Unlocked</t>
        </is>
      </c>
      <c r="D582" s="9" t="inlineStr">
        <is>
          <t>InputLevel</t>
        </is>
      </c>
      <c r="E582" s="9" t="inlineStr">
        <is>
          <t>Factor</t>
        </is>
      </c>
      <c r="F582" s="9" t="inlineStr">
        <is>
          <t>CoefficientPercent</t>
        </is>
      </c>
      <c r="G582" s="9" t="inlineStr">
        <is>
          <t>EffectiveHits</t>
        </is>
      </c>
      <c r="H582" s="9" t="inlineStr">
        <is>
          <t>ProcProbability</t>
        </is>
      </c>
      <c r="I582" s="9" t="inlineStr">
        <is>
          <t>MapleHeroMultiplier</t>
        </is>
      </c>
      <c r="J582" s="9" t="inlineStr">
        <is>
          <t>BaseDamage</t>
        </is>
      </c>
      <c r="K582" s="9" t="inlineStr">
        <is>
          <t>BaseHitDamage</t>
        </is>
      </c>
      <c r="L582" s="9" t="inlineStr">
        <is>
          <t>NonCritAvg</t>
        </is>
      </c>
      <c r="M582" s="9" t="inlineStr">
        <is>
          <t>CritAvg</t>
        </is>
      </c>
      <c r="N582" s="9" t="inlineStr">
        <is>
          <t>ExpectedDamage(perHit)</t>
        </is>
      </c>
      <c r="O582" s="9" t="inlineStr">
        <is>
          <t>DPS</t>
        </is>
      </c>
      <c r="P582" s="9" t="inlineStr">
        <is>
          <t>% of Total</t>
        </is>
      </c>
      <c r="Q582" s="9" t="inlineStr">
        <is>
          <t>InvCooldown</t>
        </is>
      </c>
      <c r="R582" s="9" t="inlineStr">
        <is>
          <t>CastsInFight</t>
        </is>
      </c>
      <c r="S582" s="9" t="inlineStr">
        <is>
          <t>HitRate(perSec)</t>
        </is>
      </c>
      <c r="U582" t="inlineStr">
        <is>
          <t>helpers</t>
        </is>
      </c>
    </row>
    <row r="583">
      <c r="A583">
        <f>Skills!A2</f>
        <v/>
      </c>
      <c r="B583">
        <f>Skills!B2</f>
        <v/>
      </c>
      <c r="C583">
        <f>Inputs!$B$3&gt;=100</f>
        <v/>
      </c>
      <c r="D583" t="inlineStr"/>
      <c r="E583" t="inlineStr"/>
      <c r="F583">
        <f>U585+Skills!O2</f>
        <v/>
      </c>
      <c r="G583">
        <f>Skills!G2*IF(Skills!H2&gt;0,Skills!I2/Skills!H2,1)</f>
        <v/>
      </c>
      <c r="H583">
        <f>1-(1-Skills!J2/100)^Skills!K2</f>
        <v/>
      </c>
      <c r="I583" t="inlineStr">
        <is>
          <t>1</t>
        </is>
      </c>
      <c r="J583">
        <f>((Inputs!$B$6*(1+Inputs!$B$7/100))+(((Inputs!$B$13*(1+Inputs!$B$14/100))-(Inputs!$B$13*(1+Inputs!$B$14/100)))+0.25*(Inputs!$B$15-Inputs!$B$15))*(1+Inputs!$B$7/100))*(F583/100)</f>
        <v/>
      </c>
      <c r="K583">
        <f>J583*(1+(((Inputs!$B$13+IF(Inputs!$B$3&gt;=38,(10*INDEX(FactorTable!$B$2:$Y$301, MATCH(ROUND(MIN(300,MAX(1,Inputs!$B$3)),0), FactorTable!$A$2:$A$301,0), 23)/1000)/100*(Inputs!$B$8*(1+Inputs!$B$9/100)),0))*(1+Inputs!$B$14/100))*0.01+Inputs!$B$15*0.0025)/100)*(1+Inputs!$B$16/100)*(1+Inputs!$B$17/100)*(5000/(6000+Inputs!$B$43*(1-(Inputs!$B$20+0)/100)))*(1+(Inputs!$B$25+((C606=TRUE)*(F606-Calc!F25))+((C607=TRUE)*(F607-Calc!F26))+B616)/100)*(1+(IF(Skills!A2="DARK_IMPALE",Inputs!$B$18+0,Inputs!$B$19+((C604=TRUE)*(F604-Calc!F23))))/100)*((1+(((C594=TRUE)*F594*IF(AND(Inputs!$B$39&lt;&gt;"pvp",Inputs!$B$44&gt;0),(((R594-1)*(Skills!T13*(1+Inputs!$B$35/100))+MIN((Skills!T13*(1+Inputs!$B$35/100)),MAX(0,Inputs!$B$44-((R594-1)*Skills!D13))))/Inputs!$B$44),IF(Inputs!$B$39="pvp",MIN((Skills!T13*(1+Inputs!$B$35/100)),15)/15,(Skills!T13*(1+Inputs!$B$35/100))/Skills!D13)))+((C595=TRUE)*F595*IF(AND(Inputs!$B$39&lt;&gt;"pvp",Inputs!$B$44&gt;0),(((R595-1)*(Skills!T14*(1+Inputs!$B$35/100))+MIN((Skills!T14*(1+Inputs!$B$35/100)),MAX(0,Inputs!$B$44-((R595-1)*Skills!D14))))/Inputs!$B$44),IF(Inputs!$B$39="pvp",MIN((Skills!T14*(1+Inputs!$B$35/100)),15)/15,(Skills!T14*(1+Inputs!$B$35/100))/Skills!D14)))+((C596=TRUE)*F596*IF(AND(Inputs!$B$39&lt;&gt;"pvp",Inputs!$B$44&gt;0),(((R596-1)*(Skills!T15*(1+Inputs!$B$35/100))+MIN((Skills!T15*(1+Inputs!$B$35/100)),MAX(0,Inputs!$B$44-((R596-1)*Skills!D15))))/Inputs!$B$44),IF(Inputs!$B$39="pvp",MIN((Skills!T15*(1+Inputs!$B$35/100)),15)/15,(Skills!T15*(1+Inputs!$B$35/100))/Skills!D15)))+((C597=TRUE)*F597*IF(AND(Inputs!$B$39&lt;&gt;"pvp",Inputs!$B$44&gt;0),(((R597-1)*(Skills!T16*(1+Inputs!$B$35/100))+MIN((Skills!T16*(1+Inputs!$B$35/100)),MAX(0,Inputs!$B$44-((R597-1)*Skills!D16))))/Inputs!$B$44),IF(Inputs!$B$39="pvp",MIN((Skills!T16*(1+Inputs!$B$35/100)),15)/15,(Skills!T16*(1+Inputs!$B$35/100))/Skills!D16)))+0)/100)*I583)</f>
        <v/>
      </c>
      <c r="L583">
        <f>K583*(MIN(Inputs!$B$23+((C603=TRUE)*(F603-Calc!F22)),Inputs!$B$24+((C605=TRUE)*(F605-Calc!F24)))/100+(Inputs!$B$24+((C605=TRUE)*(F605-Calc!F24)))/100)/2</f>
        <v/>
      </c>
      <c r="M583">
        <f>L583*(1+((Inputs!$B$11+1)+0+B615)/100)</f>
        <v/>
      </c>
      <c r="N583">
        <f>L583*(1-MIN((Inputs!$B$10+0+B610),100)/100)+M583*(MIN((Inputs!$B$10+0+B610),100)/100)</f>
        <v/>
      </c>
      <c r="O583">
        <f>(1-Summary!$B$55)*T583+Summary!$B$55*V583</f>
        <v/>
      </c>
      <c r="P583">
        <f>IF(B620=0,0,O583/B620)</f>
        <v/>
      </c>
      <c r="Q583" t="n">
        <v>0</v>
      </c>
      <c r="R583" t="n">
        <v>0</v>
      </c>
      <c r="S583">
        <f>IFERROR(O583/N583,0)</f>
        <v/>
      </c>
      <c r="T583">
        <f>IF(C583,(Skills!G2*N583*B614)*IF(Inputs!$B$39="pvp",1,1+(Inputs!$B$21+0+Skills!P2+((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0)</f>
        <v/>
      </c>
      <c r="U583">
        <f>MAX(0,(Inputs!$B$3-100)*3)+Inputs!$B$29+Inputs!$B$30</f>
        <v/>
      </c>
      <c r="V583">
        <f>IF(C583,(Skills!G2*N583*B614)*IF(Inputs!$B$39="pvp",1,(1+(Inputs!$B$22+Skills!Q2+((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MIN((6+Inputs!$B$34),Inputs!$B$38))),0)</f>
        <v/>
      </c>
    </row>
    <row r="584">
      <c r="A584">
        <f>Skills!A3</f>
        <v/>
      </c>
      <c r="B584">
        <f>Skills!B3</f>
        <v/>
      </c>
      <c r="C584">
        <f>Inputs!$B$3&gt;=50</f>
        <v/>
      </c>
      <c r="D584">
        <f>IF(Skills!C3=1,60+Inputs!$B$26+Inputs!$B$30,IF(Skills!C3=2,90+Inputs!$B$27+Inputs!$B$30,IF(Skills!C3=3,120+Inputs!$B$28+Inputs!$B$30,MAX(0,(Inputs!$B$3-100)*3)+Inputs!$B$29+Inputs!$B$30)))</f>
        <v/>
      </c>
      <c r="E584">
        <f>INDEX(FactorTable!$B$2:$Y$301, MATCH(ROUND(MIN(300,MAX(1,D584)),0), FactorTable!$A$2:$A$301,0), Skills!M3+1)</f>
        <v/>
      </c>
      <c r="F584">
        <f>IF(Skills!N3=TRUE,(Skills!L3/10)*(E584/1000),Skills!L3/10)+Skills!O3</f>
        <v/>
      </c>
      <c r="G584" t="inlineStr"/>
      <c r="H584" t="inlineStr"/>
      <c r="I584" t="inlineStr">
        <is>
          <t>1</t>
        </is>
      </c>
      <c r="J584" t="inlineStr"/>
      <c r="K584" t="inlineStr"/>
      <c r="L584" t="inlineStr"/>
      <c r="M584" t="inlineStr"/>
      <c r="N584" t="inlineStr"/>
      <c r="O584" t="inlineStr"/>
      <c r="P584" t="inlineStr"/>
      <c r="Q584" t="inlineStr"/>
      <c r="R584" t="inlineStr"/>
      <c r="S584" t="inlineStr"/>
      <c r="U584">
        <f>INDEX(FactorTable!$B$2:$Y$301, MATCH(ROUND(MIN(300,MAX(1,U583)),0), FactorTable!$A$2:$A$301,0), 22)</f>
        <v/>
      </c>
    </row>
    <row r="585">
      <c r="A585">
        <f>Skills!A4</f>
        <v/>
      </c>
      <c r="B585">
        <f>Skills!B4</f>
        <v/>
      </c>
      <c r="C585">
        <f>Inputs!$B$3&gt;=105</f>
        <v/>
      </c>
      <c r="D585">
        <f>IF(Skills!C4=1,60+Inputs!$B$26+Inputs!$B$30,IF(Skills!C4=2,90+Inputs!$B$27+Inputs!$B$30,IF(Skills!C4=3,120+Inputs!$B$28+Inputs!$B$30,MAX(0,(Inputs!$B$3-100)*3)+Inputs!$B$29+Inputs!$B$30)))</f>
        <v/>
      </c>
      <c r="E585">
        <f>INDEX(FactorTable!$B$2:$Y$301, MATCH(ROUND(MIN(300,MAX(1,D585)),0), FactorTable!$A$2:$A$301,0), Skills!M4+1)</f>
        <v/>
      </c>
      <c r="F585">
        <f>IF(Skills!N4=TRUE,(Skills!L4/10)*(E585/1000),Skills!L4/10)+Skills!O4</f>
        <v/>
      </c>
      <c r="G585" t="inlineStr"/>
      <c r="H585" t="inlineStr"/>
      <c r="I585" t="inlineStr">
        <is>
          <t>1</t>
        </is>
      </c>
      <c r="J585" t="inlineStr"/>
      <c r="K585" t="inlineStr"/>
      <c r="L585" t="inlineStr"/>
      <c r="M585" t="inlineStr"/>
      <c r="N585" t="inlineStr"/>
      <c r="O585" t="inlineStr"/>
      <c r="P585" t="inlineStr"/>
      <c r="Q585" t="inlineStr"/>
      <c r="R585" t="inlineStr"/>
      <c r="S585" t="inlineStr"/>
      <c r="U585">
        <f>290*U584/1000</f>
        <v/>
      </c>
    </row>
    <row r="586">
      <c r="A586">
        <f>Skills!A5</f>
        <v/>
      </c>
      <c r="B586">
        <f>Skills!B5</f>
        <v/>
      </c>
      <c r="C586">
        <f>Inputs!$B$3&gt;=117</f>
        <v/>
      </c>
      <c r="D586">
        <f>IF(Skills!C5=1,60+Inputs!$B$26+Inputs!$B$30,IF(Skills!C5=2,90+Inputs!$B$27+Inputs!$B$30,IF(Skills!C5=3,120+Inputs!$B$28+Inputs!$B$30,MAX(0,(Inputs!$B$3-100)*3)+Inputs!$B$29+Inputs!$B$30)))</f>
        <v/>
      </c>
      <c r="E586">
        <f>INDEX(FactorTable!$B$2:$Y$301, MATCH(ROUND(MIN(300,MAX(1,D586)),0), FactorTable!$A$2:$A$301,0), Skills!M5+1)</f>
        <v/>
      </c>
      <c r="F586">
        <f>IF(Skills!N5=TRUE,(Skills!L5/10)*(E586/1000),Skills!L5/10)+Skills!O5</f>
        <v/>
      </c>
      <c r="G586">
        <f>Skills!G5*IF(Skills!H5&gt;0,Skills!I5/Skills!H5,1)</f>
        <v/>
      </c>
      <c r="H586">
        <f>1-(1-Skills!J5/100)^Skills!K5</f>
        <v/>
      </c>
      <c r="I586" t="inlineStr">
        <is>
          <t>1</t>
        </is>
      </c>
      <c r="J586">
        <f>((Inputs!$B$6*(1+Inputs!$B$7/100))+(((Inputs!$B$13*(1+Inputs!$B$14/100))-(Inputs!$B$13*(1+Inputs!$B$14/100)))+0.25*(Inputs!$B$15-Inputs!$B$15))*(1+Inputs!$B$7/100))*(F586/100)</f>
        <v/>
      </c>
      <c r="K586">
        <f>J586*(1+(((Inputs!$B$13+IF(Inputs!$B$3&gt;=38,(10*INDEX(FactorTable!$B$2:$Y$301, MATCH(ROUND(MIN(300,MAX(1,Inputs!$B$3)),0), FactorTable!$A$2:$A$301,0), 23)/1000)/100*(Inputs!$B$8*(1+Inputs!$B$9/100)),0))*(1+Inputs!$B$14/100))*0.01+Inputs!$B$15*0.0025)/100)*(1+Inputs!$B$16/100)*(1+Inputs!$B$17/100)*(5000/(6000+Inputs!$B$43*(1-(Inputs!$B$20+0)/100)))*(1+(Inputs!$B$25+((C606=TRUE)*(F606-Calc!F25))+((C607=TRUE)*(F607-Calc!F26))+B616)/100)*(1+(IF(Skills!A5="DARK_IMPALE",Inputs!$B$18+0,Inputs!$B$19+((C604=TRUE)*(F604-Calc!F23))))/100)*((1+(((C594=TRUE)*F594*IF(AND(Inputs!$B$39&lt;&gt;"pvp",Inputs!$B$44&gt;0),(((R594-1)*(Skills!T13*(1+Inputs!$B$35/100))+MIN((Skills!T13*(1+Inputs!$B$35/100)),MAX(0,Inputs!$B$44-((R594-1)*Skills!D13))))/Inputs!$B$44),IF(Inputs!$B$39="pvp",MIN((Skills!T13*(1+Inputs!$B$35/100)),15)/15,(Skills!T13*(1+Inputs!$B$35/100))/Skills!D13)))+((C595=TRUE)*F595*IF(AND(Inputs!$B$39&lt;&gt;"pvp",Inputs!$B$44&gt;0),(((R595-1)*(Skills!T14*(1+Inputs!$B$35/100))+MIN((Skills!T14*(1+Inputs!$B$35/100)),MAX(0,Inputs!$B$44-((R595-1)*Skills!D14))))/Inputs!$B$44),IF(Inputs!$B$39="pvp",MIN((Skills!T14*(1+Inputs!$B$35/100)),15)/15,(Skills!T14*(1+Inputs!$B$35/100))/Skills!D14)))+((C596=TRUE)*F596*IF(AND(Inputs!$B$39&lt;&gt;"pvp",Inputs!$B$44&gt;0),(((R596-1)*(Skills!T15*(1+Inputs!$B$35/100))+MIN((Skills!T15*(1+Inputs!$B$35/100)),MAX(0,Inputs!$B$44-((R596-1)*Skills!D15))))/Inputs!$B$44),IF(Inputs!$B$39="pvp",MIN((Skills!T15*(1+Inputs!$B$35/100)),15)/15,(Skills!T15*(1+Inputs!$B$35/100))/Skills!D15)))+((C597=TRUE)*F597*IF(AND(Inputs!$B$39&lt;&gt;"pvp",Inputs!$B$44&gt;0),(((R597-1)*(Skills!T16*(1+Inputs!$B$35/100))+MIN((Skills!T16*(1+Inputs!$B$35/100)),MAX(0,Inputs!$B$44-((R597-1)*Skills!D16))))/Inputs!$B$44),IF(Inputs!$B$39="pvp",MIN((Skills!T16*(1+Inputs!$B$35/100)),15)/15,(Skills!T16*(1+Inputs!$B$35/100))/Skills!D16)))+0)/100)*I586)</f>
        <v/>
      </c>
      <c r="L586">
        <f>K586*(MIN(Inputs!$B$23+((C603=TRUE)*(F603-Calc!F22)),Inputs!$B$24+((C605=TRUE)*(F605-Calc!F24)))/100+(Inputs!$B$24+((C605=TRUE)*(F605-Calc!F24)))/100)/2</f>
        <v/>
      </c>
      <c r="M586">
        <f>L586*(1+((Inputs!$B$11+1)+0+B615)/100)</f>
        <v/>
      </c>
      <c r="N586">
        <f>L586*(1-MIN((Inputs!$B$10+0+B610),100)/100)+M586*(MIN((Inputs!$B$10+0+B610),100)/100)</f>
        <v/>
      </c>
      <c r="O586">
        <f>(1-Summary!$B$55)*T586+Summary!$B$55*V586</f>
        <v/>
      </c>
      <c r="P586">
        <f>IF(B620=0,0,O586/B620)</f>
        <v/>
      </c>
      <c r="Q586">
        <f>IFERROR(1/IF(Inputs!$B$39="pvp",15,MAX(0.1,Skills!D5-IF(Skills!E5=TRUE,Inputs!$B$33,0))),0)</f>
        <v/>
      </c>
      <c r="R586">
        <f>IF(AND(Inputs!$B$39&lt;&gt;"pvp",Inputs!$B$44&gt;0),IF(MAX(0,Inputs!$B$44-B617)&lt;=0,0,(INT(MAX(0,Inputs!$B$44-B617)/IF(Inputs!$B$39="pvp",15,MAX(0.1,Skills!D5-IF(Skills!E5=TRUE,Inputs!$B$33,0))))+1)),0)</f>
        <v/>
      </c>
      <c r="S586">
        <f>IFERROR(O586/N586,0)</f>
        <v/>
      </c>
      <c r="T586">
        <f>IF(C586,(H586*N586*IF(AND(Inputs!$B$39&lt;&gt;"pvp",Inputs!$B$44&gt;0),((Skills!G5*((R586-1)*IF(Skills!H5&gt;0,Skills!I5/Skills!H5,1)+IF(Skills!H5&gt;0,MIN(Skills!I5,MAX(0,MAX(0,Inputs!$B$44-B617)-((R586-1)*IF(Inputs!$B$39="pvp",15,MAX(0.1,Skills!D5-IF(Skills!E5=TRUE,Inputs!$B$33,0))))))/Skills!H5,1)))/Inputs!$B$44),G586*Q586))*IF(Inputs!$B$39="pvp",1,1+(Inputs!$B$21+0+Skills!P5+((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0)</f>
        <v/>
      </c>
      <c r="V586">
        <f>IF(C586,(H586*N586*IF(AND(Inputs!$B$39&lt;&gt;"pvp",Inputs!$B$44&gt;0),((Skills!G5*((R586-1)*IF(Skills!H5&gt;0,Skills!I5/Skills!H5,1)+IF(Skills!H5&gt;0,MIN(Skills!I5,MAX(0,MAX(0,Inputs!$B$44-B617)-((R586-1)*IF(Inputs!$B$39="pvp",15,MAX(0.1,Skills!D5-IF(Skills!E5=TRUE,Inputs!$B$33,0))))))/Skills!H5,1)))/Inputs!$B$44),G586*Q586))*IF(Inputs!$B$39="pvp",1,(1+(Inputs!$B$22+Skills!Q5+((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MIN(Skills!R5,Inputs!$B$38))),0)</f>
        <v/>
      </c>
    </row>
    <row r="587">
      <c r="A587">
        <f>Skills!A6</f>
        <v/>
      </c>
      <c r="B587">
        <f>Skills!B6</f>
        <v/>
      </c>
      <c r="C587">
        <f>Inputs!$B$3&gt;=103</f>
        <v/>
      </c>
      <c r="D587">
        <f>IF(Skills!C6=1,60+Inputs!$B$26+Inputs!$B$30,IF(Skills!C6=2,90+Inputs!$B$27+Inputs!$B$30,IF(Skills!C6=3,120+Inputs!$B$28+Inputs!$B$30,MAX(0,(Inputs!$B$3-100)*3)+Inputs!$B$29+Inputs!$B$30)))</f>
        <v/>
      </c>
      <c r="E587">
        <f>INDEX(FactorTable!$B$2:$Y$301, MATCH(ROUND(MIN(300,MAX(1,D587)),0), FactorTable!$A$2:$A$301,0), Skills!M6+1)</f>
        <v/>
      </c>
      <c r="F587">
        <f>IF(Skills!N6=TRUE,(Skills!L6/10)*(E587/1000),Skills!L6/10)+Skills!O6</f>
        <v/>
      </c>
      <c r="G587">
        <f>Skills!G6*IF(Skills!H6&gt;0,Skills!I6/Skills!H6,1)</f>
        <v/>
      </c>
      <c r="H587">
        <f>1-(1-Skills!J6/100)^Skills!K6</f>
        <v/>
      </c>
      <c r="I587" t="inlineStr">
        <is>
          <t>1</t>
        </is>
      </c>
      <c r="J587">
        <f>((Inputs!$B$6*(1+Inputs!$B$7/100))+(((Inputs!$B$13*(1+Inputs!$B$14/100))-(Inputs!$B$13*(1+Inputs!$B$14/100)))+0.25*(Inputs!$B$15-Inputs!$B$15))*(1+Inputs!$B$7/100))*(F587/100)</f>
        <v/>
      </c>
      <c r="K587">
        <f>J587*(1+(((Inputs!$B$13+IF(Inputs!$B$3&gt;=38,(10*INDEX(FactorTable!$B$2:$Y$301, MATCH(ROUND(MIN(300,MAX(1,Inputs!$B$3)),0), FactorTable!$A$2:$A$301,0), 23)/1000)/100*(Inputs!$B$8*(1+Inputs!$B$9/100)),0))*(1+Inputs!$B$14/100))*0.01+Inputs!$B$15*0.0025)/100)*(1+Inputs!$B$16/100)*(1+Inputs!$B$17/100)*(5000/(6000+Inputs!$B$43*(1-(Inputs!$B$20+0)/100)))*(1+(Inputs!$B$25+((C606=TRUE)*(F606-Calc!F25))+((C607=TRUE)*(F607-Calc!F26))+B616)/100)*(1+(IF(Skills!A6="DARK_IMPALE",Inputs!$B$18+0,Inputs!$B$19+((C604=TRUE)*(F604-Calc!F23))))/100)*((1+(((C594=TRUE)*F594*IF(AND(Inputs!$B$39&lt;&gt;"pvp",Inputs!$B$44&gt;0),(((R594-1)*(Skills!T13*(1+Inputs!$B$35/100))+MIN((Skills!T13*(1+Inputs!$B$35/100)),MAX(0,Inputs!$B$44-((R594-1)*Skills!D13))))/Inputs!$B$44),IF(Inputs!$B$39="pvp",MIN((Skills!T13*(1+Inputs!$B$35/100)),15)/15,(Skills!T13*(1+Inputs!$B$35/100))/Skills!D13)))+((C595=TRUE)*F595*IF(AND(Inputs!$B$39&lt;&gt;"pvp",Inputs!$B$44&gt;0),(((R595-1)*(Skills!T14*(1+Inputs!$B$35/100))+MIN((Skills!T14*(1+Inputs!$B$35/100)),MAX(0,Inputs!$B$44-((R595-1)*Skills!D14))))/Inputs!$B$44),IF(Inputs!$B$39="pvp",MIN((Skills!T14*(1+Inputs!$B$35/100)),15)/15,(Skills!T14*(1+Inputs!$B$35/100))/Skills!D14)))+((C596=TRUE)*F596*IF(AND(Inputs!$B$39&lt;&gt;"pvp",Inputs!$B$44&gt;0),(((R596-1)*(Skills!T15*(1+Inputs!$B$35/100))+MIN((Skills!T15*(1+Inputs!$B$35/100)),MAX(0,Inputs!$B$44-((R596-1)*Skills!D15))))/Inputs!$B$44),IF(Inputs!$B$39="pvp",MIN((Skills!T15*(1+Inputs!$B$35/100)),15)/15,(Skills!T15*(1+Inputs!$B$35/100))/Skills!D15)))+((C597=TRUE)*F597*IF(AND(Inputs!$B$39&lt;&gt;"pvp",Inputs!$B$44&gt;0),(((R597-1)*(Skills!T16*(1+Inputs!$B$35/100))+MIN((Skills!T16*(1+Inputs!$B$35/100)),MAX(0,Inputs!$B$44-((R597-1)*Skills!D16))))/Inputs!$B$44),IF(Inputs!$B$39="pvp",MIN((Skills!T16*(1+Inputs!$B$35/100)),15)/15,(Skills!T16*(1+Inputs!$B$35/100))/Skills!D16)))+0)/100)*I587)</f>
        <v/>
      </c>
      <c r="L587">
        <f>K587*(MIN(Inputs!$B$23+((C603=TRUE)*(F603-Calc!F22)),Inputs!$B$24+((C605=TRUE)*(F605-Calc!F24)))/100+(Inputs!$B$24+((C605=TRUE)*(F605-Calc!F24)))/100)/2</f>
        <v/>
      </c>
      <c r="M587">
        <f>L587*(1+((Inputs!$B$11+1)+0+B615)/100)</f>
        <v/>
      </c>
      <c r="N587">
        <f>L587*(1-MIN((Inputs!$B$10+0+B610),100)/100)+M587*(MIN((Inputs!$B$10+0+B610),100)/100)</f>
        <v/>
      </c>
      <c r="O587">
        <f>(1-Summary!$B$55)*T587+Summary!$B$55*V587</f>
        <v/>
      </c>
      <c r="P587">
        <f>IF(B620=0,0,O587/B620)</f>
        <v/>
      </c>
      <c r="Q587">
        <f>IFERROR(1/IF(Inputs!$B$39="pvp",15,MAX(0.1,Skills!D6-IF(Skills!E6=TRUE,Inputs!$B$33,0))),0)</f>
        <v/>
      </c>
      <c r="R587">
        <f>IF(AND(Inputs!$B$39&lt;&gt;"pvp",Inputs!$B$44&gt;0),IF(MAX(0,Inputs!$B$44-B617)&lt;=0,0,(INT(MAX(0,Inputs!$B$44-B617)/IF(Inputs!$B$39="pvp",15,MAX(0.1,Skills!D6-IF(Skills!E6=TRUE,Inputs!$B$33,0))))+1)),0)</f>
        <v/>
      </c>
      <c r="S587">
        <f>IFERROR(O587/N587,0)</f>
        <v/>
      </c>
      <c r="T587">
        <f>IF(C587,(H587*N587*IF(AND(Inputs!$B$39&lt;&gt;"pvp",Inputs!$B$44&gt;0),((Skills!G6*((R587-1)*IF(Skills!H6&gt;0,Skills!I6/Skills!H6,1)+IF(Skills!H6&gt;0,MIN(Skills!I6,MAX(0,MAX(0,Inputs!$B$44-B617)-((R587-1)*IF(Inputs!$B$39="pvp",15,MAX(0.1,Skills!D6-IF(Skills!E6=TRUE,Inputs!$B$33,0))))))/Skills!H6,1)))/Inputs!$B$44),G587*Q587))*IF(Inputs!$B$39="pvp",1,1+(Inputs!$B$21+0+Skills!P6+((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0)</f>
        <v/>
      </c>
      <c r="V587">
        <f>IF(C587,(H587*N587*IF(AND(Inputs!$B$39&lt;&gt;"pvp",Inputs!$B$44&gt;0),((Skills!G6*((R587-1)*IF(Skills!H6&gt;0,Skills!I6/Skills!H6,1)+IF(Skills!H6&gt;0,MIN(Skills!I6,MAX(0,MAX(0,Inputs!$B$44-B617)-((R587-1)*IF(Inputs!$B$39="pvp",15,MAX(0.1,Skills!D6-IF(Skills!E6=TRUE,Inputs!$B$33,0))))))/Skills!H6,1)))/Inputs!$B$44),G587*Q587))*IF(Inputs!$B$39="pvp",1,(1+(Inputs!$B$22+Skills!Q6+((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MIN(Skills!R6,Inputs!$B$38))),0)</f>
        <v/>
      </c>
    </row>
    <row r="588">
      <c r="A588">
        <f>Skills!A7</f>
        <v/>
      </c>
      <c r="B588">
        <f>Skills!B7</f>
        <v/>
      </c>
      <c r="C588">
        <f>Inputs!$B$3&gt;=40</f>
        <v/>
      </c>
      <c r="D588">
        <f>IF(Skills!C7=1,60+Inputs!$B$26+Inputs!$B$30,IF(Skills!C7=2,90+Inputs!$B$27+Inputs!$B$30,IF(Skills!C7=3,120+Inputs!$B$28+Inputs!$B$30,MAX(0,(Inputs!$B$3-100)*3)+Inputs!$B$29+Inputs!$B$30)))</f>
        <v/>
      </c>
      <c r="E588">
        <f>INDEX(FactorTable!$B$2:$Y$301, MATCH(ROUND(MIN(300,MAX(1,D588)),0), FactorTable!$A$2:$A$301,0), Skills!M7+1)</f>
        <v/>
      </c>
      <c r="F588">
        <f>IF(Skills!N7=TRUE,(Skills!L7/10)*(E588/1000),Skills!L7/10)+Skills!O7</f>
        <v/>
      </c>
      <c r="G588">
        <f>Skills!G7*IF(Skills!H7&gt;0,Skills!I7/Skills!H7,1)</f>
        <v/>
      </c>
      <c r="H588">
        <f>1-(1-Skills!J7/100)^Skills!K7</f>
        <v/>
      </c>
      <c r="I588" t="inlineStr">
        <is>
          <t>1</t>
        </is>
      </c>
      <c r="J588">
        <f>((Inputs!$B$6*(1+Inputs!$B$7/100))+(((Inputs!$B$13*(1+Inputs!$B$14/100))-(Inputs!$B$13*(1+Inputs!$B$14/100)))+0.25*(Inputs!$B$15-Inputs!$B$15))*(1+Inputs!$B$7/100))*(F588/100)</f>
        <v/>
      </c>
      <c r="K588">
        <f>J588*(1+(((Inputs!$B$13+IF(Inputs!$B$3&gt;=38,(10*INDEX(FactorTable!$B$2:$Y$301, MATCH(ROUND(MIN(300,MAX(1,Inputs!$B$3)),0), FactorTable!$A$2:$A$301,0), 23)/1000)/100*(Inputs!$B$8*(1+Inputs!$B$9/100)),0))*(1+Inputs!$B$14/100))*0.01+Inputs!$B$15*0.0025)/100)*(1+Inputs!$B$16/100)*(1+Inputs!$B$17/100)*(5000/(6000+Inputs!$B$43*(1-(Inputs!$B$20+0)/100)))*(1+(Inputs!$B$25+((C606=TRUE)*(F606-Calc!F25))+((C607=TRUE)*(F607-Calc!F26))+B616)/100)*(1+0.75*IF(C592=TRUE,F592,0)/100)*(1+(IF(Skills!A7="DARK_IMPALE",Inputs!$B$18+0,Inputs!$B$19+((C604=TRUE)*(F604-Calc!F23))))/100)*((1+(((C594=TRUE)*F594*IF(AND(Inputs!$B$39&lt;&gt;"pvp",Inputs!$B$44&gt;0),(((R594-1)*(Skills!T13*(1+Inputs!$B$35/100))+MIN((Skills!T13*(1+Inputs!$B$35/100)),MAX(0,Inputs!$B$44-((R594-1)*Skills!D13))))/Inputs!$B$44),IF(Inputs!$B$39="pvp",MIN((Skills!T13*(1+Inputs!$B$35/100)),15)/15,(Skills!T13*(1+Inputs!$B$35/100))/Skills!D13)))+((C595=TRUE)*F595*IF(AND(Inputs!$B$39&lt;&gt;"pvp",Inputs!$B$44&gt;0),(((R595-1)*(Skills!T14*(1+Inputs!$B$35/100))+MIN((Skills!T14*(1+Inputs!$B$35/100)),MAX(0,Inputs!$B$44-((R595-1)*Skills!D14))))/Inputs!$B$44),IF(Inputs!$B$39="pvp",MIN((Skills!T14*(1+Inputs!$B$35/100)),15)/15,(Skills!T14*(1+Inputs!$B$35/100))/Skills!D14)))+((C596=TRUE)*F596*IF(AND(Inputs!$B$39&lt;&gt;"pvp",Inputs!$B$44&gt;0),(((R596-1)*(Skills!T15*(1+Inputs!$B$35/100))+MIN((Skills!T15*(1+Inputs!$B$35/100)),MAX(0,Inputs!$B$44-((R596-1)*Skills!D15))))/Inputs!$B$44),IF(Inputs!$B$39="pvp",MIN((Skills!T15*(1+Inputs!$B$35/100)),15)/15,(Skills!T15*(1+Inputs!$B$35/100))/Skills!D15)))+((C597=TRUE)*F597*IF(AND(Inputs!$B$39&lt;&gt;"pvp",Inputs!$B$44&gt;0),(((R597-1)*(Skills!T16*(1+Inputs!$B$35/100))+MIN((Skills!T16*(1+Inputs!$B$35/100)),MAX(0,Inputs!$B$44-((R597-1)*Skills!D16))))/Inputs!$B$44),IF(Inputs!$B$39="pvp",MIN((Skills!T16*(1+Inputs!$B$35/100)),15)/15,(Skills!T16*(1+Inputs!$B$35/100))/Skills!D16)))+0)/100)*I588)</f>
        <v/>
      </c>
      <c r="L588">
        <f>K588*(MIN(Inputs!$B$23+((C603=TRUE)*(F603-Calc!F22)),Inputs!$B$24+((C605=TRUE)*(F605-Calc!F24)))/100+(Inputs!$B$24+((C605=TRUE)*(F605-Calc!F24)))/100)/2</f>
        <v/>
      </c>
      <c r="M588">
        <f>L588*(1+((Inputs!$B$11+1)+0+B615)/100)</f>
        <v/>
      </c>
      <c r="N588">
        <f>L588*(1-MIN((Inputs!$B$10+0+B610),100)/100)+M588*(MIN((Inputs!$B$10+0+B610),100)/100)</f>
        <v/>
      </c>
      <c r="O588">
        <f>(1-Summary!$B$55)*T588+Summary!$B$55*V588</f>
        <v/>
      </c>
      <c r="P588">
        <f>IF(B620=0,0,O588/B620)</f>
        <v/>
      </c>
      <c r="Q588">
        <f>IFERROR(1/IF(Inputs!$B$39="pvp",15,MAX(0.1,Skills!D7-IF(Skills!E7=TRUE,Inputs!$B$33,0))),0)</f>
        <v/>
      </c>
      <c r="R588">
        <f>IF(AND(Inputs!$B$39&lt;&gt;"pvp",Inputs!$B$44&gt;0),IF(MAX(0,Inputs!$B$44-B617)&lt;=0,0,(INT(MAX(0,Inputs!$B$44-B617)/IF(Inputs!$B$39="pvp",15,MAX(0.1,Skills!D7-IF(Skills!E7=TRUE,Inputs!$B$33,0))))+1)),0)</f>
        <v/>
      </c>
      <c r="S588">
        <f>IFERROR(O588/N588,0)</f>
        <v/>
      </c>
      <c r="T588">
        <f>IF(C588,(H588*N588*IF(AND(Inputs!$B$39&lt;&gt;"pvp",Inputs!$B$44&gt;0),((Skills!G7*((R588-1)*IF(Skills!H7&gt;0,Skills!I7/Skills!H7,1)+IF(Skills!H7&gt;0,MIN(Skills!I7,MAX(0,MAX(0,Inputs!$B$44-B617)-((R588-1)*IF(Inputs!$B$39="pvp",15,MAX(0.1,Skills!D7-IF(Skills!E7=TRUE,Inputs!$B$33,0))))))/Skills!H7,1)))/Inputs!$B$44),G588*Q588))*IF(Inputs!$B$39="pvp",1,1+(Inputs!$B$21+0+Skills!P7+((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0)</f>
        <v/>
      </c>
      <c r="V588">
        <f>IF(C588,(H588*N588*IF(AND(Inputs!$B$39&lt;&gt;"pvp",Inputs!$B$44&gt;0),((Skills!G7*((R588-1)*IF(Skills!H7&gt;0,Skills!I7/Skills!H7,1)+IF(Skills!H7&gt;0,MIN(Skills!I7,MAX(0,MAX(0,Inputs!$B$44-B617)-((R588-1)*IF(Inputs!$B$39="pvp",15,MAX(0.1,Skills!D7-IF(Skills!E7=TRUE,Inputs!$B$33,0))))))/Skills!H7,1)))/Inputs!$B$44),G588*Q588))*IF(Inputs!$B$39="pvp",1,(1+(Inputs!$B$22+Skills!Q7+((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MIN(Skills!R7,Inputs!$B$38))),0)</f>
        <v/>
      </c>
    </row>
    <row r="589">
      <c r="A589">
        <f>Skills!A8</f>
        <v/>
      </c>
      <c r="B589">
        <f>Skills!B8</f>
        <v/>
      </c>
      <c r="C589">
        <f>Inputs!$B$3&gt;=75</f>
        <v/>
      </c>
      <c r="D589">
        <f>IF(Skills!C8=1,60+Inputs!$B$26+Inputs!$B$30,IF(Skills!C8=2,90+Inputs!$B$27+Inputs!$B$30,IF(Skills!C8=3,120+Inputs!$B$28+Inputs!$B$30,MAX(0,(Inputs!$B$3-100)*3)+Inputs!$B$29+Inputs!$B$30)))</f>
        <v/>
      </c>
      <c r="E589">
        <f>INDEX(FactorTable!$B$2:$Y$301, MATCH(ROUND(MIN(300,MAX(1,D589)),0), FactorTable!$A$2:$A$301,0), Skills!M8+1)</f>
        <v/>
      </c>
      <c r="F589">
        <f>IF(Skills!N8=TRUE,(Skills!L8/10)*(E589/1000),Skills!L8/10)+Skills!O8</f>
        <v/>
      </c>
      <c r="G589" t="inlineStr"/>
      <c r="H589" t="inlineStr"/>
      <c r="I589" t="inlineStr">
        <is>
          <t>1</t>
        </is>
      </c>
      <c r="J589" t="inlineStr"/>
      <c r="K589" t="inlineStr"/>
      <c r="L589" t="inlineStr"/>
      <c r="M589" t="inlineStr"/>
      <c r="N589" t="inlineStr"/>
      <c r="O589" t="inlineStr"/>
      <c r="P589" t="inlineStr"/>
      <c r="Q589" t="inlineStr"/>
      <c r="R589" t="inlineStr"/>
      <c r="S589" t="inlineStr"/>
    </row>
    <row r="590">
      <c r="A590">
        <f>Skills!A9</f>
        <v/>
      </c>
      <c r="B590">
        <f>Skills!B9</f>
        <v/>
      </c>
      <c r="C590">
        <f>Inputs!$B$3&gt;=60</f>
        <v/>
      </c>
      <c r="D590">
        <f>IF(Skills!C9=1,60+Inputs!$B$26+Inputs!$B$30,IF(Skills!C9=2,90+Inputs!$B$27+Inputs!$B$30,IF(Skills!C9=3,120+Inputs!$B$28+Inputs!$B$30,MAX(0,(Inputs!$B$3-100)*3)+Inputs!$B$29+Inputs!$B$30)))</f>
        <v/>
      </c>
      <c r="E590">
        <f>INDEX(FactorTable!$B$2:$Y$301, MATCH(ROUND(MIN(300,MAX(1,D590)),0), FactorTable!$A$2:$A$301,0), Skills!M9+1)</f>
        <v/>
      </c>
      <c r="F590">
        <f>IF(Skills!N9=TRUE,(Skills!L9/10)*(E590/1000),Skills!L9/10)+Skills!O9</f>
        <v/>
      </c>
      <c r="G590">
        <f>Skills!G9*IF(Skills!H9&gt;0,Skills!I9/Skills!H9,1)</f>
        <v/>
      </c>
      <c r="H590">
        <f>1-(1-Skills!J9/100)^Skills!K9</f>
        <v/>
      </c>
      <c r="I590" t="inlineStr">
        <is>
          <t>1</t>
        </is>
      </c>
      <c r="J590">
        <f>((Inputs!$B$6*(1+Inputs!$B$7/100))+(((Inputs!$B$13*(1+Inputs!$B$14/100))-(Inputs!$B$13*(1+Inputs!$B$14/100)))+0.25*(Inputs!$B$15-Inputs!$B$15))*(1+Inputs!$B$7/100))*(F590/100)</f>
        <v/>
      </c>
      <c r="K590">
        <f>J590*(1+(((Inputs!$B$13+IF(Inputs!$B$3&gt;=38,(10*INDEX(FactorTable!$B$2:$Y$301, MATCH(ROUND(MIN(300,MAX(1,Inputs!$B$3)),0), FactorTable!$A$2:$A$301,0), 23)/1000)/100*(Inputs!$B$8*(1+Inputs!$B$9/100)),0))*(1+Inputs!$B$14/100))*0.01+Inputs!$B$15*0.0025)/100)*(1+Inputs!$B$16/100)*(1+Inputs!$B$17/100)*(5000/(6000+Inputs!$B$43*(1-(Inputs!$B$20+0)/100)))*(1+(Inputs!$B$25+((C606=TRUE)*(F606-Calc!F25))+((C607=TRUE)*(F607-Calc!F26))+B616)/100)*(1+1.0*IF(C592=TRUE,F592,0)/100)*(1+(IF(Skills!A9="DARK_IMPALE",Inputs!$B$18+0,Inputs!$B$19+((C604=TRUE)*(F604-Calc!F23))))/100)*((1+(((C594=TRUE)*F594*IF(AND(Inputs!$B$39&lt;&gt;"pvp",Inputs!$B$44&gt;0),(((R594-1)*(Skills!T13*(1+Inputs!$B$35/100))+MIN((Skills!T13*(1+Inputs!$B$35/100)),MAX(0,Inputs!$B$44-((R594-1)*Skills!D13))))/Inputs!$B$44),IF(Inputs!$B$39="pvp",MIN((Skills!T13*(1+Inputs!$B$35/100)),15)/15,(Skills!T13*(1+Inputs!$B$35/100))/Skills!D13)))+((C595=TRUE)*F595*IF(AND(Inputs!$B$39&lt;&gt;"pvp",Inputs!$B$44&gt;0),(((R595-1)*(Skills!T14*(1+Inputs!$B$35/100))+MIN((Skills!T14*(1+Inputs!$B$35/100)),MAX(0,Inputs!$B$44-((R595-1)*Skills!D14))))/Inputs!$B$44),IF(Inputs!$B$39="pvp",MIN((Skills!T14*(1+Inputs!$B$35/100)),15)/15,(Skills!T14*(1+Inputs!$B$35/100))/Skills!D14)))+((C596=TRUE)*F596*IF(AND(Inputs!$B$39&lt;&gt;"pvp",Inputs!$B$44&gt;0),(((R596-1)*(Skills!T15*(1+Inputs!$B$35/100))+MIN((Skills!T15*(1+Inputs!$B$35/100)),MAX(0,Inputs!$B$44-((R596-1)*Skills!D15))))/Inputs!$B$44),IF(Inputs!$B$39="pvp",MIN((Skills!T15*(1+Inputs!$B$35/100)),15)/15,(Skills!T15*(1+Inputs!$B$35/100))/Skills!D15)))+((C597=TRUE)*F597*IF(AND(Inputs!$B$39&lt;&gt;"pvp",Inputs!$B$44&gt;0),(((R597-1)*(Skills!T16*(1+Inputs!$B$35/100))+MIN((Skills!T16*(1+Inputs!$B$35/100)),MAX(0,Inputs!$B$44-((R597-1)*Skills!D16))))/Inputs!$B$44),IF(Inputs!$B$39="pvp",MIN((Skills!T16*(1+Inputs!$B$35/100)),15)/15,(Skills!T16*(1+Inputs!$B$35/100))/Skills!D16)))+0)/100)*I590)</f>
        <v/>
      </c>
      <c r="L590">
        <f>K590*(MIN(Inputs!$B$23+((C603=TRUE)*(F603-Calc!F22)),Inputs!$B$24+((C605=TRUE)*(F605-Calc!F24)))/100+(Inputs!$B$24+((C605=TRUE)*(F605-Calc!F24)))/100)/2</f>
        <v/>
      </c>
      <c r="M590">
        <f>L590*(1+((Inputs!$B$11+1)+0+B615)/100)</f>
        <v/>
      </c>
      <c r="N590">
        <f>L590*(1-MIN((Inputs!$B$10+0+B610),100)/100)+M590*(MIN((Inputs!$B$10+0+B610),100)/100)</f>
        <v/>
      </c>
      <c r="O590">
        <f>(1-Summary!$B$55)*T590+Summary!$B$55*V590</f>
        <v/>
      </c>
      <c r="P590">
        <f>IF(B620=0,0,O590/B620)</f>
        <v/>
      </c>
      <c r="Q590">
        <f>IFERROR(1/IF(Inputs!$B$39="pvp",15,MAX(0.1,Skills!D9-IF(Skills!E9=TRUE,Inputs!$B$33,0))),0)</f>
        <v/>
      </c>
      <c r="R590">
        <f>IF(AND(Inputs!$B$39&lt;&gt;"pvp",Inputs!$B$44&gt;0),IF(MAX(0,Inputs!$B$44-B617)&lt;=0,0,(INT(MAX(0,Inputs!$B$44-B617)/IF(Inputs!$B$39="pvp",15,MAX(0.1,Skills!D9-IF(Skills!E9=TRUE,Inputs!$B$33,0))))+1)),0)</f>
        <v/>
      </c>
      <c r="S590">
        <f>IFERROR(O590/N590,0)</f>
        <v/>
      </c>
      <c r="T590">
        <f>IF(C590,(H590*N590*IF(AND(Inputs!$B$39&lt;&gt;"pvp",Inputs!$B$44&gt;0),((Skills!G9*((R590-1)*IF(Skills!H9&gt;0,Skills!I9/Skills!H9,1)+IF(Skills!H9&gt;0,MIN(Skills!I9,MAX(0,MAX(0,Inputs!$B$44-B617)-((R590-1)*IF(Inputs!$B$39="pvp",15,MAX(0.1,Skills!D9-IF(Skills!E9=TRUE,Inputs!$B$33,0))))))/Skills!H9,1)))/Inputs!$B$44),G590*Q590))*IF(Inputs!$B$39="pvp",1,1+(Inputs!$B$21+0+Skills!P9+((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0)</f>
        <v/>
      </c>
      <c r="V590">
        <f>IF(C590,(H590*N590*IF(AND(Inputs!$B$39&lt;&gt;"pvp",Inputs!$B$44&gt;0),((Skills!G9*((R590-1)*IF(Skills!H9&gt;0,Skills!I9/Skills!H9,1)+IF(Skills!H9&gt;0,MIN(Skills!I9,MAX(0,MAX(0,Inputs!$B$44-B617)-((R590-1)*IF(Inputs!$B$39="pvp",15,MAX(0.1,Skills!D9-IF(Skills!E9=TRUE,Inputs!$B$33,0))))))/Skills!H9,1)))/Inputs!$B$44),G590*Q590))*IF(Inputs!$B$39="pvp",1,(1+(Inputs!$B$22+Skills!Q9+((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MIN(Skills!R9,Inputs!$B$38))),0)</f>
        <v/>
      </c>
    </row>
    <row r="591">
      <c r="A591">
        <f>Skills!A10</f>
        <v/>
      </c>
      <c r="B591">
        <f>Skills!B10</f>
        <v/>
      </c>
      <c r="C591">
        <f>Inputs!$B$3&gt;=110</f>
        <v/>
      </c>
      <c r="D591">
        <f>IF(Skills!C10=1,60+Inputs!$B$26+Inputs!$B$30,IF(Skills!C10=2,90+Inputs!$B$27+Inputs!$B$30,IF(Skills!C10=3,120+Inputs!$B$28+Inputs!$B$30,MAX(0,(Inputs!$B$3-100)*3)+Inputs!$B$29+Inputs!$B$30)))</f>
        <v/>
      </c>
      <c r="E591">
        <f>INDEX(FactorTable!$B$2:$Y$301, MATCH(ROUND(MIN(300,MAX(1,D591)),0), FactorTable!$A$2:$A$301,0), Skills!M10+1)</f>
        <v/>
      </c>
      <c r="F591">
        <f>IF(Skills!N10=TRUE,(Skills!L10/10)*(E591/1000),Skills!L10/10)+Skills!O10</f>
        <v/>
      </c>
      <c r="G591">
        <f>Skills!G10*IF(Skills!H10&gt;0,Skills!I10/Skills!H10,1)</f>
        <v/>
      </c>
      <c r="H591">
        <f>1-(1-Skills!J10/100)^Skills!K10</f>
        <v/>
      </c>
      <c r="I591" t="inlineStr">
        <is>
          <t>1</t>
        </is>
      </c>
      <c r="J591">
        <f>((Inputs!$B$6*(1+Inputs!$B$7/100))+(((Inputs!$B$13*(1+Inputs!$B$14/100))-(Inputs!$B$13*(1+Inputs!$B$14/100)))+0.25*(Inputs!$B$15-Inputs!$B$15))*(1+Inputs!$B$7/100))*(F591/100)</f>
        <v/>
      </c>
      <c r="K591">
        <f>J591*(1+(((Inputs!$B$13+IF(Inputs!$B$3&gt;=38,(10*INDEX(FactorTable!$B$2:$Y$301, MATCH(ROUND(MIN(300,MAX(1,Inputs!$B$3)),0), FactorTable!$A$2:$A$301,0), 23)/1000)/100*(Inputs!$B$8*(1+Inputs!$B$9/100)),0))*(1+Inputs!$B$14/100))*0.01+Inputs!$B$15*0.0025)/100)*(1+Inputs!$B$16/100)*(1+Inputs!$B$17/100)*(5000/(6000+Inputs!$B$43*(1-(Inputs!$B$20+0)/100)))*(1+(Inputs!$B$25+((C606=TRUE)*(F606-Calc!F25))+((C607=TRUE)*(F607-Calc!F26))+B616)/100)*(1+(IF(Skills!A10="DARK_IMPALE",Inputs!$B$18+0,Inputs!$B$19+((C604=TRUE)*(F604-Calc!F23))))/100)*((1+(((C594=TRUE)*F594*IF(AND(Inputs!$B$39&lt;&gt;"pvp",Inputs!$B$44&gt;0),(((R594-1)*(Skills!T13*(1+Inputs!$B$35/100))+MIN((Skills!T13*(1+Inputs!$B$35/100)),MAX(0,Inputs!$B$44-((R594-1)*Skills!D13))))/Inputs!$B$44),IF(Inputs!$B$39="pvp",MIN((Skills!T13*(1+Inputs!$B$35/100)),15)/15,(Skills!T13*(1+Inputs!$B$35/100))/Skills!D13)))+((C595=TRUE)*F595*IF(AND(Inputs!$B$39&lt;&gt;"pvp",Inputs!$B$44&gt;0),(((R595-1)*(Skills!T14*(1+Inputs!$B$35/100))+MIN((Skills!T14*(1+Inputs!$B$35/100)),MAX(0,Inputs!$B$44-((R595-1)*Skills!D14))))/Inputs!$B$44),IF(Inputs!$B$39="pvp",MIN((Skills!T14*(1+Inputs!$B$35/100)),15)/15,(Skills!T14*(1+Inputs!$B$35/100))/Skills!D14)))+((C596=TRUE)*F596*IF(AND(Inputs!$B$39&lt;&gt;"pvp",Inputs!$B$44&gt;0),(((R596-1)*(Skills!T15*(1+Inputs!$B$35/100))+MIN((Skills!T15*(1+Inputs!$B$35/100)),MAX(0,Inputs!$B$44-((R596-1)*Skills!D15))))/Inputs!$B$44),IF(Inputs!$B$39="pvp",MIN((Skills!T15*(1+Inputs!$B$35/100)),15)/15,(Skills!T15*(1+Inputs!$B$35/100))/Skills!D15)))+((C597=TRUE)*F597*IF(AND(Inputs!$B$39&lt;&gt;"pvp",Inputs!$B$44&gt;0),(((R597-1)*(Skills!T16*(1+Inputs!$B$35/100))+MIN((Skills!T16*(1+Inputs!$B$35/100)),MAX(0,Inputs!$B$44-((R597-1)*Skills!D16))))/Inputs!$B$44),IF(Inputs!$B$39="pvp",MIN((Skills!T16*(1+Inputs!$B$35/100)),15)/15,(Skills!T16*(1+Inputs!$B$35/100))/Skills!D16)))+0)/100)*I591)</f>
        <v/>
      </c>
      <c r="L591">
        <f>K591*(MIN(Inputs!$B$23+((C603=TRUE)*(F603-Calc!F22)),Inputs!$B$24+((C605=TRUE)*(F605-Calc!F24)))/100+(Inputs!$B$24+((C605=TRUE)*(F605-Calc!F24)))/100)/2</f>
        <v/>
      </c>
      <c r="M591">
        <f>L591*(1+((Inputs!$B$11+1)+0+B615)/100)</f>
        <v/>
      </c>
      <c r="N591">
        <f>L591*(1-MIN((Inputs!$B$10+0+B610),100)/100)+M591*(MIN((Inputs!$B$10+0+B610),100)/100)</f>
        <v/>
      </c>
      <c r="O591">
        <f>(1-Summary!$B$55)*T591+Summary!$B$55*V591</f>
        <v/>
      </c>
      <c r="P591">
        <f>IF(B620=0,0,O591/B620)</f>
        <v/>
      </c>
      <c r="Q591">
        <f>IFERROR(1/IF(Inputs!$B$39="pvp",15,MAX(0.1,Skills!D10-IF(Skills!E10=TRUE,Inputs!$B$33,0))),0)</f>
        <v/>
      </c>
      <c r="R591">
        <f>IF(AND(Inputs!$B$39&lt;&gt;"pvp",Inputs!$B$44&gt;0),IF(MAX(0,Inputs!$B$44-B617)&lt;=0,0,(INT(MAX(0,Inputs!$B$44-B617)/IF(Inputs!$B$39="pvp",15,MAX(0.1,Skills!D10-IF(Skills!E10=TRUE,Inputs!$B$33,0))))+1)),0)</f>
        <v/>
      </c>
      <c r="S591">
        <f>IFERROR(O591/N591,0)</f>
        <v/>
      </c>
      <c r="T591">
        <f>IF(C591,(H591*N591*IF(AND(Inputs!$B$39&lt;&gt;"pvp",Inputs!$B$44&gt;0),((Skills!G10*((R591-1)*IF(Skills!H10&gt;0,Skills!I10/Skills!H10,1)+IF(Skills!H10&gt;0,MIN(Skills!I10,MAX(0,MAX(0,Inputs!$B$44-B617)-((R591-1)*IF(Inputs!$B$39="pvp",15,MAX(0.1,Skills!D10-IF(Skills!E10=TRUE,Inputs!$B$33,0))))))/Skills!H10,1)))/Inputs!$B$44),G591*Q591))*IF(Inputs!$B$39="pvp",1,1+(Inputs!$B$21+0+Skills!P10+((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0)</f>
        <v/>
      </c>
      <c r="V591">
        <f>IF(C591,(H591*N591*IF(AND(Inputs!$B$39&lt;&gt;"pvp",Inputs!$B$44&gt;0),((Skills!G10*((R591-1)*IF(Skills!H10&gt;0,Skills!I10/Skills!H10,1)+IF(Skills!H10&gt;0,MIN(Skills!I10,MAX(0,MAX(0,Inputs!$B$44-B617)-((R591-1)*IF(Inputs!$B$39="pvp",15,MAX(0.1,Skills!D10-IF(Skills!E10=TRUE,Inputs!$B$33,0))))))/Skills!H10,1)))/Inputs!$B$44),G591*Q591))*IF(Inputs!$B$39="pvp",1,(1+(Inputs!$B$22+Skills!Q10+((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MIN(Skills!R10,Inputs!$B$38))),0)</f>
        <v/>
      </c>
    </row>
    <row r="592">
      <c r="A592">
        <f>Skills!A11</f>
        <v/>
      </c>
      <c r="B592">
        <f>Skills!B11</f>
        <v/>
      </c>
      <c r="C592">
        <f>Inputs!$B$3&gt;=100</f>
        <v/>
      </c>
      <c r="D592">
        <f>IF(Skills!C11=1,60+Inputs!$B$26+Inputs!$B$30,IF(Skills!C11=2,90+Inputs!$B$27+Inputs!$B$30,IF(Skills!C11=3,120+Inputs!$B$28+Inputs!$B$30,MAX(0,(Inputs!$B$3-100)*3)+Inputs!$B$29+Inputs!$B$30)))</f>
        <v/>
      </c>
      <c r="E592">
        <f>INDEX(FactorTable!$B$2:$Y$301, MATCH(ROUND(MIN(300,MAX(1,D592)),0), FactorTable!$A$2:$A$301,0), Skills!M11+1)</f>
        <v/>
      </c>
      <c r="F592">
        <f>IF(Skills!N11=TRUE,(Skills!L11/10)*(E592/1000),Skills!L11/10)+Skills!O11</f>
        <v/>
      </c>
      <c r="G592" t="inlineStr"/>
      <c r="H592" t="inlineStr"/>
      <c r="I592" t="inlineStr">
        <is>
          <t>1</t>
        </is>
      </c>
      <c r="J592" t="inlineStr"/>
      <c r="K592" t="inlineStr"/>
      <c r="L592" t="inlineStr"/>
      <c r="M592" t="inlineStr"/>
      <c r="N592" t="inlineStr"/>
      <c r="O592" t="inlineStr"/>
      <c r="P592" t="inlineStr"/>
      <c r="Q592" t="inlineStr"/>
      <c r="R592" t="inlineStr"/>
      <c r="S592" t="inlineStr"/>
    </row>
    <row r="593">
      <c r="A593">
        <f>Skills!A12</f>
        <v/>
      </c>
      <c r="B593">
        <f>Skills!B12</f>
        <v/>
      </c>
      <c r="C593">
        <f>Inputs!$B$3&gt;=63</f>
        <v/>
      </c>
      <c r="D593">
        <f>IF(Skills!C12=1,60+Inputs!$B$26+Inputs!$B$30,IF(Skills!C12=2,90+Inputs!$B$27+Inputs!$B$30,IF(Skills!C12=3,120+Inputs!$B$28+Inputs!$B$30,MAX(0,(Inputs!$B$3-100)*3)+Inputs!$B$29+Inputs!$B$30)))</f>
        <v/>
      </c>
      <c r="E593">
        <f>INDEX(FactorTable!$B$2:$Y$301, MATCH(ROUND(MIN(300,MAX(1,D593)),0), FactorTable!$A$2:$A$301,0), Skills!M12+1)</f>
        <v/>
      </c>
      <c r="F593">
        <f>IF(Skills!N12=TRUE,(Skills!L12/10)*(E593/1000),Skills!L12/10)+Skills!O12</f>
        <v/>
      </c>
      <c r="G593">
        <f>Skills!G12*IF(Skills!H12&gt;0,Skills!I12/Skills!H12,1)</f>
        <v/>
      </c>
      <c r="H593">
        <f>1-(1-Skills!J12/100)^Skills!K12</f>
        <v/>
      </c>
      <c r="I593" t="inlineStr">
        <is>
          <t>1</t>
        </is>
      </c>
      <c r="J593">
        <f>((Inputs!$B$6*(1+Inputs!$B$7/100))+(((Inputs!$B$13*(1+Inputs!$B$14/100))-(Inputs!$B$13*(1+Inputs!$B$14/100)))+0.25*(Inputs!$B$15-Inputs!$B$15))*(1+Inputs!$B$7/100))*(F593/100)</f>
        <v/>
      </c>
      <c r="K593">
        <f>J593*(1+(((Inputs!$B$13+IF(Inputs!$B$3&gt;=38,(10*INDEX(FactorTable!$B$2:$Y$301, MATCH(ROUND(MIN(300,MAX(1,Inputs!$B$3)),0), FactorTable!$A$2:$A$301,0), 23)/1000)/100*(Inputs!$B$8*(1+Inputs!$B$9/100)),0))*(1+Inputs!$B$14/100))*0.01+Inputs!$B$15*0.0025)/100)*(1+Inputs!$B$16/100)*(1+Inputs!$B$17/100)*(5000/(6000+Inputs!$B$43*(1-(Inputs!$B$20+0)/100)))*(1+(Inputs!$B$25+((C606=TRUE)*(F606-Calc!F25))+((C607=TRUE)*(F607-Calc!F26))+B616)/100)*(1+0.75*IF(C592=TRUE,F592,0)/100)*(1+(IF(Skills!A12="DARK_IMPALE",Inputs!$B$18+0,Inputs!$B$19+((C604=TRUE)*(F604-Calc!F23))))/100)*((1+(((C594=TRUE)*F594*IF(AND(Inputs!$B$39&lt;&gt;"pvp",Inputs!$B$44&gt;0),(((R594-1)*(Skills!T13*(1+Inputs!$B$35/100))+MIN((Skills!T13*(1+Inputs!$B$35/100)),MAX(0,Inputs!$B$44-((R594-1)*Skills!D13))))/Inputs!$B$44),IF(Inputs!$B$39="pvp",MIN((Skills!T13*(1+Inputs!$B$35/100)),15)/15,(Skills!T13*(1+Inputs!$B$35/100))/Skills!D13)))+((C595=TRUE)*F595*IF(AND(Inputs!$B$39&lt;&gt;"pvp",Inputs!$B$44&gt;0),(((R595-1)*(Skills!T14*(1+Inputs!$B$35/100))+MIN((Skills!T14*(1+Inputs!$B$35/100)),MAX(0,Inputs!$B$44-((R595-1)*Skills!D14))))/Inputs!$B$44),IF(Inputs!$B$39="pvp",MIN((Skills!T14*(1+Inputs!$B$35/100)),15)/15,(Skills!T14*(1+Inputs!$B$35/100))/Skills!D14)))+((C596=TRUE)*F596*IF(AND(Inputs!$B$39&lt;&gt;"pvp",Inputs!$B$44&gt;0),(((R596-1)*(Skills!T15*(1+Inputs!$B$35/100))+MIN((Skills!T15*(1+Inputs!$B$35/100)),MAX(0,Inputs!$B$44-((R596-1)*Skills!D15))))/Inputs!$B$44),IF(Inputs!$B$39="pvp",MIN((Skills!T15*(1+Inputs!$B$35/100)),15)/15,(Skills!T15*(1+Inputs!$B$35/100))/Skills!D15)))+((C597=TRUE)*F597*IF(AND(Inputs!$B$39&lt;&gt;"pvp",Inputs!$B$44&gt;0),(((R597-1)*(Skills!T16*(1+Inputs!$B$35/100))+MIN((Skills!T16*(1+Inputs!$B$35/100)),MAX(0,Inputs!$B$44-((R597-1)*Skills!D16))))/Inputs!$B$44),IF(Inputs!$B$39="pvp",MIN((Skills!T16*(1+Inputs!$B$35/100)),15)/15,(Skills!T16*(1+Inputs!$B$35/100))/Skills!D16)))+0)/100)*I593)</f>
        <v/>
      </c>
      <c r="L593">
        <f>K593*(MIN(Inputs!$B$23+((C603=TRUE)*(F603-Calc!F22)),Inputs!$B$24+((C605=TRUE)*(F605-Calc!F24)))/100+(Inputs!$B$24+((C605=TRUE)*(F605-Calc!F24)))/100)/2</f>
        <v/>
      </c>
      <c r="M593">
        <f>L593*(1+((Inputs!$B$11+1)+0+B615)/100)</f>
        <v/>
      </c>
      <c r="N593">
        <f>L593*(1-MIN((Inputs!$B$10+0+B610),100)/100)+M593*(MIN((Inputs!$B$10+0+B610),100)/100)</f>
        <v/>
      </c>
      <c r="O593">
        <f>(1-Summary!$B$55)*T593+Summary!$B$55*V593</f>
        <v/>
      </c>
      <c r="P593">
        <f>IF(B620=0,0,O593/B620)</f>
        <v/>
      </c>
      <c r="Q593">
        <f>IFERROR(1/IF(Inputs!$B$39="pvp",15,MAX(0.1,Skills!D12-IF(Skills!E12=TRUE,Inputs!$B$33,0))),0)</f>
        <v/>
      </c>
      <c r="R593">
        <f>IF(AND(Inputs!$B$39&lt;&gt;"pvp",Inputs!$B$44&gt;0),IF(MAX(0,Inputs!$B$44-B617)&lt;=0,0,(INT(MAX(0,Inputs!$B$44-B617)/IF(Inputs!$B$39="pvp",15,MAX(0.1,Skills!D12-IF(Skills!E12=TRUE,Inputs!$B$33,0))))+1)),0)</f>
        <v/>
      </c>
      <c r="S593">
        <f>IFERROR(O593/N593,0)</f>
        <v/>
      </c>
      <c r="T593">
        <f>IF(C593,(H593*N593*IF(AND(Inputs!$B$39&lt;&gt;"pvp",Inputs!$B$44&gt;0),((Skills!G12*((R593-1)*IF(Skills!H12&gt;0,Skills!I12/Skills!H12,1)+IF(Skills!H12&gt;0,MIN(Skills!I12,MAX(0,MAX(0,Inputs!$B$44-B617)-((R593-1)*IF(Inputs!$B$39="pvp",15,MAX(0.1,Skills!D12-IF(Skills!E12=TRUE,Inputs!$B$33,0))))))/Skills!H12,1)))/Inputs!$B$44),G593*Q593))*IF(Inputs!$B$39="pvp",1,1+(Inputs!$B$21+0+Skills!P12+((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0)</f>
        <v/>
      </c>
      <c r="V593">
        <f>IF(C593,(H593*N593*IF(AND(Inputs!$B$39&lt;&gt;"pvp",Inputs!$B$44&gt;0),((Skills!G12*((R593-1)*IF(Skills!H12&gt;0,Skills!I12/Skills!H12,1)+IF(Skills!H12&gt;0,MIN(Skills!I12,MAX(0,MAX(0,Inputs!$B$44-B617)-((R593-1)*IF(Inputs!$B$39="pvp",15,MAX(0.1,Skills!D12-IF(Skills!E12=TRUE,Inputs!$B$33,0))))))/Skills!H12,1)))/Inputs!$B$44),G593*Q593))*IF(Inputs!$B$39="pvp",1,(1+(Inputs!$B$22+Skills!Q12+((C598=TRUE)*F598*IF(AND(Inputs!$B$39&lt;&gt;"pvp",Inputs!$B$44&gt;0),(((R598-1)*(Skills!T17*(1+Inputs!$B$35/100))+MIN((Skills!T17*(1+Inputs!$B$35/100)),MAX(0,Inputs!$B$44-((R598-1)*Skills!D17))))/Inputs!$B$44),IF(Inputs!$B$39="pvp",MIN((Skills!T17*(1+Inputs!$B$35/100)),15)/15,(Skills!T17*(1+Inputs!$B$35/100))/Skills!D17)))+((C595=TRUE)*IF(Inputs!$B$39="pvp",20,(1-Summary!$B$55)*(20)+Summary!$B$55*(0))*IF(AND(Inputs!$B$39&lt;&gt;"pvp",Inputs!$B$44&gt;0),(((R595-1)*(Skills!T14*(1+Inputs!$B$35/100))+MIN((Skills!T14*(1+Inputs!$B$35/100)),MAX(0,Inputs!$B$44-((R595-1)*Skills!D14))))/Inputs!$B$44),IF(Inputs!$B$39="pvp",MIN((Skills!T14*(1+Inputs!$B$35/100)),15)/15,(Skills!T14*(1+Inputs!$B$35/100))/Skills!D14))))/100)*(MIN(Skills!R12,Inputs!$B$38))),0)</f>
        <v/>
      </c>
    </row>
    <row r="594">
      <c r="A594">
        <f>Skills!A13</f>
        <v/>
      </c>
      <c r="B594">
        <f>Skills!B13</f>
        <v/>
      </c>
      <c r="C594">
        <f>Inputs!$B$3&gt;=69</f>
        <v/>
      </c>
      <c r="D594">
        <f>IF(Skills!C13=1,60+Inputs!$B$26+Inputs!$B$30,IF(Skills!C13=2,90+Inputs!$B$27+Inputs!$B$30,IF(Skills!C13=3,120+Inputs!$B$28+Inputs!$B$30,MAX(0,(Inputs!$B$3-100)*3)+Inputs!$B$29+Inputs!$B$30)))</f>
        <v/>
      </c>
      <c r="E594">
        <f>INDEX(FactorTable!$B$2:$Y$301, MATCH(ROUND(MIN(300,MAX(1,D594)),0), FactorTable!$A$2:$A$301,0), Skills!M13+1)</f>
        <v/>
      </c>
      <c r="F594">
        <f>IF(Skills!N13=TRUE,(Skills!L13/10)*(E594/1000),Skills!L13/10)+Skills!O13</f>
        <v/>
      </c>
      <c r="G594">
        <f>Skills!G13*IF(Skills!H13&gt;0,Skills!I13/Skills!H13,1)</f>
        <v/>
      </c>
      <c r="H594">
        <f>1-(1-Skills!J13/100)^Skills!K13</f>
        <v/>
      </c>
      <c r="I594" t="inlineStr">
        <is>
          <t>1</t>
        </is>
      </c>
      <c r="J594" t="inlineStr"/>
      <c r="K594" t="inlineStr"/>
      <c r="L594" t="inlineStr"/>
      <c r="M594" t="inlineStr"/>
      <c r="N594" t="inlineStr"/>
      <c r="O594">
        <f>(1-Summary!$B$55)*T594+Summary!$B$55*V594</f>
        <v/>
      </c>
      <c r="P594">
        <f>IF(B620=0,0,O594/B620)</f>
        <v/>
      </c>
      <c r="Q594">
        <f>IFERROR(1/IF(Inputs!$B$39="pvp",15,MAX(0.1,Skills!D13-IF(Skills!E13=TRUE,Inputs!$B$33,0))),0)</f>
        <v/>
      </c>
      <c r="R594">
        <f>IF(AND(Inputs!$B$39&lt;&gt;"pvp",Inputs!$B$44&gt;0),IF(Inputs!$B$44&lt;=0,0,(INT(Inputs!$B$44/IF(Inputs!$B$39="pvp",15,MAX(0.1,Skills!D13-IF(Skills!E13=TRUE,Inputs!$B$33,0))))+1)),0)</f>
        <v/>
      </c>
      <c r="S594">
        <f>IFERROR(O594/N594,0)</f>
        <v/>
      </c>
      <c r="T594" t="n">
        <v>0</v>
      </c>
      <c r="V594" t="n">
        <v>0</v>
      </c>
    </row>
    <row r="595">
      <c r="A595">
        <f>Skills!A14</f>
        <v/>
      </c>
      <c r="B595">
        <f>Skills!B14</f>
        <v/>
      </c>
      <c r="C595">
        <f>Inputs!$B$3&gt;=115</f>
        <v/>
      </c>
      <c r="D595">
        <f>IF(Skills!C14=1,60+Inputs!$B$26+Inputs!$B$30,IF(Skills!C14=2,90+Inputs!$B$27+Inputs!$B$30,IF(Skills!C14=3,120+Inputs!$B$28+Inputs!$B$30,MAX(0,(Inputs!$B$3-100)*3)+Inputs!$B$29+Inputs!$B$30)))</f>
        <v/>
      </c>
      <c r="E595">
        <f>INDEX(FactorTable!$B$2:$Y$301, MATCH(ROUND(MIN(300,MAX(1,D595)),0), FactorTable!$A$2:$A$301,0), Skills!M14+1)</f>
        <v/>
      </c>
      <c r="F595">
        <f>IF(Skills!N14=TRUE,(Skills!L14/10)*(E595/1000),Skills!L14/10)+Skills!O14</f>
        <v/>
      </c>
      <c r="G595">
        <f>Skills!G14*IF(Skills!H14&gt;0,Skills!I14/Skills!H14,1)</f>
        <v/>
      </c>
      <c r="H595">
        <f>1-(1-Skills!J14/100)^Skills!K14</f>
        <v/>
      </c>
      <c r="I595" t="inlineStr">
        <is>
          <t>1</t>
        </is>
      </c>
      <c r="J595" t="inlineStr"/>
      <c r="K595" t="inlineStr"/>
      <c r="L595" t="inlineStr"/>
      <c r="M595" t="inlineStr"/>
      <c r="N595" t="inlineStr"/>
      <c r="O595">
        <f>(1-Summary!$B$55)*T595+Summary!$B$55*V595</f>
        <v/>
      </c>
      <c r="P595">
        <f>IF(B620=0,0,O595/B620)</f>
        <v/>
      </c>
      <c r="Q595">
        <f>IFERROR(1/IF(Inputs!$B$39="pvp",15,MAX(0.1,Skills!D14-IF(Skills!E14=TRUE,Inputs!$B$33,0))),0)</f>
        <v/>
      </c>
      <c r="R595">
        <f>IF(AND(Inputs!$B$39&lt;&gt;"pvp",Inputs!$B$44&gt;0),IF(Inputs!$B$44&lt;=0,0,(INT(Inputs!$B$44/IF(Inputs!$B$39="pvp",15,MAX(0.1,Skills!D14-IF(Skills!E14=TRUE,Inputs!$B$33,0))))+1)),0)</f>
        <v/>
      </c>
      <c r="S595">
        <f>IFERROR(O595/N595,0)</f>
        <v/>
      </c>
      <c r="T595" t="n">
        <v>0</v>
      </c>
      <c r="V595" t="n">
        <v>0</v>
      </c>
    </row>
    <row r="596">
      <c r="A596">
        <f>Skills!A15</f>
        <v/>
      </c>
      <c r="B596">
        <f>Skills!B15</f>
        <v/>
      </c>
      <c r="C596">
        <f>Inputs!$B$3&gt;=66</f>
        <v/>
      </c>
      <c r="D596">
        <f>IF(Skills!C15=1,60+Inputs!$B$26+Inputs!$B$30,IF(Skills!C15=2,90+Inputs!$B$27+Inputs!$B$30,IF(Skills!C15=3,120+Inputs!$B$28+Inputs!$B$30,MAX(0,(Inputs!$B$3-100)*3)+Inputs!$B$29+Inputs!$B$30)))</f>
        <v/>
      </c>
      <c r="E596">
        <f>INDEX(FactorTable!$B$2:$Y$301, MATCH(ROUND(MIN(300,MAX(1,D596)),0), FactorTable!$A$2:$A$301,0), Skills!M15+1)</f>
        <v/>
      </c>
      <c r="F596">
        <f>IF(Skills!N15=TRUE,(Skills!L15/10)*(E596/1000),Skills!L15/10)+Skills!O15</f>
        <v/>
      </c>
      <c r="G596">
        <f>Skills!G15*IF(Skills!H15&gt;0,Skills!I15/Skills!H15,1)</f>
        <v/>
      </c>
      <c r="H596">
        <f>1-(1-Skills!J15/100)^Skills!K15</f>
        <v/>
      </c>
      <c r="I596" t="inlineStr">
        <is>
          <t>1</t>
        </is>
      </c>
      <c r="J596" t="inlineStr"/>
      <c r="K596" t="inlineStr"/>
      <c r="L596" t="inlineStr"/>
      <c r="M596" t="inlineStr"/>
      <c r="N596" t="inlineStr"/>
      <c r="O596">
        <f>(1-Summary!$B$55)*T596+Summary!$B$55*V596</f>
        <v/>
      </c>
      <c r="P596">
        <f>IF(B620=0,0,O596/B620)</f>
        <v/>
      </c>
      <c r="Q596">
        <f>IFERROR(1/IF(Inputs!$B$39="pvp",15,MAX(0.1,Skills!D15-IF(Skills!E15=TRUE,Inputs!$B$33,0))),0)</f>
        <v/>
      </c>
      <c r="R596">
        <f>IF(AND(Inputs!$B$39&lt;&gt;"pvp",Inputs!$B$44&gt;0),IF(Inputs!$B$44&lt;=0,0,(INT(Inputs!$B$44/IF(Inputs!$B$39="pvp",15,MAX(0.1,Skills!D15-IF(Skills!E15=TRUE,Inputs!$B$33,0))))+1)),0)</f>
        <v/>
      </c>
      <c r="S596">
        <f>IFERROR(O596/N596,0)</f>
        <v/>
      </c>
      <c r="T596" t="n">
        <v>0</v>
      </c>
      <c r="V596" t="n">
        <v>0</v>
      </c>
    </row>
    <row r="597">
      <c r="A597">
        <f>Skills!A16</f>
        <v/>
      </c>
      <c r="B597">
        <f>Skills!B16</f>
        <v/>
      </c>
      <c r="C597">
        <f>Inputs!$B$3&gt;=45</f>
        <v/>
      </c>
      <c r="D597">
        <f>IF(Skills!C16=1,60+Inputs!$B$26+Inputs!$B$30,IF(Skills!C16=2,90+Inputs!$B$27+Inputs!$B$30,IF(Skills!C16=3,120+Inputs!$B$28+Inputs!$B$30,MAX(0,(Inputs!$B$3-100)*3)+Inputs!$B$29+Inputs!$B$30)))</f>
        <v/>
      </c>
      <c r="E597">
        <f>INDEX(FactorTable!$B$2:$Y$301, MATCH(ROUND(MIN(300,MAX(1,D597)),0), FactorTable!$A$2:$A$301,0), Skills!M16+1)</f>
        <v/>
      </c>
      <c r="F597">
        <f>IF(Skills!N16=TRUE,(Skills!L16/10)*(E597/1000),Skills!L16/10)+Skills!O16</f>
        <v/>
      </c>
      <c r="G597">
        <f>Skills!G16*IF(Skills!H16&gt;0,Skills!I16/Skills!H16,1)</f>
        <v/>
      </c>
      <c r="H597">
        <f>1-(1-Skills!J16/100)^Skills!K16</f>
        <v/>
      </c>
      <c r="I597" t="inlineStr">
        <is>
          <t>1</t>
        </is>
      </c>
      <c r="J597" t="inlineStr"/>
      <c r="K597" t="inlineStr"/>
      <c r="L597" t="inlineStr"/>
      <c r="M597" t="inlineStr"/>
      <c r="N597" t="inlineStr"/>
      <c r="O597">
        <f>(1-Summary!$B$55)*T597+Summary!$B$55*V597</f>
        <v/>
      </c>
      <c r="P597">
        <f>IF(B620=0,0,O597/B620)</f>
        <v/>
      </c>
      <c r="Q597">
        <f>IFERROR(1/IF(Inputs!$B$39="pvp",15,MAX(0.1,Skills!D16-IF(Skills!E16=TRUE,Inputs!$B$33,0))),0)</f>
        <v/>
      </c>
      <c r="R597">
        <f>IF(AND(Inputs!$B$39&lt;&gt;"pvp",Inputs!$B$44&gt;0),IF(Inputs!$B$44&lt;=0,0,(INT(Inputs!$B$44/IF(Inputs!$B$39="pvp",15,MAX(0.1,Skills!D16-IF(Skills!E16=TRUE,Inputs!$B$33,0))))+1)),0)</f>
        <v/>
      </c>
      <c r="S597">
        <f>IFERROR(O597/N597,0)</f>
        <v/>
      </c>
      <c r="T597" t="n">
        <v>0</v>
      </c>
      <c r="V597" t="n">
        <v>0</v>
      </c>
    </row>
    <row r="598">
      <c r="A598">
        <f>Skills!A17</f>
        <v/>
      </c>
      <c r="B598">
        <f>Skills!B17</f>
        <v/>
      </c>
      <c r="C598">
        <f>Inputs!$B$3&gt;=35</f>
        <v/>
      </c>
      <c r="D598">
        <f>IF(Skills!C17=1,60+Inputs!$B$26+Inputs!$B$30,IF(Skills!C17=2,90+Inputs!$B$27+Inputs!$B$30,IF(Skills!C17=3,120+Inputs!$B$28+Inputs!$B$30,MAX(0,(Inputs!$B$3-100)*3)+Inputs!$B$29+Inputs!$B$30)))</f>
        <v/>
      </c>
      <c r="E598">
        <f>INDEX(FactorTable!$B$2:$Y$301, MATCH(ROUND(MIN(300,MAX(1,D598)),0), FactorTable!$A$2:$A$301,0), Skills!M17+1)</f>
        <v/>
      </c>
      <c r="F598">
        <f>IF(Skills!N17=TRUE,(Skills!L17/10)*(E598/1000),Skills!L17/10)+Skills!O17</f>
        <v/>
      </c>
      <c r="G598">
        <f>Skills!G17*IF(Skills!H17&gt;0,Skills!I17/Skills!H17,1)</f>
        <v/>
      </c>
      <c r="H598">
        <f>1-(1-Skills!J17/100)^Skills!K17</f>
        <v/>
      </c>
      <c r="I598" t="inlineStr">
        <is>
          <t>1</t>
        </is>
      </c>
      <c r="J598" t="inlineStr"/>
      <c r="K598" t="inlineStr"/>
      <c r="L598" t="inlineStr"/>
      <c r="M598" t="inlineStr"/>
      <c r="N598" t="inlineStr"/>
      <c r="O598">
        <f>(1-Summary!$B$55)*T598+Summary!$B$55*V598</f>
        <v/>
      </c>
      <c r="P598">
        <f>IF(B620=0,0,O598/B620)</f>
        <v/>
      </c>
      <c r="Q598">
        <f>IFERROR(1/IF(Inputs!$B$39="pvp",15,MAX(0.1,Skills!D17-IF(Skills!E17=TRUE,Inputs!$B$33,0))),0)</f>
        <v/>
      </c>
      <c r="R598">
        <f>IF(AND(Inputs!$B$39&lt;&gt;"pvp",Inputs!$B$44&gt;0),IF(Inputs!$B$44&lt;=0,0,(INT(Inputs!$B$44/IF(Inputs!$B$39="pvp",15,MAX(0.1,Skills!D17-IF(Skills!E17=TRUE,Inputs!$B$33,0))))+1)),0)</f>
        <v/>
      </c>
      <c r="S598">
        <f>IFERROR(O598/N598,0)</f>
        <v/>
      </c>
      <c r="T598" t="n">
        <v>0</v>
      </c>
      <c r="V598" t="n">
        <v>0</v>
      </c>
    </row>
    <row r="599">
      <c r="A599">
        <f>Skills!A18</f>
        <v/>
      </c>
      <c r="B599">
        <f>Skills!B18</f>
        <v/>
      </c>
      <c r="C599">
        <f>Inputs!$B$3&gt;=72</f>
        <v/>
      </c>
      <c r="D599">
        <f>IF(Skills!C18=1,60+Inputs!$B$26+Inputs!$B$30,IF(Skills!C18=2,90+Inputs!$B$27+Inputs!$B$30,IF(Skills!C18=3,120+Inputs!$B$28+Inputs!$B$30,MAX(0,(Inputs!$B$3-100)*3)+Inputs!$B$29+Inputs!$B$30)))</f>
        <v/>
      </c>
      <c r="E599">
        <f>INDEX(FactorTable!$B$2:$Y$301, MATCH(ROUND(MIN(300,MAX(1,D599)),0), FactorTable!$A$2:$A$301,0), Skills!M18+1)</f>
        <v/>
      </c>
      <c r="F599">
        <f>IF(Skills!N18=TRUE,(Skills!L18/10)*(E599/1000),Skills!L18/10)+Skills!O18</f>
        <v/>
      </c>
      <c r="G599">
        <f>Skills!G18*IF(Skills!H18&gt;0,Skills!I18/Skills!H18,1)</f>
        <v/>
      </c>
      <c r="H599">
        <f>1-(1-Skills!J18/100)^Skills!K18</f>
        <v/>
      </c>
      <c r="I599" t="inlineStr">
        <is>
          <t>1</t>
        </is>
      </c>
      <c r="J599" t="inlineStr"/>
      <c r="K599" t="inlineStr"/>
      <c r="L599" t="inlineStr"/>
      <c r="M599" t="inlineStr"/>
      <c r="N599" t="inlineStr"/>
      <c r="O599">
        <f>(1-Summary!$B$55)*T599+Summary!$B$55*V599</f>
        <v/>
      </c>
      <c r="P599">
        <f>IF(B620=0,0,O599/B620)</f>
        <v/>
      </c>
      <c r="Q599">
        <f>IFERROR(1/IF(Inputs!$B$39="pvp",15,MAX(0.1,Skills!D18-IF(Skills!E18=TRUE,Inputs!$B$33,0))),0)</f>
        <v/>
      </c>
      <c r="R599">
        <f>IF(AND(Inputs!$B$39&lt;&gt;"pvp",Inputs!$B$44&gt;0),IF(Inputs!$B$44&lt;=0,0,(INT(Inputs!$B$44/IF(Inputs!$B$39="pvp",15,MAX(0.1,Skills!D18-IF(Skills!E18=TRUE,Inputs!$B$33,0))))+1)),0)</f>
        <v/>
      </c>
      <c r="S599">
        <f>IFERROR(O599/N599,0)</f>
        <v/>
      </c>
      <c r="T599" t="n">
        <v>0</v>
      </c>
      <c r="V599" t="n">
        <v>0</v>
      </c>
    </row>
    <row r="600">
      <c r="A600">
        <f>Skills!A19</f>
        <v/>
      </c>
      <c r="B600">
        <f>Skills!B19</f>
        <v/>
      </c>
      <c r="C600">
        <f>Inputs!$B$3&gt;=72</f>
        <v/>
      </c>
      <c r="D600">
        <f>IF(Skills!C19=1,60+Inputs!$B$26+Inputs!$B$30,IF(Skills!C19=2,90+Inputs!$B$27+Inputs!$B$30,IF(Skills!C19=3,120+Inputs!$B$28+Inputs!$B$30,MAX(0,(Inputs!$B$3-100)*3)+Inputs!$B$29+Inputs!$B$30)))</f>
        <v/>
      </c>
      <c r="E600">
        <f>INDEX(FactorTable!$B$2:$Y$301, MATCH(ROUND(MIN(300,MAX(1,D600)),0), FactorTable!$A$2:$A$301,0), Skills!M19+1)</f>
        <v/>
      </c>
      <c r="F600">
        <f>IF(Skills!N19=TRUE,(Skills!L19/10)*(E600/1000),Skills!L19/10)+Skills!O19</f>
        <v/>
      </c>
      <c r="G600">
        <f>Skills!G19*IF(Skills!H19&gt;0,Skills!I19/Skills!H19,1)</f>
        <v/>
      </c>
      <c r="H600">
        <f>1-(1-Skills!J19/100)^Skills!K19</f>
        <v/>
      </c>
      <c r="I600" t="inlineStr">
        <is>
          <t>1</t>
        </is>
      </c>
      <c r="J600" t="inlineStr"/>
      <c r="K600" t="inlineStr"/>
      <c r="L600" t="inlineStr"/>
      <c r="M600" t="inlineStr"/>
      <c r="N600" t="inlineStr"/>
      <c r="O600">
        <f>(1-Summary!$B$55)*T600+Summary!$B$55*V600</f>
        <v/>
      </c>
      <c r="P600">
        <f>IF(B620=0,0,O600/B620)</f>
        <v/>
      </c>
      <c r="Q600">
        <f>IFERROR(1/IF(Inputs!$B$39="pvp",15,MAX(0.1,Skills!D19-IF(Skills!E19=TRUE,Inputs!$B$33,0))),0)</f>
        <v/>
      </c>
      <c r="R600">
        <f>IF(AND(Inputs!$B$39&lt;&gt;"pvp",Inputs!$B$44&gt;0),IF(Inputs!$B$44&lt;=0,0,(INT(Inputs!$B$44/IF(Inputs!$B$39="pvp",15,MAX(0.1,Skills!D19-IF(Skills!E19=TRUE,Inputs!$B$33,0))))+1)),0)</f>
        <v/>
      </c>
      <c r="S600">
        <f>IFERROR(O600/N600,0)</f>
        <v/>
      </c>
      <c r="T600" t="n">
        <v>0</v>
      </c>
      <c r="V600" t="n">
        <v>0</v>
      </c>
    </row>
    <row r="601">
      <c r="A601">
        <f>Skills!A20</f>
        <v/>
      </c>
      <c r="B601">
        <f>Skills!B20</f>
        <v/>
      </c>
      <c r="C601">
        <f>TRUE</f>
        <v/>
      </c>
      <c r="D601">
        <f>IF(Skills!C20=1,60+Inputs!$B$26+Inputs!$B$30,IF(Skills!C20=2,90+Inputs!$B$27+Inputs!$B$30,IF(Skills!C20=3,120+Inputs!$B$28+Inputs!$B$30,MAX(0,(Inputs!$B$3-100)*3)+Inputs!$B$29+Inputs!$B$30)))</f>
        <v/>
      </c>
      <c r="E601">
        <f>INDEX(FactorTable!$B$2:$Y$301, MATCH(ROUND(MIN(300,MAX(1,D601)),0), FactorTable!$A$2:$A$301,0), Skills!M20+1)</f>
        <v/>
      </c>
      <c r="F601">
        <f>IF(Skills!N20=TRUE,(Skills!L20/10)*(E601/1000),Skills!L20/10)+Skills!O20</f>
        <v/>
      </c>
      <c r="G601">
        <f>Skills!G20*IF(Skills!H20&gt;0,Skills!I20/Skills!H20,1)</f>
        <v/>
      </c>
      <c r="H601">
        <f>1-(1-Skills!J20/100)^Skills!K20</f>
        <v/>
      </c>
      <c r="I601" t="inlineStr">
        <is>
          <t>1</t>
        </is>
      </c>
      <c r="J601" t="inlineStr"/>
      <c r="K601" t="inlineStr"/>
      <c r="L601" t="inlineStr"/>
      <c r="M601" t="inlineStr"/>
      <c r="N601" t="inlineStr"/>
      <c r="O601">
        <f>(1-Summary!$B$55)*T601+Summary!$B$55*V601</f>
        <v/>
      </c>
      <c r="P601">
        <f>IF(B620=0,0,O601/B620)</f>
        <v/>
      </c>
      <c r="Q601">
        <f>IFERROR(1/IF(Inputs!$B$39="pvp",15,MAX(0.1,Skills!D20-IF(Skills!E20=TRUE,Inputs!$B$33,0))),0)</f>
        <v/>
      </c>
      <c r="R601">
        <f>IF(AND(Inputs!$B$39&lt;&gt;"pvp",Inputs!$B$44&gt;0),IF(Inputs!$B$44&lt;=0,0,(INT(Inputs!$B$44/IF(Inputs!$B$39="pvp",15,MAX(0.1,Skills!D20-IF(Skills!E20=TRUE,Inputs!$B$33,0))))+1)),0)</f>
        <v/>
      </c>
      <c r="S601">
        <f>IFERROR(O601/N601,0)</f>
        <v/>
      </c>
      <c r="T601" t="n">
        <v>0</v>
      </c>
      <c r="V601" t="n">
        <v>0</v>
      </c>
    </row>
    <row r="602">
      <c r="A602">
        <f>Skills!A21</f>
        <v/>
      </c>
      <c r="B602">
        <f>Skills!B21</f>
        <v/>
      </c>
      <c r="C602">
        <f>Inputs!$B$3&gt;=33</f>
        <v/>
      </c>
      <c r="D602">
        <f>IF(Skills!C21=1,60+Inputs!$B$26+Inputs!$B$30,IF(Skills!C21=2,90+Inputs!$B$27+Inputs!$B$30,IF(Skills!C21=3,120+Inputs!$B$28+Inputs!$B$30,MAX(0,(Inputs!$B$3-100)*3)+Inputs!$B$29+Inputs!$B$30)))</f>
        <v/>
      </c>
      <c r="E602">
        <f>INDEX(FactorTable!$B$2:$Y$301, MATCH(ROUND(MIN(300,MAX(1,D602)),0), FactorTable!$A$2:$A$301,0), Skills!M21+1)</f>
        <v/>
      </c>
      <c r="F602">
        <f>IF(Skills!N21=TRUE,(Skills!L21/10)*(E602/1000),Skills!L21/10)+Skills!O21</f>
        <v/>
      </c>
      <c r="G602">
        <f>Skills!G21*IF(Skills!H21&gt;0,Skills!I21/Skills!H21,1)</f>
        <v/>
      </c>
      <c r="H602">
        <f>1-(1-Skills!J21/100)^Skills!K21</f>
        <v/>
      </c>
      <c r="I602" t="inlineStr">
        <is>
          <t>1</t>
        </is>
      </c>
      <c r="J602" t="inlineStr"/>
      <c r="K602" t="inlineStr"/>
      <c r="L602" t="inlineStr"/>
      <c r="M602" t="inlineStr"/>
      <c r="N602" t="inlineStr"/>
      <c r="O602">
        <f>(1-Summary!$B$55)*T602+Summary!$B$55*V602</f>
        <v/>
      </c>
      <c r="P602">
        <f>IF(B620=0,0,O602/B620)</f>
        <v/>
      </c>
      <c r="Q602" t="n">
        <v>0</v>
      </c>
      <c r="R602" t="n">
        <v>0</v>
      </c>
      <c r="S602">
        <f>IFERROR(O602/N602,0)</f>
        <v/>
      </c>
      <c r="T602" t="n">
        <v>0</v>
      </c>
      <c r="V602" t="n">
        <v>0</v>
      </c>
    </row>
    <row r="603">
      <c r="A603">
        <f>Skills!A22</f>
        <v/>
      </c>
      <c r="B603">
        <f>Skills!B22</f>
        <v/>
      </c>
      <c r="C603">
        <f>Inputs!$B$3&gt;=43</f>
        <v/>
      </c>
      <c r="D603">
        <f>IF(Skills!C22=1,60+Inputs!$B$26+Inputs!$B$30,IF(Skills!C22=2,90+Inputs!$B$27+Inputs!$B$30,IF(Skills!C22=3,120+Inputs!$B$28+Inputs!$B$30,MAX(0,(Inputs!$B$3-100)*3)+Inputs!$B$29+Inputs!$B$30)))</f>
        <v/>
      </c>
      <c r="E603">
        <f>INDEX(FactorTable!$B$2:$Y$301, MATCH(ROUND(MIN(300,MAX(1,D603)),0), FactorTable!$A$2:$A$301,0), Skills!M22+1)</f>
        <v/>
      </c>
      <c r="F603">
        <f>IF(Skills!N22=TRUE,(Skills!L22/10)*(E603/1000),Skills!L22/10)+Skills!O22</f>
        <v/>
      </c>
      <c r="G603">
        <f>Skills!G22*IF(Skills!H22&gt;0,Skills!I22/Skills!H22,1)</f>
        <v/>
      </c>
      <c r="H603">
        <f>1-(1-Skills!J22/100)^Skills!K22</f>
        <v/>
      </c>
      <c r="I603" t="inlineStr">
        <is>
          <t>1</t>
        </is>
      </c>
      <c r="J603" t="inlineStr"/>
      <c r="K603" t="inlineStr"/>
      <c r="L603" t="inlineStr"/>
      <c r="M603" t="inlineStr"/>
      <c r="N603" t="inlineStr"/>
      <c r="O603">
        <f>(1-Summary!$B$55)*T603+Summary!$B$55*V603</f>
        <v/>
      </c>
      <c r="P603">
        <f>IF(B620=0,0,O603/B620)</f>
        <v/>
      </c>
      <c r="Q603" t="n">
        <v>0</v>
      </c>
      <c r="R603" t="n">
        <v>0</v>
      </c>
      <c r="S603">
        <f>IFERROR(O603/N603,0)</f>
        <v/>
      </c>
      <c r="T603" t="n">
        <v>0</v>
      </c>
      <c r="V603" t="n">
        <v>0</v>
      </c>
    </row>
    <row r="604">
      <c r="A604">
        <f>Skills!A23</f>
        <v/>
      </c>
      <c r="B604">
        <f>Skills!B23</f>
        <v/>
      </c>
      <c r="C604">
        <f>Inputs!$B$3&gt;=120</f>
        <v/>
      </c>
      <c r="D604">
        <f>IF(Skills!C23=1,60+Inputs!$B$26+Inputs!$B$30,IF(Skills!C23=2,90+Inputs!$B$27+Inputs!$B$30,IF(Skills!C23=3,120+Inputs!$B$28+Inputs!$B$30,MAX(0,(Inputs!$B$3-100)*3)+Inputs!$B$29+Inputs!$B$30)))</f>
        <v/>
      </c>
      <c r="E604">
        <f>INDEX(FactorTable!$B$2:$Y$301, MATCH(ROUND(MIN(300,MAX(1,D604)),0), FactorTable!$A$2:$A$301,0), Skills!M23+1)</f>
        <v/>
      </c>
      <c r="F604">
        <f>IF(Skills!N23=TRUE,(Skills!L23/10)*(E604/1000),Skills!L23/10)+Skills!O23</f>
        <v/>
      </c>
      <c r="G604">
        <f>Skills!G23*IF(Skills!H23&gt;0,Skills!I23/Skills!H23,1)</f>
        <v/>
      </c>
      <c r="H604">
        <f>1-(1-Skills!J23/100)^Skills!K23</f>
        <v/>
      </c>
      <c r="I604" t="inlineStr">
        <is>
          <t>1</t>
        </is>
      </c>
      <c r="J604" t="inlineStr"/>
      <c r="K604" t="inlineStr"/>
      <c r="L604" t="inlineStr"/>
      <c r="M604" t="inlineStr"/>
      <c r="N604" t="inlineStr"/>
      <c r="O604">
        <f>(1-Summary!$B$55)*T604+Summary!$B$55*V604</f>
        <v/>
      </c>
      <c r="P604">
        <f>IF(B620=0,0,O604/B620)</f>
        <v/>
      </c>
      <c r="Q604" t="n">
        <v>0</v>
      </c>
      <c r="R604" t="n">
        <v>0</v>
      </c>
      <c r="S604">
        <f>IFERROR(O604/N604,0)</f>
        <v/>
      </c>
      <c r="T604" t="n">
        <v>0</v>
      </c>
      <c r="V604" t="n">
        <v>0</v>
      </c>
    </row>
    <row r="605">
      <c r="A605">
        <f>Skills!A24</f>
        <v/>
      </c>
      <c r="B605">
        <f>Skills!B24</f>
        <v/>
      </c>
      <c r="C605">
        <f>Inputs!$B$3&gt;=120</f>
        <v/>
      </c>
      <c r="D605">
        <f>IF(Skills!C24=1,60+Inputs!$B$26+Inputs!$B$30,IF(Skills!C24=2,90+Inputs!$B$27+Inputs!$B$30,IF(Skills!C24=3,120+Inputs!$B$28+Inputs!$B$30,MAX(0,(Inputs!$B$3-100)*3)+Inputs!$B$29+Inputs!$B$30)))</f>
        <v/>
      </c>
      <c r="E605">
        <f>INDEX(FactorTable!$B$2:$Y$301, MATCH(ROUND(MIN(300,MAX(1,D605)),0), FactorTable!$A$2:$A$301,0), Skills!M24+1)</f>
        <v/>
      </c>
      <c r="F605">
        <f>IF(Skills!N24=TRUE,(Skills!L24/10)*(E605/1000),Skills!L24/10)+Skills!O24</f>
        <v/>
      </c>
      <c r="G605">
        <f>Skills!G24*IF(Skills!H24&gt;0,Skills!I24/Skills!H24,1)</f>
        <v/>
      </c>
      <c r="H605">
        <f>1-(1-Skills!J24/100)^Skills!K24</f>
        <v/>
      </c>
      <c r="I605" t="inlineStr">
        <is>
          <t>1</t>
        </is>
      </c>
      <c r="J605" t="inlineStr"/>
      <c r="K605" t="inlineStr"/>
      <c r="L605" t="inlineStr"/>
      <c r="M605" t="inlineStr"/>
      <c r="N605" t="inlineStr"/>
      <c r="O605">
        <f>(1-Summary!$B$55)*T605+Summary!$B$55*V605</f>
        <v/>
      </c>
      <c r="P605">
        <f>IF(B620=0,0,O605/B620)</f>
        <v/>
      </c>
      <c r="Q605" t="n">
        <v>0</v>
      </c>
      <c r="R605" t="n">
        <v>0</v>
      </c>
      <c r="S605">
        <f>IFERROR(O605/N605,0)</f>
        <v/>
      </c>
      <c r="T605" t="n">
        <v>0</v>
      </c>
      <c r="V605" t="n">
        <v>0</v>
      </c>
    </row>
    <row r="606">
      <c r="A606">
        <f>Skills!A25</f>
        <v/>
      </c>
      <c r="B606">
        <f>Skills!B25</f>
        <v/>
      </c>
      <c r="C606">
        <f>Inputs!$B$3&gt;=125</f>
        <v/>
      </c>
      <c r="D606">
        <f>IF(Skills!C25=1,60+Inputs!$B$26+Inputs!$B$30,IF(Skills!C25=2,90+Inputs!$B$27+Inputs!$B$30,IF(Skills!C25=3,120+Inputs!$B$28+Inputs!$B$30,MAX(0,(Inputs!$B$3-100)*3)+Inputs!$B$29+Inputs!$B$30)))</f>
        <v/>
      </c>
      <c r="E606">
        <f>INDEX(FactorTable!$B$2:$Y$301, MATCH(ROUND(MIN(300,MAX(1,D606)),0), FactorTable!$A$2:$A$301,0), Skills!M25+1)</f>
        <v/>
      </c>
      <c r="F606">
        <f>IF(Skills!N25=TRUE,(Skills!L25/10)*(E606/1000),Skills!L25/10)+Skills!O25</f>
        <v/>
      </c>
      <c r="G606">
        <f>Skills!G25*IF(Skills!H25&gt;0,Skills!I25/Skills!H25,1)</f>
        <v/>
      </c>
      <c r="H606">
        <f>1-(1-Skills!J25/100)^Skills!K25</f>
        <v/>
      </c>
      <c r="I606" t="inlineStr">
        <is>
          <t>1</t>
        </is>
      </c>
      <c r="J606" t="inlineStr"/>
      <c r="K606" t="inlineStr"/>
      <c r="L606" t="inlineStr"/>
      <c r="M606" t="inlineStr"/>
      <c r="N606" t="inlineStr"/>
      <c r="O606">
        <f>(1-Summary!$B$55)*T606+Summary!$B$55*V606</f>
        <v/>
      </c>
      <c r="P606">
        <f>IF(B620=0,0,O606/B620)</f>
        <v/>
      </c>
      <c r="Q606" t="n">
        <v>0</v>
      </c>
      <c r="R606" t="n">
        <v>0</v>
      </c>
      <c r="S606">
        <f>IFERROR(O606/N606,0)</f>
        <v/>
      </c>
      <c r="T606" t="n">
        <v>0</v>
      </c>
      <c r="V606" t="n">
        <v>0</v>
      </c>
    </row>
    <row r="607">
      <c r="A607">
        <f>Skills!A26</f>
        <v/>
      </c>
      <c r="B607">
        <f>Skills!B26</f>
        <v/>
      </c>
      <c r="C607">
        <f>Inputs!$B$3&gt;=107</f>
        <v/>
      </c>
      <c r="D607">
        <f>IF(Skills!C26=1,60+Inputs!$B$26+Inputs!$B$30,IF(Skills!C26=2,90+Inputs!$B$27+Inputs!$B$30,IF(Skills!C26=3,120+Inputs!$B$28+Inputs!$B$30,MAX(0,(Inputs!$B$3-100)*3)+Inputs!$B$29+Inputs!$B$30)))</f>
        <v/>
      </c>
      <c r="E607">
        <f>INDEX(FactorTable!$B$2:$Y$301, MATCH(ROUND(MIN(300,MAX(1,D607)),0), FactorTable!$A$2:$A$301,0), Skills!M26+1)</f>
        <v/>
      </c>
      <c r="F607">
        <f>IF(Skills!N26=TRUE,(Skills!L26/10)*(E607/1000),Skills!L26/10)+Skills!O26</f>
        <v/>
      </c>
      <c r="G607">
        <f>Skills!G26*IF(Skills!H26&gt;0,Skills!I26/Skills!H26,1)</f>
        <v/>
      </c>
      <c r="H607">
        <f>1-(1-Skills!J26/100)^Skills!K26</f>
        <v/>
      </c>
      <c r="I607" t="inlineStr">
        <is>
          <t>1</t>
        </is>
      </c>
      <c r="J607" t="inlineStr"/>
      <c r="K607" t="inlineStr"/>
      <c r="L607" t="inlineStr"/>
      <c r="M607" t="inlineStr"/>
      <c r="N607" t="inlineStr"/>
      <c r="O607">
        <f>(1-Summary!$B$55)*T607+Summary!$B$55*V607</f>
        <v/>
      </c>
      <c r="P607">
        <f>IF(B620=0,0,O607/B620)</f>
        <v/>
      </c>
      <c r="Q607" t="n">
        <v>0</v>
      </c>
      <c r="R607" t="n">
        <v>0</v>
      </c>
      <c r="S607">
        <f>IFERROR(O607/N607,0)</f>
        <v/>
      </c>
      <c r="T607" t="n">
        <v>0</v>
      </c>
      <c r="V607" t="n">
        <v>0</v>
      </c>
    </row>
    <row r="609">
      <c r="A609" t="inlineStr">
        <is>
          <t>Attack% Bucket Multiplier</t>
        </is>
      </c>
      <c r="B609">
        <f>(1+(((C594=TRUE)*F594*IF(AND(Inputs!$B$39&lt;&gt;"pvp",Inputs!$B$44&gt;0),(((R594-1)*(Skills!T13*(1+Inputs!$B$35/100))+MIN((Skills!T13*(1+Inputs!$B$35/100)),MAX(0,Inputs!$B$44-((R594-1)*Skills!D13))))/Inputs!$B$44),IF(Inputs!$B$39="pvp",MIN((Skills!T13*(1+Inputs!$B$35/100)),15)/15,(Skills!T13*(1+Inputs!$B$35/100))/Skills!D13)))+((C595=TRUE)*F595*IF(AND(Inputs!$B$39&lt;&gt;"pvp",Inputs!$B$44&gt;0),(((R595-1)*(Skills!T14*(1+Inputs!$B$35/100))+MIN((Skills!T14*(1+Inputs!$B$35/100)),MAX(0,Inputs!$B$44-((R595-1)*Skills!D14))))/Inputs!$B$44),IF(Inputs!$B$39="pvp",MIN((Skills!T14*(1+Inputs!$B$35/100)),15)/15,(Skills!T14*(1+Inputs!$B$35/100))/Skills!D14)))+((C596=TRUE)*F596*IF(AND(Inputs!$B$39&lt;&gt;"pvp",Inputs!$B$44&gt;0),(((R596-1)*(Skills!T15*(1+Inputs!$B$35/100))+MIN((Skills!T15*(1+Inputs!$B$35/100)),MAX(0,Inputs!$B$44-((R596-1)*Skills!D15))))/Inputs!$B$44),IF(Inputs!$B$39="pvp",MIN((Skills!T15*(1+Inputs!$B$35/100)),15)/15,(Skills!T15*(1+Inputs!$B$35/100))/Skills!D15)))+((C597=TRUE)*F597*IF(AND(Inputs!$B$39&lt;&gt;"pvp",Inputs!$B$44&gt;0),(((R597-1)*(Skills!T16*(1+Inputs!$B$35/100))+MIN((Skills!T16*(1+Inputs!$B$35/100)),MAX(0,Inputs!$B$44-((R597-1)*Skills!D16))))/Inputs!$B$44),IF(Inputs!$B$39="pvp",MIN((Skills!T16*(1+Inputs!$B$35/100)),15)/15,(Skills!T16*(1+Inputs!$B$35/100))/Skills!D16)))+0)/100)</f>
        <v/>
      </c>
    </row>
    <row r="610">
      <c r="A610" t="inlineStr">
        <is>
          <t>Global Crit Rate Bonus % (Lord of Darkness)</t>
        </is>
      </c>
      <c r="B610">
        <f>((C599=TRUE)*F599*(Skills!J18/100)*IF(AND(Inputs!$B$39&lt;&gt;"pvp",Inputs!$B$44&gt;0),(((R599-1)*(Skills!T18*(1+Inputs!$B$35/100))+MIN((Skills!T18*(1+Inputs!$B$35/100)),MAX(0,Inputs!$B$44-((R599-1)*Skills!D18))))/Inputs!$B$44),IF(Inputs!$B$39="pvp",MIN((Skills!T18*(1+Inputs!$B$35/100)),15)/15,(Skills!T18*(1+Inputs!$B$35/100))/Skills!D18)))</f>
        <v/>
      </c>
    </row>
    <row r="611">
      <c r="A611" t="inlineStr">
        <is>
          <t>Attack Speed Buff Bonus %</t>
        </is>
      </c>
      <c r="B611">
        <f>((C601=TRUE)*F601*IF(AND(Inputs!$B$39&lt;&gt;"pvp",Inputs!$B$44&gt;0),(((R601-1)*(Skills!T20*(1+Inputs!$B$35/100))+MIN((Skills!T20*(1+Inputs!$B$35/100)),MAX(0,Inputs!$B$44-((R601-1)*Skills!D20))))/Inputs!$B$44),IF(Inputs!$B$39="pvp",MIN((Skills!T20*(1+Inputs!$B$35/100)),15)/15,(Skills!T20*(1+Inputs!$B$35/100))/Skills!D20)))</f>
        <v/>
      </c>
    </row>
    <row r="612">
      <c r="A612" t="inlineStr">
        <is>
          <t>Actions Per Second</t>
        </is>
      </c>
      <c r="B612">
        <f>1+MIN(150,150*(1-(1-(Inputs!$B$12+((C602=TRUE)*(F602-Calc!F21)))/150)*(1-B611/150)))/100</f>
        <v/>
      </c>
    </row>
    <row r="613">
      <c r="A613" t="inlineStr">
        <is>
          <t>Skill + Buff Cast Rate</t>
        </is>
      </c>
      <c r="B613">
        <f>IF(AND(Inputs!$B$39&lt;&gt;"pvp",Inputs!$B$44&gt;0),SUMPRODUCT((Skills!E2:E26=TRUE)*(C583:C607=TRUE)*R583:R607*Skills!F2:F26)/Inputs!$B$44,SUMPRODUCT((Skills!E2:E26=TRUE)*(C583:C607=TRUE)*Q583:Q607*Skills!F2:F26))</f>
        <v/>
      </c>
    </row>
    <row r="614">
      <c r="A614" t="inlineStr">
        <is>
          <t>Dark Impale Casts Per Second</t>
        </is>
      </c>
      <c r="B614">
        <f>MAX(0,B612-B613)</f>
        <v/>
      </c>
    </row>
    <row r="615">
      <c r="A615" t="inlineStr">
        <is>
          <t>Global Critical Damage Bonus % (Lord of Darkness)</t>
        </is>
      </c>
      <c r="B615">
        <f>((C600=TRUE)*F600*(Skills!J19/100)*IF(AND(Inputs!$B$39&lt;&gt;"pvp",Inputs!$B$44&gt;0),(((R600-1)*(Skills!T19*(1+Inputs!$B$35/100))+MIN((Skills!T19*(1+Inputs!$B$35/100)),MAX(0,Inputs!$B$44-((R600-1)*Skills!D19))))/Inputs!$B$44),IF(Inputs!$B$39="pvp",MIN((Skills!T19*(1+Inputs!$B$35/100)),15)/15,(Skills!T19*(1+Inputs!$B$35/100))/Skills!D19)))</f>
        <v/>
      </c>
    </row>
    <row r="616">
      <c r="A616" t="inlineStr">
        <is>
          <t>Global Final Damage Bonus % (unused)</t>
        </is>
      </c>
      <c r="B616" t="n">
        <v>0</v>
      </c>
    </row>
    <row r="617">
      <c r="A617" t="inlineStr">
        <is>
          <t>Buff-Casting Startup Delay (s, fixed-duration only)</t>
        </is>
      </c>
      <c r="B617">
        <f>IF(AND(Inputs!$B$39&lt;&gt;"pvp",Inputs!$B$44&gt;0),SUMPRODUCT((Skills!T2:T26&gt;0)*(Skills!E2:E26=TRUE)*(C583:C607=TRUE))/B612,0)</f>
        <v/>
      </c>
    </row>
    <row r="618">
      <c r="A618" t="inlineStr">
        <is>
          <t>Boss-Only Total DPS (this block's swept value)</t>
        </is>
      </c>
      <c r="B618">
        <f>SUM(T583:T607)</f>
        <v/>
      </c>
    </row>
    <row r="619">
      <c r="A619" t="inlineStr">
        <is>
          <t>Normal-Only Total DPS (this block's swept value)</t>
        </is>
      </c>
      <c r="B619">
        <f>SUM(V583:V607)</f>
        <v/>
      </c>
    </row>
    <row r="620">
      <c r="A620" s="5" t="inlineStr">
        <is>
          <t>TOTAL DPS</t>
        </is>
      </c>
      <c r="B620" s="5">
        <f>SUM(O583:O607)</f>
        <v/>
      </c>
    </row>
    <row r="623">
      <c r="A623" s="5" t="inlineStr">
        <is>
          <t>Stat: ATTACK_SPEED % (diminishing returns, factor 150)</t>
        </is>
      </c>
    </row>
    <row r="624">
      <c r="A624" s="9" t="inlineStr">
        <is>
          <t>Key</t>
        </is>
      </c>
      <c r="B624" s="9" t="inlineStr">
        <is>
          <t>Name</t>
        </is>
      </c>
      <c r="C624" s="9" t="inlineStr">
        <is>
          <t>Unlocked</t>
        </is>
      </c>
      <c r="D624" s="9" t="inlineStr">
        <is>
          <t>InputLevel</t>
        </is>
      </c>
      <c r="E624" s="9" t="inlineStr">
        <is>
          <t>Factor</t>
        </is>
      </c>
      <c r="F624" s="9" t="inlineStr">
        <is>
          <t>CoefficientPercent</t>
        </is>
      </c>
      <c r="G624" s="9" t="inlineStr">
        <is>
          <t>EffectiveHits</t>
        </is>
      </c>
      <c r="H624" s="9" t="inlineStr">
        <is>
          <t>ProcProbability</t>
        </is>
      </c>
      <c r="I624" s="9" t="inlineStr">
        <is>
          <t>MapleHeroMultiplier</t>
        </is>
      </c>
      <c r="J624" s="9" t="inlineStr">
        <is>
          <t>BaseDamage</t>
        </is>
      </c>
      <c r="K624" s="9" t="inlineStr">
        <is>
          <t>BaseHitDamage</t>
        </is>
      </c>
      <c r="L624" s="9" t="inlineStr">
        <is>
          <t>NonCritAvg</t>
        </is>
      </c>
      <c r="M624" s="9" t="inlineStr">
        <is>
          <t>CritAvg</t>
        </is>
      </c>
      <c r="N624" s="9" t="inlineStr">
        <is>
          <t>ExpectedDamage(perHit)</t>
        </is>
      </c>
      <c r="O624" s="9" t="inlineStr">
        <is>
          <t>DPS</t>
        </is>
      </c>
      <c r="P624" s="9" t="inlineStr">
        <is>
          <t>% of Total</t>
        </is>
      </c>
      <c r="Q624" s="9" t="inlineStr">
        <is>
          <t>InvCooldown</t>
        </is>
      </c>
      <c r="R624" s="9" t="inlineStr">
        <is>
          <t>CastsInFight</t>
        </is>
      </c>
      <c r="S624" s="9" t="inlineStr">
        <is>
          <t>HitRate(perSec)</t>
        </is>
      </c>
      <c r="U624" t="inlineStr">
        <is>
          <t>helpers</t>
        </is>
      </c>
    </row>
    <row r="625">
      <c r="A625">
        <f>Skills!A2</f>
        <v/>
      </c>
      <c r="B625">
        <f>Skills!B2</f>
        <v/>
      </c>
      <c r="C625">
        <f>Inputs!$B$3&gt;=100</f>
        <v/>
      </c>
      <c r="D625" t="inlineStr"/>
      <c r="E625" t="inlineStr"/>
      <c r="F625">
        <f>U627+Skills!O2</f>
        <v/>
      </c>
      <c r="G625">
        <f>Skills!G2*IF(Skills!H2&gt;0,Skills!I2/Skills!H2,1)</f>
        <v/>
      </c>
      <c r="H625">
        <f>1-(1-Skills!J2/100)^Skills!K2</f>
        <v/>
      </c>
      <c r="I625" t="inlineStr">
        <is>
          <t>1</t>
        </is>
      </c>
      <c r="J625">
        <f>((Inputs!$B$6*(1+Inputs!$B$7/100))+(((Inputs!$B$13*(1+Inputs!$B$14/100))-(Inputs!$B$13*(1+Inputs!$B$14/100)))+0.25*(Inputs!$B$15-Inputs!$B$15))*(1+Inputs!$B$7/100))*(F625/100)</f>
        <v/>
      </c>
      <c r="K625">
        <f>J625*(1+(((Inputs!$B$13+IF(Inputs!$B$3&gt;=38,(10*INDEX(FactorTable!$B$2:$Y$301, MATCH(ROUND(MIN(300,MAX(1,Inputs!$B$3)),0), FactorTable!$A$2:$A$301,0), 23)/1000)/100*(Inputs!$B$8*(1+Inputs!$B$9/100)),0))*(1+Inputs!$B$14/100))*0.01+Inputs!$B$15*0.0025)/100)*(1+Inputs!$B$16/100)*(1+Inputs!$B$17/100)*(5000/(6000+Inputs!$B$43*(1-(Inputs!$B$20+0)/100)))*(1+(Inputs!$B$25+((C648=TRUE)*(F648-Calc!F25))+((C649=TRUE)*(F649-Calc!F26))+B658)/100)*(1+(IF(Skills!A2="DARK_IMPALE",Inputs!$B$18+0,Inputs!$B$19+((C646=TRUE)*(F646-Calc!F23))))/100)*((1+(((C636=TRUE)*F636*IF(AND(Inputs!$B$39&lt;&gt;"pvp",Inputs!$B$44&gt;0),(((R636-1)*(Skills!T13*(1+Inputs!$B$35/100))+MIN((Skills!T13*(1+Inputs!$B$35/100)),MAX(0,Inputs!$B$44-((R636-1)*Skills!D13))))/Inputs!$B$44),IF(Inputs!$B$39="pvp",MIN((Skills!T13*(1+Inputs!$B$35/100)),15)/15,(Skills!T13*(1+Inputs!$B$35/100))/Skills!D13)))+((C637=TRUE)*F637*IF(AND(Inputs!$B$39&lt;&gt;"pvp",Inputs!$B$44&gt;0),(((R637-1)*(Skills!T14*(1+Inputs!$B$35/100))+MIN((Skills!T14*(1+Inputs!$B$35/100)),MAX(0,Inputs!$B$44-((R637-1)*Skills!D14))))/Inputs!$B$44),IF(Inputs!$B$39="pvp",MIN((Skills!T14*(1+Inputs!$B$35/100)),15)/15,(Skills!T14*(1+Inputs!$B$35/100))/Skills!D14)))+((C638=TRUE)*F638*IF(AND(Inputs!$B$39&lt;&gt;"pvp",Inputs!$B$44&gt;0),(((R638-1)*(Skills!T15*(1+Inputs!$B$35/100))+MIN((Skills!T15*(1+Inputs!$B$35/100)),MAX(0,Inputs!$B$44-((R638-1)*Skills!D15))))/Inputs!$B$44),IF(Inputs!$B$39="pvp",MIN((Skills!T15*(1+Inputs!$B$35/100)),15)/15,(Skills!T15*(1+Inputs!$B$35/100))/Skills!D15)))+((C639=TRUE)*F639*IF(AND(Inputs!$B$39&lt;&gt;"pvp",Inputs!$B$44&gt;0),(((R639-1)*(Skills!T16*(1+Inputs!$B$35/100))+MIN((Skills!T16*(1+Inputs!$B$35/100)),MAX(0,Inputs!$B$44-((R639-1)*Skills!D16))))/Inputs!$B$44),IF(Inputs!$B$39="pvp",MIN((Skills!T16*(1+Inputs!$B$35/100)),15)/15,(Skills!T16*(1+Inputs!$B$35/100))/Skills!D16)))+0)/100)*I625)</f>
        <v/>
      </c>
      <c r="L625">
        <f>K625*(MIN(Inputs!$B$23+((C645=TRUE)*(F645-Calc!F22)),Inputs!$B$24+((C647=TRUE)*(F647-Calc!F24)))/100+(Inputs!$B$24+((C647=TRUE)*(F647-Calc!F24)))/100)/2</f>
        <v/>
      </c>
      <c r="M625">
        <f>L625*(1+(Inputs!$B$11+0+B657)/100)</f>
        <v/>
      </c>
      <c r="N625">
        <f>L625*(1-MIN((Inputs!$B$10+0+B652),100)/100)+M625*(MIN((Inputs!$B$10+0+B652),100)/100)</f>
        <v/>
      </c>
      <c r="O625">
        <f>(1-Summary!$B$55)*T625+Summary!$B$55*V625</f>
        <v/>
      </c>
      <c r="P625">
        <f>IF(B662=0,0,O625/B662)</f>
        <v/>
      </c>
      <c r="Q625" t="n">
        <v>0</v>
      </c>
      <c r="R625" t="n">
        <v>0</v>
      </c>
      <c r="S625">
        <f>IFERROR(O625/N625,0)</f>
        <v/>
      </c>
      <c r="T625">
        <f>IF(C625,(Skills!G2*N625*B656)*IF(Inputs!$B$39="pvp",1,1+(Inputs!$B$21+0+Skills!P2+((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0)</f>
        <v/>
      </c>
      <c r="U625">
        <f>MAX(0,(Inputs!$B$3-100)*3)+Inputs!$B$29+Inputs!$B$30</f>
        <v/>
      </c>
      <c r="V625">
        <f>IF(C625,(Skills!G2*N625*B656)*IF(Inputs!$B$39="pvp",1,(1+(Inputs!$B$22+Skills!Q2+((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MIN((6+Inputs!$B$34),Inputs!$B$38))),0)</f>
        <v/>
      </c>
    </row>
    <row r="626">
      <c r="A626">
        <f>Skills!A3</f>
        <v/>
      </c>
      <c r="B626">
        <f>Skills!B3</f>
        <v/>
      </c>
      <c r="C626">
        <f>Inputs!$B$3&gt;=50</f>
        <v/>
      </c>
      <c r="D626">
        <f>IF(Skills!C3=1,60+Inputs!$B$26+Inputs!$B$30,IF(Skills!C3=2,90+Inputs!$B$27+Inputs!$B$30,IF(Skills!C3=3,120+Inputs!$B$28+Inputs!$B$30,MAX(0,(Inputs!$B$3-100)*3)+Inputs!$B$29+Inputs!$B$30)))</f>
        <v/>
      </c>
      <c r="E626">
        <f>INDEX(FactorTable!$B$2:$Y$301, MATCH(ROUND(MIN(300,MAX(1,D626)),0), FactorTable!$A$2:$A$301,0), Skills!M3+1)</f>
        <v/>
      </c>
      <c r="F626">
        <f>IF(Skills!N3=TRUE,(Skills!L3/10)*(E626/1000),Skills!L3/10)+Skills!O3</f>
        <v/>
      </c>
      <c r="G626" t="inlineStr"/>
      <c r="H626" t="inlineStr"/>
      <c r="I626" t="inlineStr">
        <is>
          <t>1</t>
        </is>
      </c>
      <c r="J626" t="inlineStr"/>
      <c r="K626" t="inlineStr"/>
      <c r="L626" t="inlineStr"/>
      <c r="M626" t="inlineStr"/>
      <c r="N626" t="inlineStr"/>
      <c r="O626" t="inlineStr"/>
      <c r="P626" t="inlineStr"/>
      <c r="Q626" t="inlineStr"/>
      <c r="R626" t="inlineStr"/>
      <c r="S626" t="inlineStr"/>
      <c r="U626">
        <f>INDEX(FactorTable!$B$2:$Y$301, MATCH(ROUND(MIN(300,MAX(1,U625)),0), FactorTable!$A$2:$A$301,0), 22)</f>
        <v/>
      </c>
    </row>
    <row r="627">
      <c r="A627">
        <f>Skills!A4</f>
        <v/>
      </c>
      <c r="B627">
        <f>Skills!B4</f>
        <v/>
      </c>
      <c r="C627">
        <f>Inputs!$B$3&gt;=105</f>
        <v/>
      </c>
      <c r="D627">
        <f>IF(Skills!C4=1,60+Inputs!$B$26+Inputs!$B$30,IF(Skills!C4=2,90+Inputs!$B$27+Inputs!$B$30,IF(Skills!C4=3,120+Inputs!$B$28+Inputs!$B$30,MAX(0,(Inputs!$B$3-100)*3)+Inputs!$B$29+Inputs!$B$30)))</f>
        <v/>
      </c>
      <c r="E627">
        <f>INDEX(FactorTable!$B$2:$Y$301, MATCH(ROUND(MIN(300,MAX(1,D627)),0), FactorTable!$A$2:$A$301,0), Skills!M4+1)</f>
        <v/>
      </c>
      <c r="F627">
        <f>IF(Skills!N4=TRUE,(Skills!L4/10)*(E627/1000),Skills!L4/10)+Skills!O4</f>
        <v/>
      </c>
      <c r="G627" t="inlineStr"/>
      <c r="H627" t="inlineStr"/>
      <c r="I627" t="inlineStr">
        <is>
          <t>1</t>
        </is>
      </c>
      <c r="J627" t="inlineStr"/>
      <c r="K627" t="inlineStr"/>
      <c r="L627" t="inlineStr"/>
      <c r="M627" t="inlineStr"/>
      <c r="N627" t="inlineStr"/>
      <c r="O627" t="inlineStr"/>
      <c r="P627" t="inlineStr"/>
      <c r="Q627" t="inlineStr"/>
      <c r="R627" t="inlineStr"/>
      <c r="S627" t="inlineStr"/>
      <c r="U627">
        <f>290*U626/1000</f>
        <v/>
      </c>
    </row>
    <row r="628">
      <c r="A628">
        <f>Skills!A5</f>
        <v/>
      </c>
      <c r="B628">
        <f>Skills!B5</f>
        <v/>
      </c>
      <c r="C628">
        <f>Inputs!$B$3&gt;=117</f>
        <v/>
      </c>
      <c r="D628">
        <f>IF(Skills!C5=1,60+Inputs!$B$26+Inputs!$B$30,IF(Skills!C5=2,90+Inputs!$B$27+Inputs!$B$30,IF(Skills!C5=3,120+Inputs!$B$28+Inputs!$B$30,MAX(0,(Inputs!$B$3-100)*3)+Inputs!$B$29+Inputs!$B$30)))</f>
        <v/>
      </c>
      <c r="E628">
        <f>INDEX(FactorTable!$B$2:$Y$301, MATCH(ROUND(MIN(300,MAX(1,D628)),0), FactorTable!$A$2:$A$301,0), Skills!M5+1)</f>
        <v/>
      </c>
      <c r="F628">
        <f>IF(Skills!N5=TRUE,(Skills!L5/10)*(E628/1000),Skills!L5/10)+Skills!O5</f>
        <v/>
      </c>
      <c r="G628">
        <f>Skills!G5*IF(Skills!H5&gt;0,Skills!I5/Skills!H5,1)</f>
        <v/>
      </c>
      <c r="H628">
        <f>1-(1-Skills!J5/100)^Skills!K5</f>
        <v/>
      </c>
      <c r="I628" t="inlineStr">
        <is>
          <t>1</t>
        </is>
      </c>
      <c r="J628">
        <f>((Inputs!$B$6*(1+Inputs!$B$7/100))+(((Inputs!$B$13*(1+Inputs!$B$14/100))-(Inputs!$B$13*(1+Inputs!$B$14/100)))+0.25*(Inputs!$B$15-Inputs!$B$15))*(1+Inputs!$B$7/100))*(F628/100)</f>
        <v/>
      </c>
      <c r="K628">
        <f>J628*(1+(((Inputs!$B$13+IF(Inputs!$B$3&gt;=38,(10*INDEX(FactorTable!$B$2:$Y$301, MATCH(ROUND(MIN(300,MAX(1,Inputs!$B$3)),0), FactorTable!$A$2:$A$301,0), 23)/1000)/100*(Inputs!$B$8*(1+Inputs!$B$9/100)),0))*(1+Inputs!$B$14/100))*0.01+Inputs!$B$15*0.0025)/100)*(1+Inputs!$B$16/100)*(1+Inputs!$B$17/100)*(5000/(6000+Inputs!$B$43*(1-(Inputs!$B$20+0)/100)))*(1+(Inputs!$B$25+((C648=TRUE)*(F648-Calc!F25))+((C649=TRUE)*(F649-Calc!F26))+B658)/100)*(1+(IF(Skills!A5="DARK_IMPALE",Inputs!$B$18+0,Inputs!$B$19+((C646=TRUE)*(F646-Calc!F23))))/100)*((1+(((C636=TRUE)*F636*IF(AND(Inputs!$B$39&lt;&gt;"pvp",Inputs!$B$44&gt;0),(((R636-1)*(Skills!T13*(1+Inputs!$B$35/100))+MIN((Skills!T13*(1+Inputs!$B$35/100)),MAX(0,Inputs!$B$44-((R636-1)*Skills!D13))))/Inputs!$B$44),IF(Inputs!$B$39="pvp",MIN((Skills!T13*(1+Inputs!$B$35/100)),15)/15,(Skills!T13*(1+Inputs!$B$35/100))/Skills!D13)))+((C637=TRUE)*F637*IF(AND(Inputs!$B$39&lt;&gt;"pvp",Inputs!$B$44&gt;0),(((R637-1)*(Skills!T14*(1+Inputs!$B$35/100))+MIN((Skills!T14*(1+Inputs!$B$35/100)),MAX(0,Inputs!$B$44-((R637-1)*Skills!D14))))/Inputs!$B$44),IF(Inputs!$B$39="pvp",MIN((Skills!T14*(1+Inputs!$B$35/100)),15)/15,(Skills!T14*(1+Inputs!$B$35/100))/Skills!D14)))+((C638=TRUE)*F638*IF(AND(Inputs!$B$39&lt;&gt;"pvp",Inputs!$B$44&gt;0),(((R638-1)*(Skills!T15*(1+Inputs!$B$35/100))+MIN((Skills!T15*(1+Inputs!$B$35/100)),MAX(0,Inputs!$B$44-((R638-1)*Skills!D15))))/Inputs!$B$44),IF(Inputs!$B$39="pvp",MIN((Skills!T15*(1+Inputs!$B$35/100)),15)/15,(Skills!T15*(1+Inputs!$B$35/100))/Skills!D15)))+((C639=TRUE)*F639*IF(AND(Inputs!$B$39&lt;&gt;"pvp",Inputs!$B$44&gt;0),(((R639-1)*(Skills!T16*(1+Inputs!$B$35/100))+MIN((Skills!T16*(1+Inputs!$B$35/100)),MAX(0,Inputs!$B$44-((R639-1)*Skills!D16))))/Inputs!$B$44),IF(Inputs!$B$39="pvp",MIN((Skills!T16*(1+Inputs!$B$35/100)),15)/15,(Skills!T16*(1+Inputs!$B$35/100))/Skills!D16)))+0)/100)*I628)</f>
        <v/>
      </c>
      <c r="L628">
        <f>K628*(MIN(Inputs!$B$23+((C645=TRUE)*(F645-Calc!F22)),Inputs!$B$24+((C647=TRUE)*(F647-Calc!F24)))/100+(Inputs!$B$24+((C647=TRUE)*(F647-Calc!F24)))/100)/2</f>
        <v/>
      </c>
      <c r="M628">
        <f>L628*(1+(Inputs!$B$11+0+B657)/100)</f>
        <v/>
      </c>
      <c r="N628">
        <f>L628*(1-MIN((Inputs!$B$10+0+B652),100)/100)+M628*(MIN((Inputs!$B$10+0+B652),100)/100)</f>
        <v/>
      </c>
      <c r="O628">
        <f>(1-Summary!$B$55)*T628+Summary!$B$55*V628</f>
        <v/>
      </c>
      <c r="P628">
        <f>IF(B662=0,0,O628/B662)</f>
        <v/>
      </c>
      <c r="Q628">
        <f>IFERROR(1/IF(Inputs!$B$39="pvp",15,MAX(0.1,Skills!D5-IF(Skills!E5=TRUE,Inputs!$B$33,0))),0)</f>
        <v/>
      </c>
      <c r="R628">
        <f>IF(AND(Inputs!$B$39&lt;&gt;"pvp",Inputs!$B$44&gt;0),IF(MAX(0,Inputs!$B$44-B659)&lt;=0,0,(INT(MAX(0,Inputs!$B$44-B659)/IF(Inputs!$B$39="pvp",15,MAX(0.1,Skills!D5-IF(Skills!E5=TRUE,Inputs!$B$33,0))))+1)),0)</f>
        <v/>
      </c>
      <c r="S628">
        <f>IFERROR(O628/N628,0)</f>
        <v/>
      </c>
      <c r="T628">
        <f>IF(C628,(H628*N628*IF(AND(Inputs!$B$39&lt;&gt;"pvp",Inputs!$B$44&gt;0),((Skills!G5*((R628-1)*IF(Skills!H5&gt;0,Skills!I5/Skills!H5,1)+IF(Skills!H5&gt;0,MIN(Skills!I5,MAX(0,MAX(0,Inputs!$B$44-B659)-((R628-1)*IF(Inputs!$B$39="pvp",15,MAX(0.1,Skills!D5-IF(Skills!E5=TRUE,Inputs!$B$33,0))))))/Skills!H5,1)))/Inputs!$B$44),G628*Q628))*IF(Inputs!$B$39="pvp",1,1+(Inputs!$B$21+0+Skills!P5+((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0)</f>
        <v/>
      </c>
      <c r="V628">
        <f>IF(C628,(H628*N628*IF(AND(Inputs!$B$39&lt;&gt;"pvp",Inputs!$B$44&gt;0),((Skills!G5*((R628-1)*IF(Skills!H5&gt;0,Skills!I5/Skills!H5,1)+IF(Skills!H5&gt;0,MIN(Skills!I5,MAX(0,MAX(0,Inputs!$B$44-B659)-((R628-1)*IF(Inputs!$B$39="pvp",15,MAX(0.1,Skills!D5-IF(Skills!E5=TRUE,Inputs!$B$33,0))))))/Skills!H5,1)))/Inputs!$B$44),G628*Q628))*IF(Inputs!$B$39="pvp",1,(1+(Inputs!$B$22+Skills!Q5+((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MIN(Skills!R5,Inputs!$B$38))),0)</f>
        <v/>
      </c>
    </row>
    <row r="629">
      <c r="A629">
        <f>Skills!A6</f>
        <v/>
      </c>
      <c r="B629">
        <f>Skills!B6</f>
        <v/>
      </c>
      <c r="C629">
        <f>Inputs!$B$3&gt;=103</f>
        <v/>
      </c>
      <c r="D629">
        <f>IF(Skills!C6=1,60+Inputs!$B$26+Inputs!$B$30,IF(Skills!C6=2,90+Inputs!$B$27+Inputs!$B$30,IF(Skills!C6=3,120+Inputs!$B$28+Inputs!$B$30,MAX(0,(Inputs!$B$3-100)*3)+Inputs!$B$29+Inputs!$B$30)))</f>
        <v/>
      </c>
      <c r="E629">
        <f>INDEX(FactorTable!$B$2:$Y$301, MATCH(ROUND(MIN(300,MAX(1,D629)),0), FactorTable!$A$2:$A$301,0), Skills!M6+1)</f>
        <v/>
      </c>
      <c r="F629">
        <f>IF(Skills!N6=TRUE,(Skills!L6/10)*(E629/1000),Skills!L6/10)+Skills!O6</f>
        <v/>
      </c>
      <c r="G629">
        <f>Skills!G6*IF(Skills!H6&gt;0,Skills!I6/Skills!H6,1)</f>
        <v/>
      </c>
      <c r="H629">
        <f>1-(1-Skills!J6/100)^Skills!K6</f>
        <v/>
      </c>
      <c r="I629" t="inlineStr">
        <is>
          <t>1</t>
        </is>
      </c>
      <c r="J629">
        <f>((Inputs!$B$6*(1+Inputs!$B$7/100))+(((Inputs!$B$13*(1+Inputs!$B$14/100))-(Inputs!$B$13*(1+Inputs!$B$14/100)))+0.25*(Inputs!$B$15-Inputs!$B$15))*(1+Inputs!$B$7/100))*(F629/100)</f>
        <v/>
      </c>
      <c r="K629">
        <f>J629*(1+(((Inputs!$B$13+IF(Inputs!$B$3&gt;=38,(10*INDEX(FactorTable!$B$2:$Y$301, MATCH(ROUND(MIN(300,MAX(1,Inputs!$B$3)),0), FactorTable!$A$2:$A$301,0), 23)/1000)/100*(Inputs!$B$8*(1+Inputs!$B$9/100)),0))*(1+Inputs!$B$14/100))*0.01+Inputs!$B$15*0.0025)/100)*(1+Inputs!$B$16/100)*(1+Inputs!$B$17/100)*(5000/(6000+Inputs!$B$43*(1-(Inputs!$B$20+0)/100)))*(1+(Inputs!$B$25+((C648=TRUE)*(F648-Calc!F25))+((C649=TRUE)*(F649-Calc!F26))+B658)/100)*(1+(IF(Skills!A6="DARK_IMPALE",Inputs!$B$18+0,Inputs!$B$19+((C646=TRUE)*(F646-Calc!F23))))/100)*((1+(((C636=TRUE)*F636*IF(AND(Inputs!$B$39&lt;&gt;"pvp",Inputs!$B$44&gt;0),(((R636-1)*(Skills!T13*(1+Inputs!$B$35/100))+MIN((Skills!T13*(1+Inputs!$B$35/100)),MAX(0,Inputs!$B$44-((R636-1)*Skills!D13))))/Inputs!$B$44),IF(Inputs!$B$39="pvp",MIN((Skills!T13*(1+Inputs!$B$35/100)),15)/15,(Skills!T13*(1+Inputs!$B$35/100))/Skills!D13)))+((C637=TRUE)*F637*IF(AND(Inputs!$B$39&lt;&gt;"pvp",Inputs!$B$44&gt;0),(((R637-1)*(Skills!T14*(1+Inputs!$B$35/100))+MIN((Skills!T14*(1+Inputs!$B$35/100)),MAX(0,Inputs!$B$44-((R637-1)*Skills!D14))))/Inputs!$B$44),IF(Inputs!$B$39="pvp",MIN((Skills!T14*(1+Inputs!$B$35/100)),15)/15,(Skills!T14*(1+Inputs!$B$35/100))/Skills!D14)))+((C638=TRUE)*F638*IF(AND(Inputs!$B$39&lt;&gt;"pvp",Inputs!$B$44&gt;0),(((R638-1)*(Skills!T15*(1+Inputs!$B$35/100))+MIN((Skills!T15*(1+Inputs!$B$35/100)),MAX(0,Inputs!$B$44-((R638-1)*Skills!D15))))/Inputs!$B$44),IF(Inputs!$B$39="pvp",MIN((Skills!T15*(1+Inputs!$B$35/100)),15)/15,(Skills!T15*(1+Inputs!$B$35/100))/Skills!D15)))+((C639=TRUE)*F639*IF(AND(Inputs!$B$39&lt;&gt;"pvp",Inputs!$B$44&gt;0),(((R639-1)*(Skills!T16*(1+Inputs!$B$35/100))+MIN((Skills!T16*(1+Inputs!$B$35/100)),MAX(0,Inputs!$B$44-((R639-1)*Skills!D16))))/Inputs!$B$44),IF(Inputs!$B$39="pvp",MIN((Skills!T16*(1+Inputs!$B$35/100)),15)/15,(Skills!T16*(1+Inputs!$B$35/100))/Skills!D16)))+0)/100)*I629)</f>
        <v/>
      </c>
      <c r="L629">
        <f>K629*(MIN(Inputs!$B$23+((C645=TRUE)*(F645-Calc!F22)),Inputs!$B$24+((C647=TRUE)*(F647-Calc!F24)))/100+(Inputs!$B$24+((C647=TRUE)*(F647-Calc!F24)))/100)/2</f>
        <v/>
      </c>
      <c r="M629">
        <f>L629*(1+(Inputs!$B$11+0+B657)/100)</f>
        <v/>
      </c>
      <c r="N629">
        <f>L629*(1-MIN((Inputs!$B$10+0+B652),100)/100)+M629*(MIN((Inputs!$B$10+0+B652),100)/100)</f>
        <v/>
      </c>
      <c r="O629">
        <f>(1-Summary!$B$55)*T629+Summary!$B$55*V629</f>
        <v/>
      </c>
      <c r="P629">
        <f>IF(B662=0,0,O629/B662)</f>
        <v/>
      </c>
      <c r="Q629">
        <f>IFERROR(1/IF(Inputs!$B$39="pvp",15,MAX(0.1,Skills!D6-IF(Skills!E6=TRUE,Inputs!$B$33,0))),0)</f>
        <v/>
      </c>
      <c r="R629">
        <f>IF(AND(Inputs!$B$39&lt;&gt;"pvp",Inputs!$B$44&gt;0),IF(MAX(0,Inputs!$B$44-B659)&lt;=0,0,(INT(MAX(0,Inputs!$B$44-B659)/IF(Inputs!$B$39="pvp",15,MAX(0.1,Skills!D6-IF(Skills!E6=TRUE,Inputs!$B$33,0))))+1)),0)</f>
        <v/>
      </c>
      <c r="S629">
        <f>IFERROR(O629/N629,0)</f>
        <v/>
      </c>
      <c r="T629">
        <f>IF(C629,(H629*N629*IF(AND(Inputs!$B$39&lt;&gt;"pvp",Inputs!$B$44&gt;0),((Skills!G6*((R629-1)*IF(Skills!H6&gt;0,Skills!I6/Skills!H6,1)+IF(Skills!H6&gt;0,MIN(Skills!I6,MAX(0,MAX(0,Inputs!$B$44-B659)-((R629-1)*IF(Inputs!$B$39="pvp",15,MAX(0.1,Skills!D6-IF(Skills!E6=TRUE,Inputs!$B$33,0))))))/Skills!H6,1)))/Inputs!$B$44),G629*Q629))*IF(Inputs!$B$39="pvp",1,1+(Inputs!$B$21+0+Skills!P6+((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0)</f>
        <v/>
      </c>
      <c r="V629">
        <f>IF(C629,(H629*N629*IF(AND(Inputs!$B$39&lt;&gt;"pvp",Inputs!$B$44&gt;0),((Skills!G6*((R629-1)*IF(Skills!H6&gt;0,Skills!I6/Skills!H6,1)+IF(Skills!H6&gt;0,MIN(Skills!I6,MAX(0,MAX(0,Inputs!$B$44-B659)-((R629-1)*IF(Inputs!$B$39="pvp",15,MAX(0.1,Skills!D6-IF(Skills!E6=TRUE,Inputs!$B$33,0))))))/Skills!H6,1)))/Inputs!$B$44),G629*Q629))*IF(Inputs!$B$39="pvp",1,(1+(Inputs!$B$22+Skills!Q6+((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MIN(Skills!R6,Inputs!$B$38))),0)</f>
        <v/>
      </c>
    </row>
    <row r="630">
      <c r="A630">
        <f>Skills!A7</f>
        <v/>
      </c>
      <c r="B630">
        <f>Skills!B7</f>
        <v/>
      </c>
      <c r="C630">
        <f>Inputs!$B$3&gt;=40</f>
        <v/>
      </c>
      <c r="D630">
        <f>IF(Skills!C7=1,60+Inputs!$B$26+Inputs!$B$30,IF(Skills!C7=2,90+Inputs!$B$27+Inputs!$B$30,IF(Skills!C7=3,120+Inputs!$B$28+Inputs!$B$30,MAX(0,(Inputs!$B$3-100)*3)+Inputs!$B$29+Inputs!$B$30)))</f>
        <v/>
      </c>
      <c r="E630">
        <f>INDEX(FactorTable!$B$2:$Y$301, MATCH(ROUND(MIN(300,MAX(1,D630)),0), FactorTable!$A$2:$A$301,0), Skills!M7+1)</f>
        <v/>
      </c>
      <c r="F630">
        <f>IF(Skills!N7=TRUE,(Skills!L7/10)*(E630/1000),Skills!L7/10)+Skills!O7</f>
        <v/>
      </c>
      <c r="G630">
        <f>Skills!G7*IF(Skills!H7&gt;0,Skills!I7/Skills!H7,1)</f>
        <v/>
      </c>
      <c r="H630">
        <f>1-(1-Skills!J7/100)^Skills!K7</f>
        <v/>
      </c>
      <c r="I630" t="inlineStr">
        <is>
          <t>1</t>
        </is>
      </c>
      <c r="J630">
        <f>((Inputs!$B$6*(1+Inputs!$B$7/100))+(((Inputs!$B$13*(1+Inputs!$B$14/100))-(Inputs!$B$13*(1+Inputs!$B$14/100)))+0.25*(Inputs!$B$15-Inputs!$B$15))*(1+Inputs!$B$7/100))*(F630/100)</f>
        <v/>
      </c>
      <c r="K630">
        <f>J630*(1+(((Inputs!$B$13+IF(Inputs!$B$3&gt;=38,(10*INDEX(FactorTable!$B$2:$Y$301, MATCH(ROUND(MIN(300,MAX(1,Inputs!$B$3)),0), FactorTable!$A$2:$A$301,0), 23)/1000)/100*(Inputs!$B$8*(1+Inputs!$B$9/100)),0))*(1+Inputs!$B$14/100))*0.01+Inputs!$B$15*0.0025)/100)*(1+Inputs!$B$16/100)*(1+Inputs!$B$17/100)*(5000/(6000+Inputs!$B$43*(1-(Inputs!$B$20+0)/100)))*(1+(Inputs!$B$25+((C648=TRUE)*(F648-Calc!F25))+((C649=TRUE)*(F649-Calc!F26))+B658)/100)*(1+0.75*IF(C634=TRUE,F634,0)/100)*(1+(IF(Skills!A7="DARK_IMPALE",Inputs!$B$18+0,Inputs!$B$19+((C646=TRUE)*(F646-Calc!F23))))/100)*((1+(((C636=TRUE)*F636*IF(AND(Inputs!$B$39&lt;&gt;"pvp",Inputs!$B$44&gt;0),(((R636-1)*(Skills!T13*(1+Inputs!$B$35/100))+MIN((Skills!T13*(1+Inputs!$B$35/100)),MAX(0,Inputs!$B$44-((R636-1)*Skills!D13))))/Inputs!$B$44),IF(Inputs!$B$39="pvp",MIN((Skills!T13*(1+Inputs!$B$35/100)),15)/15,(Skills!T13*(1+Inputs!$B$35/100))/Skills!D13)))+((C637=TRUE)*F637*IF(AND(Inputs!$B$39&lt;&gt;"pvp",Inputs!$B$44&gt;0),(((R637-1)*(Skills!T14*(1+Inputs!$B$35/100))+MIN((Skills!T14*(1+Inputs!$B$35/100)),MAX(0,Inputs!$B$44-((R637-1)*Skills!D14))))/Inputs!$B$44),IF(Inputs!$B$39="pvp",MIN((Skills!T14*(1+Inputs!$B$35/100)),15)/15,(Skills!T14*(1+Inputs!$B$35/100))/Skills!D14)))+((C638=TRUE)*F638*IF(AND(Inputs!$B$39&lt;&gt;"pvp",Inputs!$B$44&gt;0),(((R638-1)*(Skills!T15*(1+Inputs!$B$35/100))+MIN((Skills!T15*(1+Inputs!$B$35/100)),MAX(0,Inputs!$B$44-((R638-1)*Skills!D15))))/Inputs!$B$44),IF(Inputs!$B$39="pvp",MIN((Skills!T15*(1+Inputs!$B$35/100)),15)/15,(Skills!T15*(1+Inputs!$B$35/100))/Skills!D15)))+((C639=TRUE)*F639*IF(AND(Inputs!$B$39&lt;&gt;"pvp",Inputs!$B$44&gt;0),(((R639-1)*(Skills!T16*(1+Inputs!$B$35/100))+MIN((Skills!T16*(1+Inputs!$B$35/100)),MAX(0,Inputs!$B$44-((R639-1)*Skills!D16))))/Inputs!$B$44),IF(Inputs!$B$39="pvp",MIN((Skills!T16*(1+Inputs!$B$35/100)),15)/15,(Skills!T16*(1+Inputs!$B$35/100))/Skills!D16)))+0)/100)*I630)</f>
        <v/>
      </c>
      <c r="L630">
        <f>K630*(MIN(Inputs!$B$23+((C645=TRUE)*(F645-Calc!F22)),Inputs!$B$24+((C647=TRUE)*(F647-Calc!F24)))/100+(Inputs!$B$24+((C647=TRUE)*(F647-Calc!F24)))/100)/2</f>
        <v/>
      </c>
      <c r="M630">
        <f>L630*(1+(Inputs!$B$11+0+B657)/100)</f>
        <v/>
      </c>
      <c r="N630">
        <f>L630*(1-MIN((Inputs!$B$10+0+B652),100)/100)+M630*(MIN((Inputs!$B$10+0+B652),100)/100)</f>
        <v/>
      </c>
      <c r="O630">
        <f>(1-Summary!$B$55)*T630+Summary!$B$55*V630</f>
        <v/>
      </c>
      <c r="P630">
        <f>IF(B662=0,0,O630/B662)</f>
        <v/>
      </c>
      <c r="Q630">
        <f>IFERROR(1/IF(Inputs!$B$39="pvp",15,MAX(0.1,Skills!D7-IF(Skills!E7=TRUE,Inputs!$B$33,0))),0)</f>
        <v/>
      </c>
      <c r="R630">
        <f>IF(AND(Inputs!$B$39&lt;&gt;"pvp",Inputs!$B$44&gt;0),IF(MAX(0,Inputs!$B$44-B659)&lt;=0,0,(INT(MAX(0,Inputs!$B$44-B659)/IF(Inputs!$B$39="pvp",15,MAX(0.1,Skills!D7-IF(Skills!E7=TRUE,Inputs!$B$33,0))))+1)),0)</f>
        <v/>
      </c>
      <c r="S630">
        <f>IFERROR(O630/N630,0)</f>
        <v/>
      </c>
      <c r="T630">
        <f>IF(C630,(H630*N630*IF(AND(Inputs!$B$39&lt;&gt;"pvp",Inputs!$B$44&gt;0),((Skills!G7*((R630-1)*IF(Skills!H7&gt;0,Skills!I7/Skills!H7,1)+IF(Skills!H7&gt;0,MIN(Skills!I7,MAX(0,MAX(0,Inputs!$B$44-B659)-((R630-1)*IF(Inputs!$B$39="pvp",15,MAX(0.1,Skills!D7-IF(Skills!E7=TRUE,Inputs!$B$33,0))))))/Skills!H7,1)))/Inputs!$B$44),G630*Q630))*IF(Inputs!$B$39="pvp",1,1+(Inputs!$B$21+0+Skills!P7+((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0)</f>
        <v/>
      </c>
      <c r="V630">
        <f>IF(C630,(H630*N630*IF(AND(Inputs!$B$39&lt;&gt;"pvp",Inputs!$B$44&gt;0),((Skills!G7*((R630-1)*IF(Skills!H7&gt;0,Skills!I7/Skills!H7,1)+IF(Skills!H7&gt;0,MIN(Skills!I7,MAX(0,MAX(0,Inputs!$B$44-B659)-((R630-1)*IF(Inputs!$B$39="pvp",15,MAX(0.1,Skills!D7-IF(Skills!E7=TRUE,Inputs!$B$33,0))))))/Skills!H7,1)))/Inputs!$B$44),G630*Q630))*IF(Inputs!$B$39="pvp",1,(1+(Inputs!$B$22+Skills!Q7+((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MIN(Skills!R7,Inputs!$B$38))),0)</f>
        <v/>
      </c>
    </row>
    <row r="631">
      <c r="A631">
        <f>Skills!A8</f>
        <v/>
      </c>
      <c r="B631">
        <f>Skills!B8</f>
        <v/>
      </c>
      <c r="C631">
        <f>Inputs!$B$3&gt;=75</f>
        <v/>
      </c>
      <c r="D631">
        <f>IF(Skills!C8=1,60+Inputs!$B$26+Inputs!$B$30,IF(Skills!C8=2,90+Inputs!$B$27+Inputs!$B$30,IF(Skills!C8=3,120+Inputs!$B$28+Inputs!$B$30,MAX(0,(Inputs!$B$3-100)*3)+Inputs!$B$29+Inputs!$B$30)))</f>
        <v/>
      </c>
      <c r="E631">
        <f>INDEX(FactorTable!$B$2:$Y$301, MATCH(ROUND(MIN(300,MAX(1,D631)),0), FactorTable!$A$2:$A$301,0), Skills!M8+1)</f>
        <v/>
      </c>
      <c r="F631">
        <f>IF(Skills!N8=TRUE,(Skills!L8/10)*(E631/1000),Skills!L8/10)+Skills!O8</f>
        <v/>
      </c>
      <c r="G631" t="inlineStr"/>
      <c r="H631" t="inlineStr"/>
      <c r="I631" t="inlineStr">
        <is>
          <t>1</t>
        </is>
      </c>
      <c r="J631" t="inlineStr"/>
      <c r="K631" t="inlineStr"/>
      <c r="L631" t="inlineStr"/>
      <c r="M631" t="inlineStr"/>
      <c r="N631" t="inlineStr"/>
      <c r="O631" t="inlineStr"/>
      <c r="P631" t="inlineStr"/>
      <c r="Q631" t="inlineStr"/>
      <c r="R631" t="inlineStr"/>
      <c r="S631" t="inlineStr"/>
    </row>
    <row r="632">
      <c r="A632">
        <f>Skills!A9</f>
        <v/>
      </c>
      <c r="B632">
        <f>Skills!B9</f>
        <v/>
      </c>
      <c r="C632">
        <f>Inputs!$B$3&gt;=60</f>
        <v/>
      </c>
      <c r="D632">
        <f>IF(Skills!C9=1,60+Inputs!$B$26+Inputs!$B$30,IF(Skills!C9=2,90+Inputs!$B$27+Inputs!$B$30,IF(Skills!C9=3,120+Inputs!$B$28+Inputs!$B$30,MAX(0,(Inputs!$B$3-100)*3)+Inputs!$B$29+Inputs!$B$30)))</f>
        <v/>
      </c>
      <c r="E632">
        <f>INDEX(FactorTable!$B$2:$Y$301, MATCH(ROUND(MIN(300,MAX(1,D632)),0), FactorTable!$A$2:$A$301,0), Skills!M9+1)</f>
        <v/>
      </c>
      <c r="F632">
        <f>IF(Skills!N9=TRUE,(Skills!L9/10)*(E632/1000),Skills!L9/10)+Skills!O9</f>
        <v/>
      </c>
      <c r="G632">
        <f>Skills!G9*IF(Skills!H9&gt;0,Skills!I9/Skills!H9,1)</f>
        <v/>
      </c>
      <c r="H632">
        <f>1-(1-Skills!J9/100)^Skills!K9</f>
        <v/>
      </c>
      <c r="I632" t="inlineStr">
        <is>
          <t>1</t>
        </is>
      </c>
      <c r="J632">
        <f>((Inputs!$B$6*(1+Inputs!$B$7/100))+(((Inputs!$B$13*(1+Inputs!$B$14/100))-(Inputs!$B$13*(1+Inputs!$B$14/100)))+0.25*(Inputs!$B$15-Inputs!$B$15))*(1+Inputs!$B$7/100))*(F632/100)</f>
        <v/>
      </c>
      <c r="K632">
        <f>J632*(1+(((Inputs!$B$13+IF(Inputs!$B$3&gt;=38,(10*INDEX(FactorTable!$B$2:$Y$301, MATCH(ROUND(MIN(300,MAX(1,Inputs!$B$3)),0), FactorTable!$A$2:$A$301,0), 23)/1000)/100*(Inputs!$B$8*(1+Inputs!$B$9/100)),0))*(1+Inputs!$B$14/100))*0.01+Inputs!$B$15*0.0025)/100)*(1+Inputs!$B$16/100)*(1+Inputs!$B$17/100)*(5000/(6000+Inputs!$B$43*(1-(Inputs!$B$20+0)/100)))*(1+(Inputs!$B$25+((C648=TRUE)*(F648-Calc!F25))+((C649=TRUE)*(F649-Calc!F26))+B658)/100)*(1+1.0*IF(C634=TRUE,F634,0)/100)*(1+(IF(Skills!A9="DARK_IMPALE",Inputs!$B$18+0,Inputs!$B$19+((C646=TRUE)*(F646-Calc!F23))))/100)*((1+(((C636=TRUE)*F636*IF(AND(Inputs!$B$39&lt;&gt;"pvp",Inputs!$B$44&gt;0),(((R636-1)*(Skills!T13*(1+Inputs!$B$35/100))+MIN((Skills!T13*(1+Inputs!$B$35/100)),MAX(0,Inputs!$B$44-((R636-1)*Skills!D13))))/Inputs!$B$44),IF(Inputs!$B$39="pvp",MIN((Skills!T13*(1+Inputs!$B$35/100)),15)/15,(Skills!T13*(1+Inputs!$B$35/100))/Skills!D13)))+((C637=TRUE)*F637*IF(AND(Inputs!$B$39&lt;&gt;"pvp",Inputs!$B$44&gt;0),(((R637-1)*(Skills!T14*(1+Inputs!$B$35/100))+MIN((Skills!T14*(1+Inputs!$B$35/100)),MAX(0,Inputs!$B$44-((R637-1)*Skills!D14))))/Inputs!$B$44),IF(Inputs!$B$39="pvp",MIN((Skills!T14*(1+Inputs!$B$35/100)),15)/15,(Skills!T14*(1+Inputs!$B$35/100))/Skills!D14)))+((C638=TRUE)*F638*IF(AND(Inputs!$B$39&lt;&gt;"pvp",Inputs!$B$44&gt;0),(((R638-1)*(Skills!T15*(1+Inputs!$B$35/100))+MIN((Skills!T15*(1+Inputs!$B$35/100)),MAX(0,Inputs!$B$44-((R638-1)*Skills!D15))))/Inputs!$B$44),IF(Inputs!$B$39="pvp",MIN((Skills!T15*(1+Inputs!$B$35/100)),15)/15,(Skills!T15*(1+Inputs!$B$35/100))/Skills!D15)))+((C639=TRUE)*F639*IF(AND(Inputs!$B$39&lt;&gt;"pvp",Inputs!$B$44&gt;0),(((R639-1)*(Skills!T16*(1+Inputs!$B$35/100))+MIN((Skills!T16*(1+Inputs!$B$35/100)),MAX(0,Inputs!$B$44-((R639-1)*Skills!D16))))/Inputs!$B$44),IF(Inputs!$B$39="pvp",MIN((Skills!T16*(1+Inputs!$B$35/100)),15)/15,(Skills!T16*(1+Inputs!$B$35/100))/Skills!D16)))+0)/100)*I632)</f>
        <v/>
      </c>
      <c r="L632">
        <f>K632*(MIN(Inputs!$B$23+((C645=TRUE)*(F645-Calc!F22)),Inputs!$B$24+((C647=TRUE)*(F647-Calc!F24)))/100+(Inputs!$B$24+((C647=TRUE)*(F647-Calc!F24)))/100)/2</f>
        <v/>
      </c>
      <c r="M632">
        <f>L632*(1+(Inputs!$B$11+0+B657)/100)</f>
        <v/>
      </c>
      <c r="N632">
        <f>L632*(1-MIN((Inputs!$B$10+0+B652),100)/100)+M632*(MIN((Inputs!$B$10+0+B652),100)/100)</f>
        <v/>
      </c>
      <c r="O632">
        <f>(1-Summary!$B$55)*T632+Summary!$B$55*V632</f>
        <v/>
      </c>
      <c r="P632">
        <f>IF(B662=0,0,O632/B662)</f>
        <v/>
      </c>
      <c r="Q632">
        <f>IFERROR(1/IF(Inputs!$B$39="pvp",15,MAX(0.1,Skills!D9-IF(Skills!E9=TRUE,Inputs!$B$33,0))),0)</f>
        <v/>
      </c>
      <c r="R632">
        <f>IF(AND(Inputs!$B$39&lt;&gt;"pvp",Inputs!$B$44&gt;0),IF(MAX(0,Inputs!$B$44-B659)&lt;=0,0,(INT(MAX(0,Inputs!$B$44-B659)/IF(Inputs!$B$39="pvp",15,MAX(0.1,Skills!D9-IF(Skills!E9=TRUE,Inputs!$B$33,0))))+1)),0)</f>
        <v/>
      </c>
      <c r="S632">
        <f>IFERROR(O632/N632,0)</f>
        <v/>
      </c>
      <c r="T632">
        <f>IF(C632,(H632*N632*IF(AND(Inputs!$B$39&lt;&gt;"pvp",Inputs!$B$44&gt;0),((Skills!G9*((R632-1)*IF(Skills!H9&gt;0,Skills!I9/Skills!H9,1)+IF(Skills!H9&gt;0,MIN(Skills!I9,MAX(0,MAX(0,Inputs!$B$44-B659)-((R632-1)*IF(Inputs!$B$39="pvp",15,MAX(0.1,Skills!D9-IF(Skills!E9=TRUE,Inputs!$B$33,0))))))/Skills!H9,1)))/Inputs!$B$44),G632*Q632))*IF(Inputs!$B$39="pvp",1,1+(Inputs!$B$21+0+Skills!P9+((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0)</f>
        <v/>
      </c>
      <c r="V632">
        <f>IF(C632,(H632*N632*IF(AND(Inputs!$B$39&lt;&gt;"pvp",Inputs!$B$44&gt;0),((Skills!G9*((R632-1)*IF(Skills!H9&gt;0,Skills!I9/Skills!H9,1)+IF(Skills!H9&gt;0,MIN(Skills!I9,MAX(0,MAX(0,Inputs!$B$44-B659)-((R632-1)*IF(Inputs!$B$39="pvp",15,MAX(0.1,Skills!D9-IF(Skills!E9=TRUE,Inputs!$B$33,0))))))/Skills!H9,1)))/Inputs!$B$44),G632*Q632))*IF(Inputs!$B$39="pvp",1,(1+(Inputs!$B$22+Skills!Q9+((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MIN(Skills!R9,Inputs!$B$38))),0)</f>
        <v/>
      </c>
    </row>
    <row r="633">
      <c r="A633">
        <f>Skills!A10</f>
        <v/>
      </c>
      <c r="B633">
        <f>Skills!B10</f>
        <v/>
      </c>
      <c r="C633">
        <f>Inputs!$B$3&gt;=110</f>
        <v/>
      </c>
      <c r="D633">
        <f>IF(Skills!C10=1,60+Inputs!$B$26+Inputs!$B$30,IF(Skills!C10=2,90+Inputs!$B$27+Inputs!$B$30,IF(Skills!C10=3,120+Inputs!$B$28+Inputs!$B$30,MAX(0,(Inputs!$B$3-100)*3)+Inputs!$B$29+Inputs!$B$30)))</f>
        <v/>
      </c>
      <c r="E633">
        <f>INDEX(FactorTable!$B$2:$Y$301, MATCH(ROUND(MIN(300,MAX(1,D633)),0), FactorTable!$A$2:$A$301,0), Skills!M10+1)</f>
        <v/>
      </c>
      <c r="F633">
        <f>IF(Skills!N10=TRUE,(Skills!L10/10)*(E633/1000),Skills!L10/10)+Skills!O10</f>
        <v/>
      </c>
      <c r="G633">
        <f>Skills!G10*IF(Skills!H10&gt;0,Skills!I10/Skills!H10,1)</f>
        <v/>
      </c>
      <c r="H633">
        <f>1-(1-Skills!J10/100)^Skills!K10</f>
        <v/>
      </c>
      <c r="I633" t="inlineStr">
        <is>
          <t>1</t>
        </is>
      </c>
      <c r="J633">
        <f>((Inputs!$B$6*(1+Inputs!$B$7/100))+(((Inputs!$B$13*(1+Inputs!$B$14/100))-(Inputs!$B$13*(1+Inputs!$B$14/100)))+0.25*(Inputs!$B$15-Inputs!$B$15))*(1+Inputs!$B$7/100))*(F633/100)</f>
        <v/>
      </c>
      <c r="K633">
        <f>J633*(1+(((Inputs!$B$13+IF(Inputs!$B$3&gt;=38,(10*INDEX(FactorTable!$B$2:$Y$301, MATCH(ROUND(MIN(300,MAX(1,Inputs!$B$3)),0), FactorTable!$A$2:$A$301,0), 23)/1000)/100*(Inputs!$B$8*(1+Inputs!$B$9/100)),0))*(1+Inputs!$B$14/100))*0.01+Inputs!$B$15*0.0025)/100)*(1+Inputs!$B$16/100)*(1+Inputs!$B$17/100)*(5000/(6000+Inputs!$B$43*(1-(Inputs!$B$20+0)/100)))*(1+(Inputs!$B$25+((C648=TRUE)*(F648-Calc!F25))+((C649=TRUE)*(F649-Calc!F26))+B658)/100)*(1+(IF(Skills!A10="DARK_IMPALE",Inputs!$B$18+0,Inputs!$B$19+((C646=TRUE)*(F646-Calc!F23))))/100)*((1+(((C636=TRUE)*F636*IF(AND(Inputs!$B$39&lt;&gt;"pvp",Inputs!$B$44&gt;0),(((R636-1)*(Skills!T13*(1+Inputs!$B$35/100))+MIN((Skills!T13*(1+Inputs!$B$35/100)),MAX(0,Inputs!$B$44-((R636-1)*Skills!D13))))/Inputs!$B$44),IF(Inputs!$B$39="pvp",MIN((Skills!T13*(1+Inputs!$B$35/100)),15)/15,(Skills!T13*(1+Inputs!$B$35/100))/Skills!D13)))+((C637=TRUE)*F637*IF(AND(Inputs!$B$39&lt;&gt;"pvp",Inputs!$B$44&gt;0),(((R637-1)*(Skills!T14*(1+Inputs!$B$35/100))+MIN((Skills!T14*(1+Inputs!$B$35/100)),MAX(0,Inputs!$B$44-((R637-1)*Skills!D14))))/Inputs!$B$44),IF(Inputs!$B$39="pvp",MIN((Skills!T14*(1+Inputs!$B$35/100)),15)/15,(Skills!T14*(1+Inputs!$B$35/100))/Skills!D14)))+((C638=TRUE)*F638*IF(AND(Inputs!$B$39&lt;&gt;"pvp",Inputs!$B$44&gt;0),(((R638-1)*(Skills!T15*(1+Inputs!$B$35/100))+MIN((Skills!T15*(1+Inputs!$B$35/100)),MAX(0,Inputs!$B$44-((R638-1)*Skills!D15))))/Inputs!$B$44),IF(Inputs!$B$39="pvp",MIN((Skills!T15*(1+Inputs!$B$35/100)),15)/15,(Skills!T15*(1+Inputs!$B$35/100))/Skills!D15)))+((C639=TRUE)*F639*IF(AND(Inputs!$B$39&lt;&gt;"pvp",Inputs!$B$44&gt;0),(((R639-1)*(Skills!T16*(1+Inputs!$B$35/100))+MIN((Skills!T16*(1+Inputs!$B$35/100)),MAX(0,Inputs!$B$44-((R639-1)*Skills!D16))))/Inputs!$B$44),IF(Inputs!$B$39="pvp",MIN((Skills!T16*(1+Inputs!$B$35/100)),15)/15,(Skills!T16*(1+Inputs!$B$35/100))/Skills!D16)))+0)/100)*I633)</f>
        <v/>
      </c>
      <c r="L633">
        <f>K633*(MIN(Inputs!$B$23+((C645=TRUE)*(F645-Calc!F22)),Inputs!$B$24+((C647=TRUE)*(F647-Calc!F24)))/100+(Inputs!$B$24+((C647=TRUE)*(F647-Calc!F24)))/100)/2</f>
        <v/>
      </c>
      <c r="M633">
        <f>L633*(1+(Inputs!$B$11+0+B657)/100)</f>
        <v/>
      </c>
      <c r="N633">
        <f>L633*(1-MIN((Inputs!$B$10+0+B652),100)/100)+M633*(MIN((Inputs!$B$10+0+B652),100)/100)</f>
        <v/>
      </c>
      <c r="O633">
        <f>(1-Summary!$B$55)*T633+Summary!$B$55*V633</f>
        <v/>
      </c>
      <c r="P633">
        <f>IF(B662=0,0,O633/B662)</f>
        <v/>
      </c>
      <c r="Q633">
        <f>IFERROR(1/IF(Inputs!$B$39="pvp",15,MAX(0.1,Skills!D10-IF(Skills!E10=TRUE,Inputs!$B$33,0))),0)</f>
        <v/>
      </c>
      <c r="R633">
        <f>IF(AND(Inputs!$B$39&lt;&gt;"pvp",Inputs!$B$44&gt;0),IF(MAX(0,Inputs!$B$44-B659)&lt;=0,0,(INT(MAX(0,Inputs!$B$44-B659)/IF(Inputs!$B$39="pvp",15,MAX(0.1,Skills!D10-IF(Skills!E10=TRUE,Inputs!$B$33,0))))+1)),0)</f>
        <v/>
      </c>
      <c r="S633">
        <f>IFERROR(O633/N633,0)</f>
        <v/>
      </c>
      <c r="T633">
        <f>IF(C633,(H633*N633*IF(AND(Inputs!$B$39&lt;&gt;"pvp",Inputs!$B$44&gt;0),((Skills!G10*((R633-1)*IF(Skills!H10&gt;0,Skills!I10/Skills!H10,1)+IF(Skills!H10&gt;0,MIN(Skills!I10,MAX(0,MAX(0,Inputs!$B$44-B659)-((R633-1)*IF(Inputs!$B$39="pvp",15,MAX(0.1,Skills!D10-IF(Skills!E10=TRUE,Inputs!$B$33,0))))))/Skills!H10,1)))/Inputs!$B$44),G633*Q633))*IF(Inputs!$B$39="pvp",1,1+(Inputs!$B$21+0+Skills!P10+((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0)</f>
        <v/>
      </c>
      <c r="V633">
        <f>IF(C633,(H633*N633*IF(AND(Inputs!$B$39&lt;&gt;"pvp",Inputs!$B$44&gt;0),((Skills!G10*((R633-1)*IF(Skills!H10&gt;0,Skills!I10/Skills!H10,1)+IF(Skills!H10&gt;0,MIN(Skills!I10,MAX(0,MAX(0,Inputs!$B$44-B659)-((R633-1)*IF(Inputs!$B$39="pvp",15,MAX(0.1,Skills!D10-IF(Skills!E10=TRUE,Inputs!$B$33,0))))))/Skills!H10,1)))/Inputs!$B$44),G633*Q633))*IF(Inputs!$B$39="pvp",1,(1+(Inputs!$B$22+Skills!Q10+((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MIN(Skills!R10,Inputs!$B$38))),0)</f>
        <v/>
      </c>
    </row>
    <row r="634">
      <c r="A634">
        <f>Skills!A11</f>
        <v/>
      </c>
      <c r="B634">
        <f>Skills!B11</f>
        <v/>
      </c>
      <c r="C634">
        <f>Inputs!$B$3&gt;=100</f>
        <v/>
      </c>
      <c r="D634">
        <f>IF(Skills!C11=1,60+Inputs!$B$26+Inputs!$B$30,IF(Skills!C11=2,90+Inputs!$B$27+Inputs!$B$30,IF(Skills!C11=3,120+Inputs!$B$28+Inputs!$B$30,MAX(0,(Inputs!$B$3-100)*3)+Inputs!$B$29+Inputs!$B$30)))</f>
        <v/>
      </c>
      <c r="E634">
        <f>INDEX(FactorTable!$B$2:$Y$301, MATCH(ROUND(MIN(300,MAX(1,D634)),0), FactorTable!$A$2:$A$301,0), Skills!M11+1)</f>
        <v/>
      </c>
      <c r="F634">
        <f>IF(Skills!N11=TRUE,(Skills!L11/10)*(E634/1000),Skills!L11/10)+Skills!O11</f>
        <v/>
      </c>
      <c r="G634" t="inlineStr"/>
      <c r="H634" t="inlineStr"/>
      <c r="I634" t="inlineStr">
        <is>
          <t>1</t>
        </is>
      </c>
      <c r="J634" t="inlineStr"/>
      <c r="K634" t="inlineStr"/>
      <c r="L634" t="inlineStr"/>
      <c r="M634" t="inlineStr"/>
      <c r="N634" t="inlineStr"/>
      <c r="O634" t="inlineStr"/>
      <c r="P634" t="inlineStr"/>
      <c r="Q634" t="inlineStr"/>
      <c r="R634" t="inlineStr"/>
      <c r="S634" t="inlineStr"/>
    </row>
    <row r="635">
      <c r="A635">
        <f>Skills!A12</f>
        <v/>
      </c>
      <c r="B635">
        <f>Skills!B12</f>
        <v/>
      </c>
      <c r="C635">
        <f>Inputs!$B$3&gt;=63</f>
        <v/>
      </c>
      <c r="D635">
        <f>IF(Skills!C12=1,60+Inputs!$B$26+Inputs!$B$30,IF(Skills!C12=2,90+Inputs!$B$27+Inputs!$B$30,IF(Skills!C12=3,120+Inputs!$B$28+Inputs!$B$30,MAX(0,(Inputs!$B$3-100)*3)+Inputs!$B$29+Inputs!$B$30)))</f>
        <v/>
      </c>
      <c r="E635">
        <f>INDEX(FactorTable!$B$2:$Y$301, MATCH(ROUND(MIN(300,MAX(1,D635)),0), FactorTable!$A$2:$A$301,0), Skills!M12+1)</f>
        <v/>
      </c>
      <c r="F635">
        <f>IF(Skills!N12=TRUE,(Skills!L12/10)*(E635/1000),Skills!L12/10)+Skills!O12</f>
        <v/>
      </c>
      <c r="G635">
        <f>Skills!G12*IF(Skills!H12&gt;0,Skills!I12/Skills!H12,1)</f>
        <v/>
      </c>
      <c r="H635">
        <f>1-(1-Skills!J12/100)^Skills!K12</f>
        <v/>
      </c>
      <c r="I635" t="inlineStr">
        <is>
          <t>1</t>
        </is>
      </c>
      <c r="J635">
        <f>((Inputs!$B$6*(1+Inputs!$B$7/100))+(((Inputs!$B$13*(1+Inputs!$B$14/100))-(Inputs!$B$13*(1+Inputs!$B$14/100)))+0.25*(Inputs!$B$15-Inputs!$B$15))*(1+Inputs!$B$7/100))*(F635/100)</f>
        <v/>
      </c>
      <c r="K635">
        <f>J635*(1+(((Inputs!$B$13+IF(Inputs!$B$3&gt;=38,(10*INDEX(FactorTable!$B$2:$Y$301, MATCH(ROUND(MIN(300,MAX(1,Inputs!$B$3)),0), FactorTable!$A$2:$A$301,0), 23)/1000)/100*(Inputs!$B$8*(1+Inputs!$B$9/100)),0))*(1+Inputs!$B$14/100))*0.01+Inputs!$B$15*0.0025)/100)*(1+Inputs!$B$16/100)*(1+Inputs!$B$17/100)*(5000/(6000+Inputs!$B$43*(1-(Inputs!$B$20+0)/100)))*(1+(Inputs!$B$25+((C648=TRUE)*(F648-Calc!F25))+((C649=TRUE)*(F649-Calc!F26))+B658)/100)*(1+0.75*IF(C634=TRUE,F634,0)/100)*(1+(IF(Skills!A12="DARK_IMPALE",Inputs!$B$18+0,Inputs!$B$19+((C646=TRUE)*(F646-Calc!F23))))/100)*((1+(((C636=TRUE)*F636*IF(AND(Inputs!$B$39&lt;&gt;"pvp",Inputs!$B$44&gt;0),(((R636-1)*(Skills!T13*(1+Inputs!$B$35/100))+MIN((Skills!T13*(1+Inputs!$B$35/100)),MAX(0,Inputs!$B$44-((R636-1)*Skills!D13))))/Inputs!$B$44),IF(Inputs!$B$39="pvp",MIN((Skills!T13*(1+Inputs!$B$35/100)),15)/15,(Skills!T13*(1+Inputs!$B$35/100))/Skills!D13)))+((C637=TRUE)*F637*IF(AND(Inputs!$B$39&lt;&gt;"pvp",Inputs!$B$44&gt;0),(((R637-1)*(Skills!T14*(1+Inputs!$B$35/100))+MIN((Skills!T14*(1+Inputs!$B$35/100)),MAX(0,Inputs!$B$44-((R637-1)*Skills!D14))))/Inputs!$B$44),IF(Inputs!$B$39="pvp",MIN((Skills!T14*(1+Inputs!$B$35/100)),15)/15,(Skills!T14*(1+Inputs!$B$35/100))/Skills!D14)))+((C638=TRUE)*F638*IF(AND(Inputs!$B$39&lt;&gt;"pvp",Inputs!$B$44&gt;0),(((R638-1)*(Skills!T15*(1+Inputs!$B$35/100))+MIN((Skills!T15*(1+Inputs!$B$35/100)),MAX(0,Inputs!$B$44-((R638-1)*Skills!D15))))/Inputs!$B$44),IF(Inputs!$B$39="pvp",MIN((Skills!T15*(1+Inputs!$B$35/100)),15)/15,(Skills!T15*(1+Inputs!$B$35/100))/Skills!D15)))+((C639=TRUE)*F639*IF(AND(Inputs!$B$39&lt;&gt;"pvp",Inputs!$B$44&gt;0),(((R639-1)*(Skills!T16*(1+Inputs!$B$35/100))+MIN((Skills!T16*(1+Inputs!$B$35/100)),MAX(0,Inputs!$B$44-((R639-1)*Skills!D16))))/Inputs!$B$44),IF(Inputs!$B$39="pvp",MIN((Skills!T16*(1+Inputs!$B$35/100)),15)/15,(Skills!T16*(1+Inputs!$B$35/100))/Skills!D16)))+0)/100)*I635)</f>
        <v/>
      </c>
      <c r="L635">
        <f>K635*(MIN(Inputs!$B$23+((C645=TRUE)*(F645-Calc!F22)),Inputs!$B$24+((C647=TRUE)*(F647-Calc!F24)))/100+(Inputs!$B$24+((C647=TRUE)*(F647-Calc!F24)))/100)/2</f>
        <v/>
      </c>
      <c r="M635">
        <f>L635*(1+(Inputs!$B$11+0+B657)/100)</f>
        <v/>
      </c>
      <c r="N635">
        <f>L635*(1-MIN((Inputs!$B$10+0+B652),100)/100)+M635*(MIN((Inputs!$B$10+0+B652),100)/100)</f>
        <v/>
      </c>
      <c r="O635">
        <f>(1-Summary!$B$55)*T635+Summary!$B$55*V635</f>
        <v/>
      </c>
      <c r="P635">
        <f>IF(B662=0,0,O635/B662)</f>
        <v/>
      </c>
      <c r="Q635">
        <f>IFERROR(1/IF(Inputs!$B$39="pvp",15,MAX(0.1,Skills!D12-IF(Skills!E12=TRUE,Inputs!$B$33,0))),0)</f>
        <v/>
      </c>
      <c r="R635">
        <f>IF(AND(Inputs!$B$39&lt;&gt;"pvp",Inputs!$B$44&gt;0),IF(MAX(0,Inputs!$B$44-B659)&lt;=0,0,(INT(MAX(0,Inputs!$B$44-B659)/IF(Inputs!$B$39="pvp",15,MAX(0.1,Skills!D12-IF(Skills!E12=TRUE,Inputs!$B$33,0))))+1)),0)</f>
        <v/>
      </c>
      <c r="S635">
        <f>IFERROR(O635/N635,0)</f>
        <v/>
      </c>
      <c r="T635">
        <f>IF(C635,(H635*N635*IF(AND(Inputs!$B$39&lt;&gt;"pvp",Inputs!$B$44&gt;0),((Skills!G12*((R635-1)*IF(Skills!H12&gt;0,Skills!I12/Skills!H12,1)+IF(Skills!H12&gt;0,MIN(Skills!I12,MAX(0,MAX(0,Inputs!$B$44-B659)-((R635-1)*IF(Inputs!$B$39="pvp",15,MAX(0.1,Skills!D12-IF(Skills!E12=TRUE,Inputs!$B$33,0))))))/Skills!H12,1)))/Inputs!$B$44),G635*Q635))*IF(Inputs!$B$39="pvp",1,1+(Inputs!$B$21+0+Skills!P12+((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0)</f>
        <v/>
      </c>
      <c r="V635">
        <f>IF(C635,(H635*N635*IF(AND(Inputs!$B$39&lt;&gt;"pvp",Inputs!$B$44&gt;0),((Skills!G12*((R635-1)*IF(Skills!H12&gt;0,Skills!I12/Skills!H12,1)+IF(Skills!H12&gt;0,MIN(Skills!I12,MAX(0,MAX(0,Inputs!$B$44-B659)-((R635-1)*IF(Inputs!$B$39="pvp",15,MAX(0.1,Skills!D12-IF(Skills!E12=TRUE,Inputs!$B$33,0))))))/Skills!H12,1)))/Inputs!$B$44),G635*Q635))*IF(Inputs!$B$39="pvp",1,(1+(Inputs!$B$22+Skills!Q12+((C640=TRUE)*F640*IF(AND(Inputs!$B$39&lt;&gt;"pvp",Inputs!$B$44&gt;0),(((R640-1)*(Skills!T17*(1+Inputs!$B$35/100))+MIN((Skills!T17*(1+Inputs!$B$35/100)),MAX(0,Inputs!$B$44-((R640-1)*Skills!D17))))/Inputs!$B$44),IF(Inputs!$B$39="pvp",MIN((Skills!T17*(1+Inputs!$B$35/100)),15)/15,(Skills!T17*(1+Inputs!$B$35/100))/Skills!D17)))+((C637=TRUE)*IF(Inputs!$B$39="pvp",20,(1-Summary!$B$55)*(20)+Summary!$B$55*(0))*IF(AND(Inputs!$B$39&lt;&gt;"pvp",Inputs!$B$44&gt;0),(((R637-1)*(Skills!T14*(1+Inputs!$B$35/100))+MIN((Skills!T14*(1+Inputs!$B$35/100)),MAX(0,Inputs!$B$44-((R637-1)*Skills!D14))))/Inputs!$B$44),IF(Inputs!$B$39="pvp",MIN((Skills!T14*(1+Inputs!$B$35/100)),15)/15,(Skills!T14*(1+Inputs!$B$35/100))/Skills!D14))))/100)*(MIN(Skills!R12,Inputs!$B$38))),0)</f>
        <v/>
      </c>
    </row>
    <row r="636">
      <c r="A636">
        <f>Skills!A13</f>
        <v/>
      </c>
      <c r="B636">
        <f>Skills!B13</f>
        <v/>
      </c>
      <c r="C636">
        <f>Inputs!$B$3&gt;=69</f>
        <v/>
      </c>
      <c r="D636">
        <f>IF(Skills!C13=1,60+Inputs!$B$26+Inputs!$B$30,IF(Skills!C13=2,90+Inputs!$B$27+Inputs!$B$30,IF(Skills!C13=3,120+Inputs!$B$28+Inputs!$B$30,MAX(0,(Inputs!$B$3-100)*3)+Inputs!$B$29+Inputs!$B$30)))</f>
        <v/>
      </c>
      <c r="E636">
        <f>INDEX(FactorTable!$B$2:$Y$301, MATCH(ROUND(MIN(300,MAX(1,D636)),0), FactorTable!$A$2:$A$301,0), Skills!M13+1)</f>
        <v/>
      </c>
      <c r="F636">
        <f>IF(Skills!N13=TRUE,(Skills!L13/10)*(E636/1000),Skills!L13/10)+Skills!O13</f>
        <v/>
      </c>
      <c r="G636">
        <f>Skills!G13*IF(Skills!H13&gt;0,Skills!I13/Skills!H13,1)</f>
        <v/>
      </c>
      <c r="H636">
        <f>1-(1-Skills!J13/100)^Skills!K13</f>
        <v/>
      </c>
      <c r="I636" t="inlineStr">
        <is>
          <t>1</t>
        </is>
      </c>
      <c r="J636" t="inlineStr"/>
      <c r="K636" t="inlineStr"/>
      <c r="L636" t="inlineStr"/>
      <c r="M636" t="inlineStr"/>
      <c r="N636" t="inlineStr"/>
      <c r="O636">
        <f>(1-Summary!$B$55)*T636+Summary!$B$55*V636</f>
        <v/>
      </c>
      <c r="P636">
        <f>IF(B662=0,0,O636/B662)</f>
        <v/>
      </c>
      <c r="Q636">
        <f>IFERROR(1/IF(Inputs!$B$39="pvp",15,MAX(0.1,Skills!D13-IF(Skills!E13=TRUE,Inputs!$B$33,0))),0)</f>
        <v/>
      </c>
      <c r="R636">
        <f>IF(AND(Inputs!$B$39&lt;&gt;"pvp",Inputs!$B$44&gt;0),IF(Inputs!$B$44&lt;=0,0,(INT(Inputs!$B$44/IF(Inputs!$B$39="pvp",15,MAX(0.1,Skills!D13-IF(Skills!E13=TRUE,Inputs!$B$33,0))))+1)),0)</f>
        <v/>
      </c>
      <c r="S636">
        <f>IFERROR(O636/N636,0)</f>
        <v/>
      </c>
      <c r="T636" t="n">
        <v>0</v>
      </c>
      <c r="V636" t="n">
        <v>0</v>
      </c>
    </row>
    <row r="637">
      <c r="A637">
        <f>Skills!A14</f>
        <v/>
      </c>
      <c r="B637">
        <f>Skills!B14</f>
        <v/>
      </c>
      <c r="C637">
        <f>Inputs!$B$3&gt;=115</f>
        <v/>
      </c>
      <c r="D637">
        <f>IF(Skills!C14=1,60+Inputs!$B$26+Inputs!$B$30,IF(Skills!C14=2,90+Inputs!$B$27+Inputs!$B$30,IF(Skills!C14=3,120+Inputs!$B$28+Inputs!$B$30,MAX(0,(Inputs!$B$3-100)*3)+Inputs!$B$29+Inputs!$B$30)))</f>
        <v/>
      </c>
      <c r="E637">
        <f>INDEX(FactorTable!$B$2:$Y$301, MATCH(ROUND(MIN(300,MAX(1,D637)),0), FactorTable!$A$2:$A$301,0), Skills!M14+1)</f>
        <v/>
      </c>
      <c r="F637">
        <f>IF(Skills!N14=TRUE,(Skills!L14/10)*(E637/1000),Skills!L14/10)+Skills!O14</f>
        <v/>
      </c>
      <c r="G637">
        <f>Skills!G14*IF(Skills!H14&gt;0,Skills!I14/Skills!H14,1)</f>
        <v/>
      </c>
      <c r="H637">
        <f>1-(1-Skills!J14/100)^Skills!K14</f>
        <v/>
      </c>
      <c r="I637" t="inlineStr">
        <is>
          <t>1</t>
        </is>
      </c>
      <c r="J637" t="inlineStr"/>
      <c r="K637" t="inlineStr"/>
      <c r="L637" t="inlineStr"/>
      <c r="M637" t="inlineStr"/>
      <c r="N637" t="inlineStr"/>
      <c r="O637">
        <f>(1-Summary!$B$55)*T637+Summary!$B$55*V637</f>
        <v/>
      </c>
      <c r="P637">
        <f>IF(B662=0,0,O637/B662)</f>
        <v/>
      </c>
      <c r="Q637">
        <f>IFERROR(1/IF(Inputs!$B$39="pvp",15,MAX(0.1,Skills!D14-IF(Skills!E14=TRUE,Inputs!$B$33,0))),0)</f>
        <v/>
      </c>
      <c r="R637">
        <f>IF(AND(Inputs!$B$39&lt;&gt;"pvp",Inputs!$B$44&gt;0),IF(Inputs!$B$44&lt;=0,0,(INT(Inputs!$B$44/IF(Inputs!$B$39="pvp",15,MAX(0.1,Skills!D14-IF(Skills!E14=TRUE,Inputs!$B$33,0))))+1)),0)</f>
        <v/>
      </c>
      <c r="S637">
        <f>IFERROR(O637/N637,0)</f>
        <v/>
      </c>
      <c r="T637" t="n">
        <v>0</v>
      </c>
      <c r="V637" t="n">
        <v>0</v>
      </c>
    </row>
    <row r="638">
      <c r="A638">
        <f>Skills!A15</f>
        <v/>
      </c>
      <c r="B638">
        <f>Skills!B15</f>
        <v/>
      </c>
      <c r="C638">
        <f>Inputs!$B$3&gt;=66</f>
        <v/>
      </c>
      <c r="D638">
        <f>IF(Skills!C15=1,60+Inputs!$B$26+Inputs!$B$30,IF(Skills!C15=2,90+Inputs!$B$27+Inputs!$B$30,IF(Skills!C15=3,120+Inputs!$B$28+Inputs!$B$30,MAX(0,(Inputs!$B$3-100)*3)+Inputs!$B$29+Inputs!$B$30)))</f>
        <v/>
      </c>
      <c r="E638">
        <f>INDEX(FactorTable!$B$2:$Y$301, MATCH(ROUND(MIN(300,MAX(1,D638)),0), FactorTable!$A$2:$A$301,0), Skills!M15+1)</f>
        <v/>
      </c>
      <c r="F638">
        <f>IF(Skills!N15=TRUE,(Skills!L15/10)*(E638/1000),Skills!L15/10)+Skills!O15</f>
        <v/>
      </c>
      <c r="G638">
        <f>Skills!G15*IF(Skills!H15&gt;0,Skills!I15/Skills!H15,1)</f>
        <v/>
      </c>
      <c r="H638">
        <f>1-(1-Skills!J15/100)^Skills!K15</f>
        <v/>
      </c>
      <c r="I638" t="inlineStr">
        <is>
          <t>1</t>
        </is>
      </c>
      <c r="J638" t="inlineStr"/>
      <c r="K638" t="inlineStr"/>
      <c r="L638" t="inlineStr"/>
      <c r="M638" t="inlineStr"/>
      <c r="N638" t="inlineStr"/>
      <c r="O638">
        <f>(1-Summary!$B$55)*T638+Summary!$B$55*V638</f>
        <v/>
      </c>
      <c r="P638">
        <f>IF(B662=0,0,O638/B662)</f>
        <v/>
      </c>
      <c r="Q638">
        <f>IFERROR(1/IF(Inputs!$B$39="pvp",15,MAX(0.1,Skills!D15-IF(Skills!E15=TRUE,Inputs!$B$33,0))),0)</f>
        <v/>
      </c>
      <c r="R638">
        <f>IF(AND(Inputs!$B$39&lt;&gt;"pvp",Inputs!$B$44&gt;0),IF(Inputs!$B$44&lt;=0,0,(INT(Inputs!$B$44/IF(Inputs!$B$39="pvp",15,MAX(0.1,Skills!D15-IF(Skills!E15=TRUE,Inputs!$B$33,0))))+1)),0)</f>
        <v/>
      </c>
      <c r="S638">
        <f>IFERROR(O638/N638,0)</f>
        <v/>
      </c>
      <c r="T638" t="n">
        <v>0</v>
      </c>
      <c r="V638" t="n">
        <v>0</v>
      </c>
    </row>
    <row r="639">
      <c r="A639">
        <f>Skills!A16</f>
        <v/>
      </c>
      <c r="B639">
        <f>Skills!B16</f>
        <v/>
      </c>
      <c r="C639">
        <f>Inputs!$B$3&gt;=45</f>
        <v/>
      </c>
      <c r="D639">
        <f>IF(Skills!C16=1,60+Inputs!$B$26+Inputs!$B$30,IF(Skills!C16=2,90+Inputs!$B$27+Inputs!$B$30,IF(Skills!C16=3,120+Inputs!$B$28+Inputs!$B$30,MAX(0,(Inputs!$B$3-100)*3)+Inputs!$B$29+Inputs!$B$30)))</f>
        <v/>
      </c>
      <c r="E639">
        <f>INDEX(FactorTable!$B$2:$Y$301, MATCH(ROUND(MIN(300,MAX(1,D639)),0), FactorTable!$A$2:$A$301,0), Skills!M16+1)</f>
        <v/>
      </c>
      <c r="F639">
        <f>IF(Skills!N16=TRUE,(Skills!L16/10)*(E639/1000),Skills!L16/10)+Skills!O16</f>
        <v/>
      </c>
      <c r="G639">
        <f>Skills!G16*IF(Skills!H16&gt;0,Skills!I16/Skills!H16,1)</f>
        <v/>
      </c>
      <c r="H639">
        <f>1-(1-Skills!J16/100)^Skills!K16</f>
        <v/>
      </c>
      <c r="I639" t="inlineStr">
        <is>
          <t>1</t>
        </is>
      </c>
      <c r="J639" t="inlineStr"/>
      <c r="K639" t="inlineStr"/>
      <c r="L639" t="inlineStr"/>
      <c r="M639" t="inlineStr"/>
      <c r="N639" t="inlineStr"/>
      <c r="O639">
        <f>(1-Summary!$B$55)*T639+Summary!$B$55*V639</f>
        <v/>
      </c>
      <c r="P639">
        <f>IF(B662=0,0,O639/B662)</f>
        <v/>
      </c>
      <c r="Q639">
        <f>IFERROR(1/IF(Inputs!$B$39="pvp",15,MAX(0.1,Skills!D16-IF(Skills!E16=TRUE,Inputs!$B$33,0))),0)</f>
        <v/>
      </c>
      <c r="R639">
        <f>IF(AND(Inputs!$B$39&lt;&gt;"pvp",Inputs!$B$44&gt;0),IF(Inputs!$B$44&lt;=0,0,(INT(Inputs!$B$44/IF(Inputs!$B$39="pvp",15,MAX(0.1,Skills!D16-IF(Skills!E16=TRUE,Inputs!$B$33,0))))+1)),0)</f>
        <v/>
      </c>
      <c r="S639">
        <f>IFERROR(O639/N639,0)</f>
        <v/>
      </c>
      <c r="T639" t="n">
        <v>0</v>
      </c>
      <c r="V639" t="n">
        <v>0</v>
      </c>
    </row>
    <row r="640">
      <c r="A640">
        <f>Skills!A17</f>
        <v/>
      </c>
      <c r="B640">
        <f>Skills!B17</f>
        <v/>
      </c>
      <c r="C640">
        <f>Inputs!$B$3&gt;=35</f>
        <v/>
      </c>
      <c r="D640">
        <f>IF(Skills!C17=1,60+Inputs!$B$26+Inputs!$B$30,IF(Skills!C17=2,90+Inputs!$B$27+Inputs!$B$30,IF(Skills!C17=3,120+Inputs!$B$28+Inputs!$B$30,MAX(0,(Inputs!$B$3-100)*3)+Inputs!$B$29+Inputs!$B$30)))</f>
        <v/>
      </c>
      <c r="E640">
        <f>INDEX(FactorTable!$B$2:$Y$301, MATCH(ROUND(MIN(300,MAX(1,D640)),0), FactorTable!$A$2:$A$301,0), Skills!M17+1)</f>
        <v/>
      </c>
      <c r="F640">
        <f>IF(Skills!N17=TRUE,(Skills!L17/10)*(E640/1000),Skills!L17/10)+Skills!O17</f>
        <v/>
      </c>
      <c r="G640">
        <f>Skills!G17*IF(Skills!H17&gt;0,Skills!I17/Skills!H17,1)</f>
        <v/>
      </c>
      <c r="H640">
        <f>1-(1-Skills!J17/100)^Skills!K17</f>
        <v/>
      </c>
      <c r="I640" t="inlineStr">
        <is>
          <t>1</t>
        </is>
      </c>
      <c r="J640" t="inlineStr"/>
      <c r="K640" t="inlineStr"/>
      <c r="L640" t="inlineStr"/>
      <c r="M640" t="inlineStr"/>
      <c r="N640" t="inlineStr"/>
      <c r="O640">
        <f>(1-Summary!$B$55)*T640+Summary!$B$55*V640</f>
        <v/>
      </c>
      <c r="P640">
        <f>IF(B662=0,0,O640/B662)</f>
        <v/>
      </c>
      <c r="Q640">
        <f>IFERROR(1/IF(Inputs!$B$39="pvp",15,MAX(0.1,Skills!D17-IF(Skills!E17=TRUE,Inputs!$B$33,0))),0)</f>
        <v/>
      </c>
      <c r="R640">
        <f>IF(AND(Inputs!$B$39&lt;&gt;"pvp",Inputs!$B$44&gt;0),IF(Inputs!$B$44&lt;=0,0,(INT(Inputs!$B$44/IF(Inputs!$B$39="pvp",15,MAX(0.1,Skills!D17-IF(Skills!E17=TRUE,Inputs!$B$33,0))))+1)),0)</f>
        <v/>
      </c>
      <c r="S640">
        <f>IFERROR(O640/N640,0)</f>
        <v/>
      </c>
      <c r="T640" t="n">
        <v>0</v>
      </c>
      <c r="V640" t="n">
        <v>0</v>
      </c>
    </row>
    <row r="641">
      <c r="A641">
        <f>Skills!A18</f>
        <v/>
      </c>
      <c r="B641">
        <f>Skills!B18</f>
        <v/>
      </c>
      <c r="C641">
        <f>Inputs!$B$3&gt;=72</f>
        <v/>
      </c>
      <c r="D641">
        <f>IF(Skills!C18=1,60+Inputs!$B$26+Inputs!$B$30,IF(Skills!C18=2,90+Inputs!$B$27+Inputs!$B$30,IF(Skills!C18=3,120+Inputs!$B$28+Inputs!$B$30,MAX(0,(Inputs!$B$3-100)*3)+Inputs!$B$29+Inputs!$B$30)))</f>
        <v/>
      </c>
      <c r="E641">
        <f>INDEX(FactorTable!$B$2:$Y$301, MATCH(ROUND(MIN(300,MAX(1,D641)),0), FactorTable!$A$2:$A$301,0), Skills!M18+1)</f>
        <v/>
      </c>
      <c r="F641">
        <f>IF(Skills!N18=TRUE,(Skills!L18/10)*(E641/1000),Skills!L18/10)+Skills!O18</f>
        <v/>
      </c>
      <c r="G641">
        <f>Skills!G18*IF(Skills!H18&gt;0,Skills!I18/Skills!H18,1)</f>
        <v/>
      </c>
      <c r="H641">
        <f>1-(1-Skills!J18/100)^Skills!K18</f>
        <v/>
      </c>
      <c r="I641" t="inlineStr">
        <is>
          <t>1</t>
        </is>
      </c>
      <c r="J641" t="inlineStr"/>
      <c r="K641" t="inlineStr"/>
      <c r="L641" t="inlineStr"/>
      <c r="M641" t="inlineStr"/>
      <c r="N641" t="inlineStr"/>
      <c r="O641">
        <f>(1-Summary!$B$55)*T641+Summary!$B$55*V641</f>
        <v/>
      </c>
      <c r="P641">
        <f>IF(B662=0,0,O641/B662)</f>
        <v/>
      </c>
      <c r="Q641">
        <f>IFERROR(1/IF(Inputs!$B$39="pvp",15,MAX(0.1,Skills!D18-IF(Skills!E18=TRUE,Inputs!$B$33,0))),0)</f>
        <v/>
      </c>
      <c r="R641">
        <f>IF(AND(Inputs!$B$39&lt;&gt;"pvp",Inputs!$B$44&gt;0),IF(Inputs!$B$44&lt;=0,0,(INT(Inputs!$B$44/IF(Inputs!$B$39="pvp",15,MAX(0.1,Skills!D18-IF(Skills!E18=TRUE,Inputs!$B$33,0))))+1)),0)</f>
        <v/>
      </c>
      <c r="S641">
        <f>IFERROR(O641/N641,0)</f>
        <v/>
      </c>
      <c r="T641" t="n">
        <v>0</v>
      </c>
      <c r="V641" t="n">
        <v>0</v>
      </c>
    </row>
    <row r="642">
      <c r="A642">
        <f>Skills!A19</f>
        <v/>
      </c>
      <c r="B642">
        <f>Skills!B19</f>
        <v/>
      </c>
      <c r="C642">
        <f>Inputs!$B$3&gt;=72</f>
        <v/>
      </c>
      <c r="D642">
        <f>IF(Skills!C19=1,60+Inputs!$B$26+Inputs!$B$30,IF(Skills!C19=2,90+Inputs!$B$27+Inputs!$B$30,IF(Skills!C19=3,120+Inputs!$B$28+Inputs!$B$30,MAX(0,(Inputs!$B$3-100)*3)+Inputs!$B$29+Inputs!$B$30)))</f>
        <v/>
      </c>
      <c r="E642">
        <f>INDEX(FactorTable!$B$2:$Y$301, MATCH(ROUND(MIN(300,MAX(1,D642)),0), FactorTable!$A$2:$A$301,0), Skills!M19+1)</f>
        <v/>
      </c>
      <c r="F642">
        <f>IF(Skills!N19=TRUE,(Skills!L19/10)*(E642/1000),Skills!L19/10)+Skills!O19</f>
        <v/>
      </c>
      <c r="G642">
        <f>Skills!G19*IF(Skills!H19&gt;0,Skills!I19/Skills!H19,1)</f>
        <v/>
      </c>
      <c r="H642">
        <f>1-(1-Skills!J19/100)^Skills!K19</f>
        <v/>
      </c>
      <c r="I642" t="inlineStr">
        <is>
          <t>1</t>
        </is>
      </c>
      <c r="J642" t="inlineStr"/>
      <c r="K642" t="inlineStr"/>
      <c r="L642" t="inlineStr"/>
      <c r="M642" t="inlineStr"/>
      <c r="N642" t="inlineStr"/>
      <c r="O642">
        <f>(1-Summary!$B$55)*T642+Summary!$B$55*V642</f>
        <v/>
      </c>
      <c r="P642">
        <f>IF(B662=0,0,O642/B662)</f>
        <v/>
      </c>
      <c r="Q642">
        <f>IFERROR(1/IF(Inputs!$B$39="pvp",15,MAX(0.1,Skills!D19-IF(Skills!E19=TRUE,Inputs!$B$33,0))),0)</f>
        <v/>
      </c>
      <c r="R642">
        <f>IF(AND(Inputs!$B$39&lt;&gt;"pvp",Inputs!$B$44&gt;0),IF(Inputs!$B$44&lt;=0,0,(INT(Inputs!$B$44/IF(Inputs!$B$39="pvp",15,MAX(0.1,Skills!D19-IF(Skills!E19=TRUE,Inputs!$B$33,0))))+1)),0)</f>
        <v/>
      </c>
      <c r="S642">
        <f>IFERROR(O642/N642,0)</f>
        <v/>
      </c>
      <c r="T642" t="n">
        <v>0</v>
      </c>
      <c r="V642" t="n">
        <v>0</v>
      </c>
    </row>
    <row r="643">
      <c r="A643">
        <f>Skills!A20</f>
        <v/>
      </c>
      <c r="B643">
        <f>Skills!B20</f>
        <v/>
      </c>
      <c r="C643">
        <f>TRUE</f>
        <v/>
      </c>
      <c r="D643">
        <f>IF(Skills!C20=1,60+Inputs!$B$26+Inputs!$B$30,IF(Skills!C20=2,90+Inputs!$B$27+Inputs!$B$30,IF(Skills!C20=3,120+Inputs!$B$28+Inputs!$B$30,MAX(0,(Inputs!$B$3-100)*3)+Inputs!$B$29+Inputs!$B$30)))</f>
        <v/>
      </c>
      <c r="E643">
        <f>INDEX(FactorTable!$B$2:$Y$301, MATCH(ROUND(MIN(300,MAX(1,D643)),0), FactorTable!$A$2:$A$301,0), Skills!M20+1)</f>
        <v/>
      </c>
      <c r="F643">
        <f>IF(Skills!N20=TRUE,(Skills!L20/10)*(E643/1000),Skills!L20/10)+Skills!O20</f>
        <v/>
      </c>
      <c r="G643">
        <f>Skills!G20*IF(Skills!H20&gt;0,Skills!I20/Skills!H20,1)</f>
        <v/>
      </c>
      <c r="H643">
        <f>1-(1-Skills!J20/100)^Skills!K20</f>
        <v/>
      </c>
      <c r="I643" t="inlineStr">
        <is>
          <t>1</t>
        </is>
      </c>
      <c r="J643" t="inlineStr"/>
      <c r="K643" t="inlineStr"/>
      <c r="L643" t="inlineStr"/>
      <c r="M643" t="inlineStr"/>
      <c r="N643" t="inlineStr"/>
      <c r="O643">
        <f>(1-Summary!$B$55)*T643+Summary!$B$55*V643</f>
        <v/>
      </c>
      <c r="P643">
        <f>IF(B662=0,0,O643/B662)</f>
        <v/>
      </c>
      <c r="Q643">
        <f>IFERROR(1/IF(Inputs!$B$39="pvp",15,MAX(0.1,Skills!D20-IF(Skills!E20=TRUE,Inputs!$B$33,0))),0)</f>
        <v/>
      </c>
      <c r="R643">
        <f>IF(AND(Inputs!$B$39&lt;&gt;"pvp",Inputs!$B$44&gt;0),IF(Inputs!$B$44&lt;=0,0,(INT(Inputs!$B$44/IF(Inputs!$B$39="pvp",15,MAX(0.1,Skills!D20-IF(Skills!E20=TRUE,Inputs!$B$33,0))))+1)),0)</f>
        <v/>
      </c>
      <c r="S643">
        <f>IFERROR(O643/N643,0)</f>
        <v/>
      </c>
      <c r="T643" t="n">
        <v>0</v>
      </c>
      <c r="V643" t="n">
        <v>0</v>
      </c>
    </row>
    <row r="644">
      <c r="A644">
        <f>Skills!A21</f>
        <v/>
      </c>
      <c r="B644">
        <f>Skills!B21</f>
        <v/>
      </c>
      <c r="C644">
        <f>Inputs!$B$3&gt;=33</f>
        <v/>
      </c>
      <c r="D644">
        <f>IF(Skills!C21=1,60+Inputs!$B$26+Inputs!$B$30,IF(Skills!C21=2,90+Inputs!$B$27+Inputs!$B$30,IF(Skills!C21=3,120+Inputs!$B$28+Inputs!$B$30,MAX(0,(Inputs!$B$3-100)*3)+Inputs!$B$29+Inputs!$B$30)))</f>
        <v/>
      </c>
      <c r="E644">
        <f>INDEX(FactorTable!$B$2:$Y$301, MATCH(ROUND(MIN(300,MAX(1,D644)),0), FactorTable!$A$2:$A$301,0), Skills!M21+1)</f>
        <v/>
      </c>
      <c r="F644">
        <f>IF(Skills!N21=TRUE,(Skills!L21/10)*(E644/1000),Skills!L21/10)+Skills!O21</f>
        <v/>
      </c>
      <c r="G644">
        <f>Skills!G21*IF(Skills!H21&gt;0,Skills!I21/Skills!H21,1)</f>
        <v/>
      </c>
      <c r="H644">
        <f>1-(1-Skills!J21/100)^Skills!K21</f>
        <v/>
      </c>
      <c r="I644" t="inlineStr">
        <is>
          <t>1</t>
        </is>
      </c>
      <c r="J644" t="inlineStr"/>
      <c r="K644" t="inlineStr"/>
      <c r="L644" t="inlineStr"/>
      <c r="M644" t="inlineStr"/>
      <c r="N644" t="inlineStr"/>
      <c r="O644">
        <f>(1-Summary!$B$55)*T644+Summary!$B$55*V644</f>
        <v/>
      </c>
      <c r="P644">
        <f>IF(B662=0,0,O644/B662)</f>
        <v/>
      </c>
      <c r="Q644" t="n">
        <v>0</v>
      </c>
      <c r="R644" t="n">
        <v>0</v>
      </c>
      <c r="S644">
        <f>IFERROR(O644/N644,0)</f>
        <v/>
      </c>
      <c r="T644" t="n">
        <v>0</v>
      </c>
      <c r="V644" t="n">
        <v>0</v>
      </c>
    </row>
    <row r="645">
      <c r="A645">
        <f>Skills!A22</f>
        <v/>
      </c>
      <c r="B645">
        <f>Skills!B22</f>
        <v/>
      </c>
      <c r="C645">
        <f>Inputs!$B$3&gt;=43</f>
        <v/>
      </c>
      <c r="D645">
        <f>IF(Skills!C22=1,60+Inputs!$B$26+Inputs!$B$30,IF(Skills!C22=2,90+Inputs!$B$27+Inputs!$B$30,IF(Skills!C22=3,120+Inputs!$B$28+Inputs!$B$30,MAX(0,(Inputs!$B$3-100)*3)+Inputs!$B$29+Inputs!$B$30)))</f>
        <v/>
      </c>
      <c r="E645">
        <f>INDEX(FactorTable!$B$2:$Y$301, MATCH(ROUND(MIN(300,MAX(1,D645)),0), FactorTable!$A$2:$A$301,0), Skills!M22+1)</f>
        <v/>
      </c>
      <c r="F645">
        <f>IF(Skills!N22=TRUE,(Skills!L22/10)*(E645/1000),Skills!L22/10)+Skills!O22</f>
        <v/>
      </c>
      <c r="G645">
        <f>Skills!G22*IF(Skills!H22&gt;0,Skills!I22/Skills!H22,1)</f>
        <v/>
      </c>
      <c r="H645">
        <f>1-(1-Skills!J22/100)^Skills!K22</f>
        <v/>
      </c>
      <c r="I645" t="inlineStr">
        <is>
          <t>1</t>
        </is>
      </c>
      <c r="J645" t="inlineStr"/>
      <c r="K645" t="inlineStr"/>
      <c r="L645" t="inlineStr"/>
      <c r="M645" t="inlineStr"/>
      <c r="N645" t="inlineStr"/>
      <c r="O645">
        <f>(1-Summary!$B$55)*T645+Summary!$B$55*V645</f>
        <v/>
      </c>
      <c r="P645">
        <f>IF(B662=0,0,O645/B662)</f>
        <v/>
      </c>
      <c r="Q645" t="n">
        <v>0</v>
      </c>
      <c r="R645" t="n">
        <v>0</v>
      </c>
      <c r="S645">
        <f>IFERROR(O645/N645,0)</f>
        <v/>
      </c>
      <c r="T645" t="n">
        <v>0</v>
      </c>
      <c r="V645" t="n">
        <v>0</v>
      </c>
    </row>
    <row r="646">
      <c r="A646">
        <f>Skills!A23</f>
        <v/>
      </c>
      <c r="B646">
        <f>Skills!B23</f>
        <v/>
      </c>
      <c r="C646">
        <f>Inputs!$B$3&gt;=120</f>
        <v/>
      </c>
      <c r="D646">
        <f>IF(Skills!C23=1,60+Inputs!$B$26+Inputs!$B$30,IF(Skills!C23=2,90+Inputs!$B$27+Inputs!$B$30,IF(Skills!C23=3,120+Inputs!$B$28+Inputs!$B$30,MAX(0,(Inputs!$B$3-100)*3)+Inputs!$B$29+Inputs!$B$30)))</f>
        <v/>
      </c>
      <c r="E646">
        <f>INDEX(FactorTable!$B$2:$Y$301, MATCH(ROUND(MIN(300,MAX(1,D646)),0), FactorTable!$A$2:$A$301,0), Skills!M23+1)</f>
        <v/>
      </c>
      <c r="F646">
        <f>IF(Skills!N23=TRUE,(Skills!L23/10)*(E646/1000),Skills!L23/10)+Skills!O23</f>
        <v/>
      </c>
      <c r="G646">
        <f>Skills!G23*IF(Skills!H23&gt;0,Skills!I23/Skills!H23,1)</f>
        <v/>
      </c>
      <c r="H646">
        <f>1-(1-Skills!J23/100)^Skills!K23</f>
        <v/>
      </c>
      <c r="I646" t="inlineStr">
        <is>
          <t>1</t>
        </is>
      </c>
      <c r="J646" t="inlineStr"/>
      <c r="K646" t="inlineStr"/>
      <c r="L646" t="inlineStr"/>
      <c r="M646" t="inlineStr"/>
      <c r="N646" t="inlineStr"/>
      <c r="O646">
        <f>(1-Summary!$B$55)*T646+Summary!$B$55*V646</f>
        <v/>
      </c>
      <c r="P646">
        <f>IF(B662=0,0,O646/B662)</f>
        <v/>
      </c>
      <c r="Q646" t="n">
        <v>0</v>
      </c>
      <c r="R646" t="n">
        <v>0</v>
      </c>
      <c r="S646">
        <f>IFERROR(O646/N646,0)</f>
        <v/>
      </c>
      <c r="T646" t="n">
        <v>0</v>
      </c>
      <c r="V646" t="n">
        <v>0</v>
      </c>
    </row>
    <row r="647">
      <c r="A647">
        <f>Skills!A24</f>
        <v/>
      </c>
      <c r="B647">
        <f>Skills!B24</f>
        <v/>
      </c>
      <c r="C647">
        <f>Inputs!$B$3&gt;=120</f>
        <v/>
      </c>
      <c r="D647">
        <f>IF(Skills!C24=1,60+Inputs!$B$26+Inputs!$B$30,IF(Skills!C24=2,90+Inputs!$B$27+Inputs!$B$30,IF(Skills!C24=3,120+Inputs!$B$28+Inputs!$B$30,MAX(0,(Inputs!$B$3-100)*3)+Inputs!$B$29+Inputs!$B$30)))</f>
        <v/>
      </c>
      <c r="E647">
        <f>INDEX(FactorTable!$B$2:$Y$301, MATCH(ROUND(MIN(300,MAX(1,D647)),0), FactorTable!$A$2:$A$301,0), Skills!M24+1)</f>
        <v/>
      </c>
      <c r="F647">
        <f>IF(Skills!N24=TRUE,(Skills!L24/10)*(E647/1000),Skills!L24/10)+Skills!O24</f>
        <v/>
      </c>
      <c r="G647">
        <f>Skills!G24*IF(Skills!H24&gt;0,Skills!I24/Skills!H24,1)</f>
        <v/>
      </c>
      <c r="H647">
        <f>1-(1-Skills!J24/100)^Skills!K24</f>
        <v/>
      </c>
      <c r="I647" t="inlineStr">
        <is>
          <t>1</t>
        </is>
      </c>
      <c r="J647" t="inlineStr"/>
      <c r="K647" t="inlineStr"/>
      <c r="L647" t="inlineStr"/>
      <c r="M647" t="inlineStr"/>
      <c r="N647" t="inlineStr"/>
      <c r="O647">
        <f>(1-Summary!$B$55)*T647+Summary!$B$55*V647</f>
        <v/>
      </c>
      <c r="P647">
        <f>IF(B662=0,0,O647/B662)</f>
        <v/>
      </c>
      <c r="Q647" t="n">
        <v>0</v>
      </c>
      <c r="R647" t="n">
        <v>0</v>
      </c>
      <c r="S647">
        <f>IFERROR(O647/N647,0)</f>
        <v/>
      </c>
      <c r="T647" t="n">
        <v>0</v>
      </c>
      <c r="V647" t="n">
        <v>0</v>
      </c>
    </row>
    <row r="648">
      <c r="A648">
        <f>Skills!A25</f>
        <v/>
      </c>
      <c r="B648">
        <f>Skills!B25</f>
        <v/>
      </c>
      <c r="C648">
        <f>Inputs!$B$3&gt;=125</f>
        <v/>
      </c>
      <c r="D648">
        <f>IF(Skills!C25=1,60+Inputs!$B$26+Inputs!$B$30,IF(Skills!C25=2,90+Inputs!$B$27+Inputs!$B$30,IF(Skills!C25=3,120+Inputs!$B$28+Inputs!$B$30,MAX(0,(Inputs!$B$3-100)*3)+Inputs!$B$29+Inputs!$B$30)))</f>
        <v/>
      </c>
      <c r="E648">
        <f>INDEX(FactorTable!$B$2:$Y$301, MATCH(ROUND(MIN(300,MAX(1,D648)),0), FactorTable!$A$2:$A$301,0), Skills!M25+1)</f>
        <v/>
      </c>
      <c r="F648">
        <f>IF(Skills!N25=TRUE,(Skills!L25/10)*(E648/1000),Skills!L25/10)+Skills!O25</f>
        <v/>
      </c>
      <c r="G648">
        <f>Skills!G25*IF(Skills!H25&gt;0,Skills!I25/Skills!H25,1)</f>
        <v/>
      </c>
      <c r="H648">
        <f>1-(1-Skills!J25/100)^Skills!K25</f>
        <v/>
      </c>
      <c r="I648" t="inlineStr">
        <is>
          <t>1</t>
        </is>
      </c>
      <c r="J648" t="inlineStr"/>
      <c r="K648" t="inlineStr"/>
      <c r="L648" t="inlineStr"/>
      <c r="M648" t="inlineStr"/>
      <c r="N648" t="inlineStr"/>
      <c r="O648">
        <f>(1-Summary!$B$55)*T648+Summary!$B$55*V648</f>
        <v/>
      </c>
      <c r="P648">
        <f>IF(B662=0,0,O648/B662)</f>
        <v/>
      </c>
      <c r="Q648" t="n">
        <v>0</v>
      </c>
      <c r="R648" t="n">
        <v>0</v>
      </c>
      <c r="S648">
        <f>IFERROR(O648/N648,0)</f>
        <v/>
      </c>
      <c r="T648" t="n">
        <v>0</v>
      </c>
      <c r="V648" t="n">
        <v>0</v>
      </c>
    </row>
    <row r="649">
      <c r="A649">
        <f>Skills!A26</f>
        <v/>
      </c>
      <c r="B649">
        <f>Skills!B26</f>
        <v/>
      </c>
      <c r="C649">
        <f>Inputs!$B$3&gt;=107</f>
        <v/>
      </c>
      <c r="D649">
        <f>IF(Skills!C26=1,60+Inputs!$B$26+Inputs!$B$30,IF(Skills!C26=2,90+Inputs!$B$27+Inputs!$B$30,IF(Skills!C26=3,120+Inputs!$B$28+Inputs!$B$30,MAX(0,(Inputs!$B$3-100)*3)+Inputs!$B$29+Inputs!$B$30)))</f>
        <v/>
      </c>
      <c r="E649">
        <f>INDEX(FactorTable!$B$2:$Y$301, MATCH(ROUND(MIN(300,MAX(1,D649)),0), FactorTable!$A$2:$A$301,0), Skills!M26+1)</f>
        <v/>
      </c>
      <c r="F649">
        <f>IF(Skills!N26=TRUE,(Skills!L26/10)*(E649/1000),Skills!L26/10)+Skills!O26</f>
        <v/>
      </c>
      <c r="G649">
        <f>Skills!G26*IF(Skills!H26&gt;0,Skills!I26/Skills!H26,1)</f>
        <v/>
      </c>
      <c r="H649">
        <f>1-(1-Skills!J26/100)^Skills!K26</f>
        <v/>
      </c>
      <c r="I649" t="inlineStr">
        <is>
          <t>1</t>
        </is>
      </c>
      <c r="J649" t="inlineStr"/>
      <c r="K649" t="inlineStr"/>
      <c r="L649" t="inlineStr"/>
      <c r="M649" t="inlineStr"/>
      <c r="N649" t="inlineStr"/>
      <c r="O649">
        <f>(1-Summary!$B$55)*T649+Summary!$B$55*V649</f>
        <v/>
      </c>
      <c r="P649">
        <f>IF(B662=0,0,O649/B662)</f>
        <v/>
      </c>
      <c r="Q649" t="n">
        <v>0</v>
      </c>
      <c r="R649" t="n">
        <v>0</v>
      </c>
      <c r="S649">
        <f>IFERROR(O649/N649,0)</f>
        <v/>
      </c>
      <c r="T649" t="n">
        <v>0</v>
      </c>
      <c r="V649" t="n">
        <v>0</v>
      </c>
    </row>
    <row r="651">
      <c r="A651" t="inlineStr">
        <is>
          <t>Attack% Bucket Multiplier</t>
        </is>
      </c>
      <c r="B651">
        <f>(1+(((C636=TRUE)*F636*IF(AND(Inputs!$B$39&lt;&gt;"pvp",Inputs!$B$44&gt;0),(((R636-1)*(Skills!T13*(1+Inputs!$B$35/100))+MIN((Skills!T13*(1+Inputs!$B$35/100)),MAX(0,Inputs!$B$44-((R636-1)*Skills!D13))))/Inputs!$B$44),IF(Inputs!$B$39="pvp",MIN((Skills!T13*(1+Inputs!$B$35/100)),15)/15,(Skills!T13*(1+Inputs!$B$35/100))/Skills!D13)))+((C637=TRUE)*F637*IF(AND(Inputs!$B$39&lt;&gt;"pvp",Inputs!$B$44&gt;0),(((R637-1)*(Skills!T14*(1+Inputs!$B$35/100))+MIN((Skills!T14*(1+Inputs!$B$35/100)),MAX(0,Inputs!$B$44-((R637-1)*Skills!D14))))/Inputs!$B$44),IF(Inputs!$B$39="pvp",MIN((Skills!T14*(1+Inputs!$B$35/100)),15)/15,(Skills!T14*(1+Inputs!$B$35/100))/Skills!D14)))+((C638=TRUE)*F638*IF(AND(Inputs!$B$39&lt;&gt;"pvp",Inputs!$B$44&gt;0),(((R638-1)*(Skills!T15*(1+Inputs!$B$35/100))+MIN((Skills!T15*(1+Inputs!$B$35/100)),MAX(0,Inputs!$B$44-((R638-1)*Skills!D15))))/Inputs!$B$44),IF(Inputs!$B$39="pvp",MIN((Skills!T15*(1+Inputs!$B$35/100)),15)/15,(Skills!T15*(1+Inputs!$B$35/100))/Skills!D15)))+((C639=TRUE)*F639*IF(AND(Inputs!$B$39&lt;&gt;"pvp",Inputs!$B$44&gt;0),(((R639-1)*(Skills!T16*(1+Inputs!$B$35/100))+MIN((Skills!T16*(1+Inputs!$B$35/100)),MAX(0,Inputs!$B$44-((R639-1)*Skills!D16))))/Inputs!$B$44),IF(Inputs!$B$39="pvp",MIN((Skills!T16*(1+Inputs!$B$35/100)),15)/15,(Skills!T16*(1+Inputs!$B$35/100))/Skills!D16)))+0)/100)</f>
        <v/>
      </c>
    </row>
    <row r="652">
      <c r="A652" t="inlineStr">
        <is>
          <t>Global Crit Rate Bonus % (Lord of Darkness)</t>
        </is>
      </c>
      <c r="B652">
        <f>((C641=TRUE)*F641*(Skills!J18/100)*IF(AND(Inputs!$B$39&lt;&gt;"pvp",Inputs!$B$44&gt;0),(((R641-1)*(Skills!T18*(1+Inputs!$B$35/100))+MIN((Skills!T18*(1+Inputs!$B$35/100)),MAX(0,Inputs!$B$44-((R641-1)*Skills!D18))))/Inputs!$B$44),IF(Inputs!$B$39="pvp",MIN((Skills!T18*(1+Inputs!$B$35/100)),15)/15,(Skills!T18*(1+Inputs!$B$35/100))/Skills!D18)))</f>
        <v/>
      </c>
    </row>
    <row r="653">
      <c r="A653" t="inlineStr">
        <is>
          <t>Attack Speed Buff Bonus %</t>
        </is>
      </c>
      <c r="B653">
        <f>((C643=TRUE)*F643*IF(AND(Inputs!$B$39&lt;&gt;"pvp",Inputs!$B$44&gt;0),(((R643-1)*(Skills!T20*(1+Inputs!$B$35/100))+MIN((Skills!T20*(1+Inputs!$B$35/100)),MAX(0,Inputs!$B$44-((R643-1)*Skills!D20))))/Inputs!$B$44),IF(Inputs!$B$39="pvp",MIN((Skills!T20*(1+Inputs!$B$35/100)),15)/15,(Skills!T20*(1+Inputs!$B$35/100))/Skills!D20)))</f>
        <v/>
      </c>
    </row>
    <row r="654">
      <c r="A654" t="inlineStr">
        <is>
          <t>Actions Per Second</t>
        </is>
      </c>
      <c r="B654">
        <f>1+MIN(150,150*(1-(1-(((1-(1-Inputs!$B$12/150)*(1-1/150))*150)+((C644=TRUE)*(F644-Calc!F21)))/150)*(1-B653/150)))/100</f>
        <v/>
      </c>
    </row>
    <row r="655">
      <c r="A655" t="inlineStr">
        <is>
          <t>Skill + Buff Cast Rate</t>
        </is>
      </c>
      <c r="B655">
        <f>IF(AND(Inputs!$B$39&lt;&gt;"pvp",Inputs!$B$44&gt;0),SUMPRODUCT((Skills!E2:E26=TRUE)*(C625:C649=TRUE)*R625:R649*Skills!F2:F26)/Inputs!$B$44,SUMPRODUCT((Skills!E2:E26=TRUE)*(C625:C649=TRUE)*Q625:Q649*Skills!F2:F26))</f>
        <v/>
      </c>
    </row>
    <row r="656">
      <c r="A656" t="inlineStr">
        <is>
          <t>Dark Impale Casts Per Second</t>
        </is>
      </c>
      <c r="B656">
        <f>MAX(0,B654-B655)</f>
        <v/>
      </c>
    </row>
    <row r="657">
      <c r="A657" t="inlineStr">
        <is>
          <t>Global Critical Damage Bonus % (Lord of Darkness)</t>
        </is>
      </c>
      <c r="B657">
        <f>((C642=TRUE)*F642*(Skills!J19/100)*IF(AND(Inputs!$B$39&lt;&gt;"pvp",Inputs!$B$44&gt;0),(((R642-1)*(Skills!T19*(1+Inputs!$B$35/100))+MIN((Skills!T19*(1+Inputs!$B$35/100)),MAX(0,Inputs!$B$44-((R642-1)*Skills!D19))))/Inputs!$B$44),IF(Inputs!$B$39="pvp",MIN((Skills!T19*(1+Inputs!$B$35/100)),15)/15,(Skills!T19*(1+Inputs!$B$35/100))/Skills!D19)))</f>
        <v/>
      </c>
    </row>
    <row r="658">
      <c r="A658" t="inlineStr">
        <is>
          <t>Global Final Damage Bonus % (unused)</t>
        </is>
      </c>
      <c r="B658" t="n">
        <v>0</v>
      </c>
    </row>
    <row r="659">
      <c r="A659" t="inlineStr">
        <is>
          <t>Buff-Casting Startup Delay (s, fixed-duration only)</t>
        </is>
      </c>
      <c r="B659">
        <f>IF(AND(Inputs!$B$39&lt;&gt;"pvp",Inputs!$B$44&gt;0),SUMPRODUCT((Skills!T2:T26&gt;0)*(Skills!E2:E26=TRUE)*(C625:C649=TRUE))/B654,0)</f>
        <v/>
      </c>
    </row>
    <row r="660">
      <c r="A660" t="inlineStr">
        <is>
          <t>Boss-Only Total DPS (this block's swept value)</t>
        </is>
      </c>
      <c r="B660">
        <f>SUM(T625:T649)</f>
        <v/>
      </c>
    </row>
    <row r="661">
      <c r="A661" t="inlineStr">
        <is>
          <t>Normal-Only Total DPS (this block's swept value)</t>
        </is>
      </c>
      <c r="B661">
        <f>SUM(V625:V649)</f>
        <v/>
      </c>
    </row>
    <row r="662">
      <c r="A662" s="5" t="inlineStr">
        <is>
          <t>TOTAL DPS</t>
        </is>
      </c>
      <c r="B662" s="5">
        <f>SUM(O625:O649)</f>
        <v/>
      </c>
    </row>
    <row r="665">
      <c r="A665" s="5" t="inlineStr">
        <is>
          <t>Stat: DEF_PEN % (diminishing returns, factor 100)</t>
        </is>
      </c>
    </row>
    <row r="666">
      <c r="A666" s="9" t="inlineStr">
        <is>
          <t>Key</t>
        </is>
      </c>
      <c r="B666" s="9" t="inlineStr">
        <is>
          <t>Name</t>
        </is>
      </c>
      <c r="C666" s="9" t="inlineStr">
        <is>
          <t>Unlocked</t>
        </is>
      </c>
      <c r="D666" s="9" t="inlineStr">
        <is>
          <t>InputLevel</t>
        </is>
      </c>
      <c r="E666" s="9" t="inlineStr">
        <is>
          <t>Factor</t>
        </is>
      </c>
      <c r="F666" s="9" t="inlineStr">
        <is>
          <t>CoefficientPercent</t>
        </is>
      </c>
      <c r="G666" s="9" t="inlineStr">
        <is>
          <t>EffectiveHits</t>
        </is>
      </c>
      <c r="H666" s="9" t="inlineStr">
        <is>
          <t>ProcProbability</t>
        </is>
      </c>
      <c r="I666" s="9" t="inlineStr">
        <is>
          <t>MapleHeroMultiplier</t>
        </is>
      </c>
      <c r="J666" s="9" t="inlineStr">
        <is>
          <t>BaseDamage</t>
        </is>
      </c>
      <c r="K666" s="9" t="inlineStr">
        <is>
          <t>BaseHitDamage</t>
        </is>
      </c>
      <c r="L666" s="9" t="inlineStr">
        <is>
          <t>NonCritAvg</t>
        </is>
      </c>
      <c r="M666" s="9" t="inlineStr">
        <is>
          <t>CritAvg</t>
        </is>
      </c>
      <c r="N666" s="9" t="inlineStr">
        <is>
          <t>ExpectedDamage(perHit)</t>
        </is>
      </c>
      <c r="O666" s="9" t="inlineStr">
        <is>
          <t>DPS</t>
        </is>
      </c>
      <c r="P666" s="9" t="inlineStr">
        <is>
          <t>% of Total</t>
        </is>
      </c>
      <c r="Q666" s="9" t="inlineStr">
        <is>
          <t>InvCooldown</t>
        </is>
      </c>
      <c r="R666" s="9" t="inlineStr">
        <is>
          <t>CastsInFight</t>
        </is>
      </c>
      <c r="S666" s="9" t="inlineStr">
        <is>
          <t>HitRate(perSec)</t>
        </is>
      </c>
      <c r="U666" t="inlineStr">
        <is>
          <t>helpers</t>
        </is>
      </c>
    </row>
    <row r="667">
      <c r="A667">
        <f>Skills!A2</f>
        <v/>
      </c>
      <c r="B667">
        <f>Skills!B2</f>
        <v/>
      </c>
      <c r="C667">
        <f>Inputs!$B$3&gt;=100</f>
        <v/>
      </c>
      <c r="D667" t="inlineStr"/>
      <c r="E667" t="inlineStr"/>
      <c r="F667">
        <f>U669+Skills!O2</f>
        <v/>
      </c>
      <c r="G667">
        <f>Skills!G2*IF(Skills!H2&gt;0,Skills!I2/Skills!H2,1)</f>
        <v/>
      </c>
      <c r="H667">
        <f>1-(1-Skills!J2/100)^Skills!K2</f>
        <v/>
      </c>
      <c r="I667" t="inlineStr">
        <is>
          <t>1</t>
        </is>
      </c>
      <c r="J667">
        <f>((Inputs!$B$6*(1+Inputs!$B$7/100))+(((Inputs!$B$13*(1+Inputs!$B$14/100))-(Inputs!$B$13*(1+Inputs!$B$14/100)))+0.25*(Inputs!$B$15-Inputs!$B$15))*(1+Inputs!$B$7/100))*(F667/100)</f>
        <v/>
      </c>
      <c r="K667">
        <f>J667*(1+(((Inputs!$B$13+IF(Inputs!$B$3&gt;=38,(10*INDEX(FactorTable!$B$2:$Y$301, MATCH(ROUND(MIN(300,MAX(1,Inputs!$B$3)),0), FactorTable!$A$2:$A$301,0), 23)/1000)/100*(Inputs!$B$8*(1+Inputs!$B$9/100)),0))*(1+Inputs!$B$14/100))*0.01+Inputs!$B$15*0.0025)/100)*(1+Inputs!$B$16/100)*(1+Inputs!$B$17/100)*(5000/(6000+Inputs!$B$43*(1-(((1-(1-Inputs!$B$20/100)*(1-1/100))*100)+0)/100)))*(1+(Inputs!$B$25+((C690=TRUE)*(F690-Calc!F25))+((C691=TRUE)*(F691-Calc!F26))+B700)/100)*(1+(IF(Skills!A2="DARK_IMPALE",Inputs!$B$18+0,Inputs!$B$19+((C688=TRUE)*(F688-Calc!F23))))/100)*((1+(((C678=TRUE)*F678*IF(AND(Inputs!$B$39&lt;&gt;"pvp",Inputs!$B$44&gt;0),(((R678-1)*(Skills!T13*(1+Inputs!$B$35/100))+MIN((Skills!T13*(1+Inputs!$B$35/100)),MAX(0,Inputs!$B$44-((R678-1)*Skills!D13))))/Inputs!$B$44),IF(Inputs!$B$39="pvp",MIN((Skills!T13*(1+Inputs!$B$35/100)),15)/15,(Skills!T13*(1+Inputs!$B$35/100))/Skills!D13)))+((C679=TRUE)*F679*IF(AND(Inputs!$B$39&lt;&gt;"pvp",Inputs!$B$44&gt;0),(((R679-1)*(Skills!T14*(1+Inputs!$B$35/100))+MIN((Skills!T14*(1+Inputs!$B$35/100)),MAX(0,Inputs!$B$44-((R679-1)*Skills!D14))))/Inputs!$B$44),IF(Inputs!$B$39="pvp",MIN((Skills!T14*(1+Inputs!$B$35/100)),15)/15,(Skills!T14*(1+Inputs!$B$35/100))/Skills!D14)))+((C680=TRUE)*F680*IF(AND(Inputs!$B$39&lt;&gt;"pvp",Inputs!$B$44&gt;0),(((R680-1)*(Skills!T15*(1+Inputs!$B$35/100))+MIN((Skills!T15*(1+Inputs!$B$35/100)),MAX(0,Inputs!$B$44-((R680-1)*Skills!D15))))/Inputs!$B$44),IF(Inputs!$B$39="pvp",MIN((Skills!T15*(1+Inputs!$B$35/100)),15)/15,(Skills!T15*(1+Inputs!$B$35/100))/Skills!D15)))+((C681=TRUE)*F681*IF(AND(Inputs!$B$39&lt;&gt;"pvp",Inputs!$B$44&gt;0),(((R681-1)*(Skills!T16*(1+Inputs!$B$35/100))+MIN((Skills!T16*(1+Inputs!$B$35/100)),MAX(0,Inputs!$B$44-((R681-1)*Skills!D16))))/Inputs!$B$44),IF(Inputs!$B$39="pvp",MIN((Skills!T16*(1+Inputs!$B$35/100)),15)/15,(Skills!T16*(1+Inputs!$B$35/100))/Skills!D16)))+0)/100)*I667)</f>
        <v/>
      </c>
      <c r="L667">
        <f>K667*(MIN(Inputs!$B$23+((C687=TRUE)*(F687-Calc!F22)),Inputs!$B$24+((C689=TRUE)*(F689-Calc!F24)))/100+(Inputs!$B$24+((C689=TRUE)*(F689-Calc!F24)))/100)/2</f>
        <v/>
      </c>
      <c r="M667">
        <f>L667*(1+(Inputs!$B$11+0+B699)/100)</f>
        <v/>
      </c>
      <c r="N667">
        <f>L667*(1-MIN((Inputs!$B$10+0+B694),100)/100)+M667*(MIN((Inputs!$B$10+0+B694),100)/100)</f>
        <v/>
      </c>
      <c r="O667">
        <f>(1-Summary!$B$55)*T667+Summary!$B$55*V667</f>
        <v/>
      </c>
      <c r="P667">
        <f>IF(B704=0,0,O667/B704)</f>
        <v/>
      </c>
      <c r="Q667" t="n">
        <v>0</v>
      </c>
      <c r="R667" t="n">
        <v>0</v>
      </c>
      <c r="S667">
        <f>IFERROR(O667/N667,0)</f>
        <v/>
      </c>
      <c r="T667">
        <f>IF(C667,(Skills!G2*N667*B698)*IF(Inputs!$B$39="pvp",1,1+(Inputs!$B$21+0+Skills!P2+((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0)</f>
        <v/>
      </c>
      <c r="U667">
        <f>MAX(0,(Inputs!$B$3-100)*3)+Inputs!$B$29+Inputs!$B$30</f>
        <v/>
      </c>
      <c r="V667">
        <f>IF(C667,(Skills!G2*N667*B698)*IF(Inputs!$B$39="pvp",1,(1+(Inputs!$B$22+Skills!Q2+((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MIN((6+Inputs!$B$34),Inputs!$B$38))),0)</f>
        <v/>
      </c>
    </row>
    <row r="668">
      <c r="A668">
        <f>Skills!A3</f>
        <v/>
      </c>
      <c r="B668">
        <f>Skills!B3</f>
        <v/>
      </c>
      <c r="C668">
        <f>Inputs!$B$3&gt;=50</f>
        <v/>
      </c>
      <c r="D668">
        <f>IF(Skills!C3=1,60+Inputs!$B$26+Inputs!$B$30,IF(Skills!C3=2,90+Inputs!$B$27+Inputs!$B$30,IF(Skills!C3=3,120+Inputs!$B$28+Inputs!$B$30,MAX(0,(Inputs!$B$3-100)*3)+Inputs!$B$29+Inputs!$B$30)))</f>
        <v/>
      </c>
      <c r="E668">
        <f>INDEX(FactorTable!$B$2:$Y$301, MATCH(ROUND(MIN(300,MAX(1,D668)),0), FactorTable!$A$2:$A$301,0), Skills!M3+1)</f>
        <v/>
      </c>
      <c r="F668">
        <f>IF(Skills!N3=TRUE,(Skills!L3/10)*(E668/1000),Skills!L3/10)+Skills!O3</f>
        <v/>
      </c>
      <c r="G668" t="inlineStr"/>
      <c r="H668" t="inlineStr"/>
      <c r="I668" t="inlineStr">
        <is>
          <t>1</t>
        </is>
      </c>
      <c r="J668" t="inlineStr"/>
      <c r="K668" t="inlineStr"/>
      <c r="L668" t="inlineStr"/>
      <c r="M668" t="inlineStr"/>
      <c r="N668" t="inlineStr"/>
      <c r="O668" t="inlineStr"/>
      <c r="P668" t="inlineStr"/>
      <c r="Q668" t="inlineStr"/>
      <c r="R668" t="inlineStr"/>
      <c r="S668" t="inlineStr"/>
      <c r="U668">
        <f>INDEX(FactorTable!$B$2:$Y$301, MATCH(ROUND(MIN(300,MAX(1,U667)),0), FactorTable!$A$2:$A$301,0), 22)</f>
        <v/>
      </c>
    </row>
    <row r="669">
      <c r="A669">
        <f>Skills!A4</f>
        <v/>
      </c>
      <c r="B669">
        <f>Skills!B4</f>
        <v/>
      </c>
      <c r="C669">
        <f>Inputs!$B$3&gt;=105</f>
        <v/>
      </c>
      <c r="D669">
        <f>IF(Skills!C4=1,60+Inputs!$B$26+Inputs!$B$30,IF(Skills!C4=2,90+Inputs!$B$27+Inputs!$B$30,IF(Skills!C4=3,120+Inputs!$B$28+Inputs!$B$30,MAX(0,(Inputs!$B$3-100)*3)+Inputs!$B$29+Inputs!$B$30)))</f>
        <v/>
      </c>
      <c r="E669">
        <f>INDEX(FactorTable!$B$2:$Y$301, MATCH(ROUND(MIN(300,MAX(1,D669)),0), FactorTable!$A$2:$A$301,0), Skills!M4+1)</f>
        <v/>
      </c>
      <c r="F669">
        <f>IF(Skills!N4=TRUE,(Skills!L4/10)*(E669/1000),Skills!L4/10)+Skills!O4</f>
        <v/>
      </c>
      <c r="G669" t="inlineStr"/>
      <c r="H669" t="inlineStr"/>
      <c r="I669" t="inlineStr">
        <is>
          <t>1</t>
        </is>
      </c>
      <c r="J669" t="inlineStr"/>
      <c r="K669" t="inlineStr"/>
      <c r="L669" t="inlineStr"/>
      <c r="M669" t="inlineStr"/>
      <c r="N669" t="inlineStr"/>
      <c r="O669" t="inlineStr"/>
      <c r="P669" t="inlineStr"/>
      <c r="Q669" t="inlineStr"/>
      <c r="R669" t="inlineStr"/>
      <c r="S669" t="inlineStr"/>
      <c r="U669">
        <f>290*U668/1000</f>
        <v/>
      </c>
    </row>
    <row r="670">
      <c r="A670">
        <f>Skills!A5</f>
        <v/>
      </c>
      <c r="B670">
        <f>Skills!B5</f>
        <v/>
      </c>
      <c r="C670">
        <f>Inputs!$B$3&gt;=117</f>
        <v/>
      </c>
      <c r="D670">
        <f>IF(Skills!C5=1,60+Inputs!$B$26+Inputs!$B$30,IF(Skills!C5=2,90+Inputs!$B$27+Inputs!$B$30,IF(Skills!C5=3,120+Inputs!$B$28+Inputs!$B$30,MAX(0,(Inputs!$B$3-100)*3)+Inputs!$B$29+Inputs!$B$30)))</f>
        <v/>
      </c>
      <c r="E670">
        <f>INDEX(FactorTable!$B$2:$Y$301, MATCH(ROUND(MIN(300,MAX(1,D670)),0), FactorTable!$A$2:$A$301,0), Skills!M5+1)</f>
        <v/>
      </c>
      <c r="F670">
        <f>IF(Skills!N5=TRUE,(Skills!L5/10)*(E670/1000),Skills!L5/10)+Skills!O5</f>
        <v/>
      </c>
      <c r="G670">
        <f>Skills!G5*IF(Skills!H5&gt;0,Skills!I5/Skills!H5,1)</f>
        <v/>
      </c>
      <c r="H670">
        <f>1-(1-Skills!J5/100)^Skills!K5</f>
        <v/>
      </c>
      <c r="I670" t="inlineStr">
        <is>
          <t>1</t>
        </is>
      </c>
      <c r="J670">
        <f>((Inputs!$B$6*(1+Inputs!$B$7/100))+(((Inputs!$B$13*(1+Inputs!$B$14/100))-(Inputs!$B$13*(1+Inputs!$B$14/100)))+0.25*(Inputs!$B$15-Inputs!$B$15))*(1+Inputs!$B$7/100))*(F670/100)</f>
        <v/>
      </c>
      <c r="K670">
        <f>J670*(1+(((Inputs!$B$13+IF(Inputs!$B$3&gt;=38,(10*INDEX(FactorTable!$B$2:$Y$301, MATCH(ROUND(MIN(300,MAX(1,Inputs!$B$3)),0), FactorTable!$A$2:$A$301,0), 23)/1000)/100*(Inputs!$B$8*(1+Inputs!$B$9/100)),0))*(1+Inputs!$B$14/100))*0.01+Inputs!$B$15*0.0025)/100)*(1+Inputs!$B$16/100)*(1+Inputs!$B$17/100)*(5000/(6000+Inputs!$B$43*(1-(((1-(1-Inputs!$B$20/100)*(1-1/100))*100)+0)/100)))*(1+(Inputs!$B$25+((C690=TRUE)*(F690-Calc!F25))+((C691=TRUE)*(F691-Calc!F26))+B700)/100)*(1+(IF(Skills!A5="DARK_IMPALE",Inputs!$B$18+0,Inputs!$B$19+((C688=TRUE)*(F688-Calc!F23))))/100)*((1+(((C678=TRUE)*F678*IF(AND(Inputs!$B$39&lt;&gt;"pvp",Inputs!$B$44&gt;0),(((R678-1)*(Skills!T13*(1+Inputs!$B$35/100))+MIN((Skills!T13*(1+Inputs!$B$35/100)),MAX(0,Inputs!$B$44-((R678-1)*Skills!D13))))/Inputs!$B$44),IF(Inputs!$B$39="pvp",MIN((Skills!T13*(1+Inputs!$B$35/100)),15)/15,(Skills!T13*(1+Inputs!$B$35/100))/Skills!D13)))+((C679=TRUE)*F679*IF(AND(Inputs!$B$39&lt;&gt;"pvp",Inputs!$B$44&gt;0),(((R679-1)*(Skills!T14*(1+Inputs!$B$35/100))+MIN((Skills!T14*(1+Inputs!$B$35/100)),MAX(0,Inputs!$B$44-((R679-1)*Skills!D14))))/Inputs!$B$44),IF(Inputs!$B$39="pvp",MIN((Skills!T14*(1+Inputs!$B$35/100)),15)/15,(Skills!T14*(1+Inputs!$B$35/100))/Skills!D14)))+((C680=TRUE)*F680*IF(AND(Inputs!$B$39&lt;&gt;"pvp",Inputs!$B$44&gt;0),(((R680-1)*(Skills!T15*(1+Inputs!$B$35/100))+MIN((Skills!T15*(1+Inputs!$B$35/100)),MAX(0,Inputs!$B$44-((R680-1)*Skills!D15))))/Inputs!$B$44),IF(Inputs!$B$39="pvp",MIN((Skills!T15*(1+Inputs!$B$35/100)),15)/15,(Skills!T15*(1+Inputs!$B$35/100))/Skills!D15)))+((C681=TRUE)*F681*IF(AND(Inputs!$B$39&lt;&gt;"pvp",Inputs!$B$44&gt;0),(((R681-1)*(Skills!T16*(1+Inputs!$B$35/100))+MIN((Skills!T16*(1+Inputs!$B$35/100)),MAX(0,Inputs!$B$44-((R681-1)*Skills!D16))))/Inputs!$B$44),IF(Inputs!$B$39="pvp",MIN((Skills!T16*(1+Inputs!$B$35/100)),15)/15,(Skills!T16*(1+Inputs!$B$35/100))/Skills!D16)))+0)/100)*I670)</f>
        <v/>
      </c>
      <c r="L670">
        <f>K670*(MIN(Inputs!$B$23+((C687=TRUE)*(F687-Calc!F22)),Inputs!$B$24+((C689=TRUE)*(F689-Calc!F24)))/100+(Inputs!$B$24+((C689=TRUE)*(F689-Calc!F24)))/100)/2</f>
        <v/>
      </c>
      <c r="M670">
        <f>L670*(1+(Inputs!$B$11+0+B699)/100)</f>
        <v/>
      </c>
      <c r="N670">
        <f>L670*(1-MIN((Inputs!$B$10+0+B694),100)/100)+M670*(MIN((Inputs!$B$10+0+B694),100)/100)</f>
        <v/>
      </c>
      <c r="O670">
        <f>(1-Summary!$B$55)*T670+Summary!$B$55*V670</f>
        <v/>
      </c>
      <c r="P670">
        <f>IF(B704=0,0,O670/B704)</f>
        <v/>
      </c>
      <c r="Q670">
        <f>IFERROR(1/IF(Inputs!$B$39="pvp",15,MAX(0.1,Skills!D5-IF(Skills!E5=TRUE,Inputs!$B$33,0))),0)</f>
        <v/>
      </c>
      <c r="R670">
        <f>IF(AND(Inputs!$B$39&lt;&gt;"pvp",Inputs!$B$44&gt;0),IF(MAX(0,Inputs!$B$44-B701)&lt;=0,0,(INT(MAX(0,Inputs!$B$44-B701)/IF(Inputs!$B$39="pvp",15,MAX(0.1,Skills!D5-IF(Skills!E5=TRUE,Inputs!$B$33,0))))+1)),0)</f>
        <v/>
      </c>
      <c r="S670">
        <f>IFERROR(O670/N670,0)</f>
        <v/>
      </c>
      <c r="T670">
        <f>IF(C670,(H670*N670*IF(AND(Inputs!$B$39&lt;&gt;"pvp",Inputs!$B$44&gt;0),((Skills!G5*((R670-1)*IF(Skills!H5&gt;0,Skills!I5/Skills!H5,1)+IF(Skills!H5&gt;0,MIN(Skills!I5,MAX(0,MAX(0,Inputs!$B$44-B701)-((R670-1)*IF(Inputs!$B$39="pvp",15,MAX(0.1,Skills!D5-IF(Skills!E5=TRUE,Inputs!$B$33,0))))))/Skills!H5,1)))/Inputs!$B$44),G670*Q670))*IF(Inputs!$B$39="pvp",1,1+(Inputs!$B$21+0+Skills!P5+((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0)</f>
        <v/>
      </c>
      <c r="V670">
        <f>IF(C670,(H670*N670*IF(AND(Inputs!$B$39&lt;&gt;"pvp",Inputs!$B$44&gt;0),((Skills!G5*((R670-1)*IF(Skills!H5&gt;0,Skills!I5/Skills!H5,1)+IF(Skills!H5&gt;0,MIN(Skills!I5,MAX(0,MAX(0,Inputs!$B$44-B701)-((R670-1)*IF(Inputs!$B$39="pvp",15,MAX(0.1,Skills!D5-IF(Skills!E5=TRUE,Inputs!$B$33,0))))))/Skills!H5,1)))/Inputs!$B$44),G670*Q670))*IF(Inputs!$B$39="pvp",1,(1+(Inputs!$B$22+Skills!Q5+((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MIN(Skills!R5,Inputs!$B$38))),0)</f>
        <v/>
      </c>
    </row>
    <row r="671">
      <c r="A671">
        <f>Skills!A6</f>
        <v/>
      </c>
      <c r="B671">
        <f>Skills!B6</f>
        <v/>
      </c>
      <c r="C671">
        <f>Inputs!$B$3&gt;=103</f>
        <v/>
      </c>
      <c r="D671">
        <f>IF(Skills!C6=1,60+Inputs!$B$26+Inputs!$B$30,IF(Skills!C6=2,90+Inputs!$B$27+Inputs!$B$30,IF(Skills!C6=3,120+Inputs!$B$28+Inputs!$B$30,MAX(0,(Inputs!$B$3-100)*3)+Inputs!$B$29+Inputs!$B$30)))</f>
        <v/>
      </c>
      <c r="E671">
        <f>INDEX(FactorTable!$B$2:$Y$301, MATCH(ROUND(MIN(300,MAX(1,D671)),0), FactorTable!$A$2:$A$301,0), Skills!M6+1)</f>
        <v/>
      </c>
      <c r="F671">
        <f>IF(Skills!N6=TRUE,(Skills!L6/10)*(E671/1000),Skills!L6/10)+Skills!O6</f>
        <v/>
      </c>
      <c r="G671">
        <f>Skills!G6*IF(Skills!H6&gt;0,Skills!I6/Skills!H6,1)</f>
        <v/>
      </c>
      <c r="H671">
        <f>1-(1-Skills!J6/100)^Skills!K6</f>
        <v/>
      </c>
      <c r="I671" t="inlineStr">
        <is>
          <t>1</t>
        </is>
      </c>
      <c r="J671">
        <f>((Inputs!$B$6*(1+Inputs!$B$7/100))+(((Inputs!$B$13*(1+Inputs!$B$14/100))-(Inputs!$B$13*(1+Inputs!$B$14/100)))+0.25*(Inputs!$B$15-Inputs!$B$15))*(1+Inputs!$B$7/100))*(F671/100)</f>
        <v/>
      </c>
      <c r="K671">
        <f>J671*(1+(((Inputs!$B$13+IF(Inputs!$B$3&gt;=38,(10*INDEX(FactorTable!$B$2:$Y$301, MATCH(ROUND(MIN(300,MAX(1,Inputs!$B$3)),0), FactorTable!$A$2:$A$301,0), 23)/1000)/100*(Inputs!$B$8*(1+Inputs!$B$9/100)),0))*(1+Inputs!$B$14/100))*0.01+Inputs!$B$15*0.0025)/100)*(1+Inputs!$B$16/100)*(1+Inputs!$B$17/100)*(5000/(6000+Inputs!$B$43*(1-(((1-(1-Inputs!$B$20/100)*(1-1/100))*100)+0)/100)))*(1+(Inputs!$B$25+((C690=TRUE)*(F690-Calc!F25))+((C691=TRUE)*(F691-Calc!F26))+B700)/100)*(1+(IF(Skills!A6="DARK_IMPALE",Inputs!$B$18+0,Inputs!$B$19+((C688=TRUE)*(F688-Calc!F23))))/100)*((1+(((C678=TRUE)*F678*IF(AND(Inputs!$B$39&lt;&gt;"pvp",Inputs!$B$44&gt;0),(((R678-1)*(Skills!T13*(1+Inputs!$B$35/100))+MIN((Skills!T13*(1+Inputs!$B$35/100)),MAX(0,Inputs!$B$44-((R678-1)*Skills!D13))))/Inputs!$B$44),IF(Inputs!$B$39="pvp",MIN((Skills!T13*(1+Inputs!$B$35/100)),15)/15,(Skills!T13*(1+Inputs!$B$35/100))/Skills!D13)))+((C679=TRUE)*F679*IF(AND(Inputs!$B$39&lt;&gt;"pvp",Inputs!$B$44&gt;0),(((R679-1)*(Skills!T14*(1+Inputs!$B$35/100))+MIN((Skills!T14*(1+Inputs!$B$35/100)),MAX(0,Inputs!$B$44-((R679-1)*Skills!D14))))/Inputs!$B$44),IF(Inputs!$B$39="pvp",MIN((Skills!T14*(1+Inputs!$B$35/100)),15)/15,(Skills!T14*(1+Inputs!$B$35/100))/Skills!D14)))+((C680=TRUE)*F680*IF(AND(Inputs!$B$39&lt;&gt;"pvp",Inputs!$B$44&gt;0),(((R680-1)*(Skills!T15*(1+Inputs!$B$35/100))+MIN((Skills!T15*(1+Inputs!$B$35/100)),MAX(0,Inputs!$B$44-((R680-1)*Skills!D15))))/Inputs!$B$44),IF(Inputs!$B$39="pvp",MIN((Skills!T15*(1+Inputs!$B$35/100)),15)/15,(Skills!T15*(1+Inputs!$B$35/100))/Skills!D15)))+((C681=TRUE)*F681*IF(AND(Inputs!$B$39&lt;&gt;"pvp",Inputs!$B$44&gt;0),(((R681-1)*(Skills!T16*(1+Inputs!$B$35/100))+MIN((Skills!T16*(1+Inputs!$B$35/100)),MAX(0,Inputs!$B$44-((R681-1)*Skills!D16))))/Inputs!$B$44),IF(Inputs!$B$39="pvp",MIN((Skills!T16*(1+Inputs!$B$35/100)),15)/15,(Skills!T16*(1+Inputs!$B$35/100))/Skills!D16)))+0)/100)*I671)</f>
        <v/>
      </c>
      <c r="L671">
        <f>K671*(MIN(Inputs!$B$23+((C687=TRUE)*(F687-Calc!F22)),Inputs!$B$24+((C689=TRUE)*(F689-Calc!F24)))/100+(Inputs!$B$24+((C689=TRUE)*(F689-Calc!F24)))/100)/2</f>
        <v/>
      </c>
      <c r="M671">
        <f>L671*(1+(Inputs!$B$11+0+B699)/100)</f>
        <v/>
      </c>
      <c r="N671">
        <f>L671*(1-MIN((Inputs!$B$10+0+B694),100)/100)+M671*(MIN((Inputs!$B$10+0+B694),100)/100)</f>
        <v/>
      </c>
      <c r="O671">
        <f>(1-Summary!$B$55)*T671+Summary!$B$55*V671</f>
        <v/>
      </c>
      <c r="P671">
        <f>IF(B704=0,0,O671/B704)</f>
        <v/>
      </c>
      <c r="Q671">
        <f>IFERROR(1/IF(Inputs!$B$39="pvp",15,MAX(0.1,Skills!D6-IF(Skills!E6=TRUE,Inputs!$B$33,0))),0)</f>
        <v/>
      </c>
      <c r="R671">
        <f>IF(AND(Inputs!$B$39&lt;&gt;"pvp",Inputs!$B$44&gt;0),IF(MAX(0,Inputs!$B$44-B701)&lt;=0,0,(INT(MAX(0,Inputs!$B$44-B701)/IF(Inputs!$B$39="pvp",15,MAX(0.1,Skills!D6-IF(Skills!E6=TRUE,Inputs!$B$33,0))))+1)),0)</f>
        <v/>
      </c>
      <c r="S671">
        <f>IFERROR(O671/N671,0)</f>
        <v/>
      </c>
      <c r="T671">
        <f>IF(C671,(H671*N671*IF(AND(Inputs!$B$39&lt;&gt;"pvp",Inputs!$B$44&gt;0),((Skills!G6*((R671-1)*IF(Skills!H6&gt;0,Skills!I6/Skills!H6,1)+IF(Skills!H6&gt;0,MIN(Skills!I6,MAX(0,MAX(0,Inputs!$B$44-B701)-((R671-1)*IF(Inputs!$B$39="pvp",15,MAX(0.1,Skills!D6-IF(Skills!E6=TRUE,Inputs!$B$33,0))))))/Skills!H6,1)))/Inputs!$B$44),G671*Q671))*IF(Inputs!$B$39="pvp",1,1+(Inputs!$B$21+0+Skills!P6+((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0)</f>
        <v/>
      </c>
      <c r="V671">
        <f>IF(C671,(H671*N671*IF(AND(Inputs!$B$39&lt;&gt;"pvp",Inputs!$B$44&gt;0),((Skills!G6*((R671-1)*IF(Skills!H6&gt;0,Skills!I6/Skills!H6,1)+IF(Skills!H6&gt;0,MIN(Skills!I6,MAX(0,MAX(0,Inputs!$B$44-B701)-((R671-1)*IF(Inputs!$B$39="pvp",15,MAX(0.1,Skills!D6-IF(Skills!E6=TRUE,Inputs!$B$33,0))))))/Skills!H6,1)))/Inputs!$B$44),G671*Q671))*IF(Inputs!$B$39="pvp",1,(1+(Inputs!$B$22+Skills!Q6+((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MIN(Skills!R6,Inputs!$B$38))),0)</f>
        <v/>
      </c>
    </row>
    <row r="672">
      <c r="A672">
        <f>Skills!A7</f>
        <v/>
      </c>
      <c r="B672">
        <f>Skills!B7</f>
        <v/>
      </c>
      <c r="C672">
        <f>Inputs!$B$3&gt;=40</f>
        <v/>
      </c>
      <c r="D672">
        <f>IF(Skills!C7=1,60+Inputs!$B$26+Inputs!$B$30,IF(Skills!C7=2,90+Inputs!$B$27+Inputs!$B$30,IF(Skills!C7=3,120+Inputs!$B$28+Inputs!$B$30,MAX(0,(Inputs!$B$3-100)*3)+Inputs!$B$29+Inputs!$B$30)))</f>
        <v/>
      </c>
      <c r="E672">
        <f>INDEX(FactorTable!$B$2:$Y$301, MATCH(ROUND(MIN(300,MAX(1,D672)),0), FactorTable!$A$2:$A$301,0), Skills!M7+1)</f>
        <v/>
      </c>
      <c r="F672">
        <f>IF(Skills!N7=TRUE,(Skills!L7/10)*(E672/1000),Skills!L7/10)+Skills!O7</f>
        <v/>
      </c>
      <c r="G672">
        <f>Skills!G7*IF(Skills!H7&gt;0,Skills!I7/Skills!H7,1)</f>
        <v/>
      </c>
      <c r="H672">
        <f>1-(1-Skills!J7/100)^Skills!K7</f>
        <v/>
      </c>
      <c r="I672" t="inlineStr">
        <is>
          <t>1</t>
        </is>
      </c>
      <c r="J672">
        <f>((Inputs!$B$6*(1+Inputs!$B$7/100))+(((Inputs!$B$13*(1+Inputs!$B$14/100))-(Inputs!$B$13*(1+Inputs!$B$14/100)))+0.25*(Inputs!$B$15-Inputs!$B$15))*(1+Inputs!$B$7/100))*(F672/100)</f>
        <v/>
      </c>
      <c r="K672">
        <f>J672*(1+(((Inputs!$B$13+IF(Inputs!$B$3&gt;=38,(10*INDEX(FactorTable!$B$2:$Y$301, MATCH(ROUND(MIN(300,MAX(1,Inputs!$B$3)),0), FactorTable!$A$2:$A$301,0), 23)/1000)/100*(Inputs!$B$8*(1+Inputs!$B$9/100)),0))*(1+Inputs!$B$14/100))*0.01+Inputs!$B$15*0.0025)/100)*(1+Inputs!$B$16/100)*(1+Inputs!$B$17/100)*(5000/(6000+Inputs!$B$43*(1-(((1-(1-Inputs!$B$20/100)*(1-1/100))*100)+0)/100)))*(1+(Inputs!$B$25+((C690=TRUE)*(F690-Calc!F25))+((C691=TRUE)*(F691-Calc!F26))+B700)/100)*(1+0.75*IF(C676=TRUE,F676,0)/100)*(1+(IF(Skills!A7="DARK_IMPALE",Inputs!$B$18+0,Inputs!$B$19+((C688=TRUE)*(F688-Calc!F23))))/100)*((1+(((C678=TRUE)*F678*IF(AND(Inputs!$B$39&lt;&gt;"pvp",Inputs!$B$44&gt;0),(((R678-1)*(Skills!T13*(1+Inputs!$B$35/100))+MIN((Skills!T13*(1+Inputs!$B$35/100)),MAX(0,Inputs!$B$44-((R678-1)*Skills!D13))))/Inputs!$B$44),IF(Inputs!$B$39="pvp",MIN((Skills!T13*(1+Inputs!$B$35/100)),15)/15,(Skills!T13*(1+Inputs!$B$35/100))/Skills!D13)))+((C679=TRUE)*F679*IF(AND(Inputs!$B$39&lt;&gt;"pvp",Inputs!$B$44&gt;0),(((R679-1)*(Skills!T14*(1+Inputs!$B$35/100))+MIN((Skills!T14*(1+Inputs!$B$35/100)),MAX(0,Inputs!$B$44-((R679-1)*Skills!D14))))/Inputs!$B$44),IF(Inputs!$B$39="pvp",MIN((Skills!T14*(1+Inputs!$B$35/100)),15)/15,(Skills!T14*(1+Inputs!$B$35/100))/Skills!D14)))+((C680=TRUE)*F680*IF(AND(Inputs!$B$39&lt;&gt;"pvp",Inputs!$B$44&gt;0),(((R680-1)*(Skills!T15*(1+Inputs!$B$35/100))+MIN((Skills!T15*(1+Inputs!$B$35/100)),MAX(0,Inputs!$B$44-((R680-1)*Skills!D15))))/Inputs!$B$44),IF(Inputs!$B$39="pvp",MIN((Skills!T15*(1+Inputs!$B$35/100)),15)/15,(Skills!T15*(1+Inputs!$B$35/100))/Skills!D15)))+((C681=TRUE)*F681*IF(AND(Inputs!$B$39&lt;&gt;"pvp",Inputs!$B$44&gt;0),(((R681-1)*(Skills!T16*(1+Inputs!$B$35/100))+MIN((Skills!T16*(1+Inputs!$B$35/100)),MAX(0,Inputs!$B$44-((R681-1)*Skills!D16))))/Inputs!$B$44),IF(Inputs!$B$39="pvp",MIN((Skills!T16*(1+Inputs!$B$35/100)),15)/15,(Skills!T16*(1+Inputs!$B$35/100))/Skills!D16)))+0)/100)*I672)</f>
        <v/>
      </c>
      <c r="L672">
        <f>K672*(MIN(Inputs!$B$23+((C687=TRUE)*(F687-Calc!F22)),Inputs!$B$24+((C689=TRUE)*(F689-Calc!F24)))/100+(Inputs!$B$24+((C689=TRUE)*(F689-Calc!F24)))/100)/2</f>
        <v/>
      </c>
      <c r="M672">
        <f>L672*(1+(Inputs!$B$11+0+B699)/100)</f>
        <v/>
      </c>
      <c r="N672">
        <f>L672*(1-MIN((Inputs!$B$10+0+B694),100)/100)+M672*(MIN((Inputs!$B$10+0+B694),100)/100)</f>
        <v/>
      </c>
      <c r="O672">
        <f>(1-Summary!$B$55)*T672+Summary!$B$55*V672</f>
        <v/>
      </c>
      <c r="P672">
        <f>IF(B704=0,0,O672/B704)</f>
        <v/>
      </c>
      <c r="Q672">
        <f>IFERROR(1/IF(Inputs!$B$39="pvp",15,MAX(0.1,Skills!D7-IF(Skills!E7=TRUE,Inputs!$B$33,0))),0)</f>
        <v/>
      </c>
      <c r="R672">
        <f>IF(AND(Inputs!$B$39&lt;&gt;"pvp",Inputs!$B$44&gt;0),IF(MAX(0,Inputs!$B$44-B701)&lt;=0,0,(INT(MAX(0,Inputs!$B$44-B701)/IF(Inputs!$B$39="pvp",15,MAX(0.1,Skills!D7-IF(Skills!E7=TRUE,Inputs!$B$33,0))))+1)),0)</f>
        <v/>
      </c>
      <c r="S672">
        <f>IFERROR(O672/N672,0)</f>
        <v/>
      </c>
      <c r="T672">
        <f>IF(C672,(H672*N672*IF(AND(Inputs!$B$39&lt;&gt;"pvp",Inputs!$B$44&gt;0),((Skills!G7*((R672-1)*IF(Skills!H7&gt;0,Skills!I7/Skills!H7,1)+IF(Skills!H7&gt;0,MIN(Skills!I7,MAX(0,MAX(0,Inputs!$B$44-B701)-((R672-1)*IF(Inputs!$B$39="pvp",15,MAX(0.1,Skills!D7-IF(Skills!E7=TRUE,Inputs!$B$33,0))))))/Skills!H7,1)))/Inputs!$B$44),G672*Q672))*IF(Inputs!$B$39="pvp",1,1+(Inputs!$B$21+0+Skills!P7+((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0)</f>
        <v/>
      </c>
      <c r="V672">
        <f>IF(C672,(H672*N672*IF(AND(Inputs!$B$39&lt;&gt;"pvp",Inputs!$B$44&gt;0),((Skills!G7*((R672-1)*IF(Skills!H7&gt;0,Skills!I7/Skills!H7,1)+IF(Skills!H7&gt;0,MIN(Skills!I7,MAX(0,MAX(0,Inputs!$B$44-B701)-((R672-1)*IF(Inputs!$B$39="pvp",15,MAX(0.1,Skills!D7-IF(Skills!E7=TRUE,Inputs!$B$33,0))))))/Skills!H7,1)))/Inputs!$B$44),G672*Q672))*IF(Inputs!$B$39="pvp",1,(1+(Inputs!$B$22+Skills!Q7+((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MIN(Skills!R7,Inputs!$B$38))),0)</f>
        <v/>
      </c>
    </row>
    <row r="673">
      <c r="A673">
        <f>Skills!A8</f>
        <v/>
      </c>
      <c r="B673">
        <f>Skills!B8</f>
        <v/>
      </c>
      <c r="C673">
        <f>Inputs!$B$3&gt;=75</f>
        <v/>
      </c>
      <c r="D673">
        <f>IF(Skills!C8=1,60+Inputs!$B$26+Inputs!$B$30,IF(Skills!C8=2,90+Inputs!$B$27+Inputs!$B$30,IF(Skills!C8=3,120+Inputs!$B$28+Inputs!$B$30,MAX(0,(Inputs!$B$3-100)*3)+Inputs!$B$29+Inputs!$B$30)))</f>
        <v/>
      </c>
      <c r="E673">
        <f>INDEX(FactorTable!$B$2:$Y$301, MATCH(ROUND(MIN(300,MAX(1,D673)),0), FactorTable!$A$2:$A$301,0), Skills!M8+1)</f>
        <v/>
      </c>
      <c r="F673">
        <f>IF(Skills!N8=TRUE,(Skills!L8/10)*(E673/1000),Skills!L8/10)+Skills!O8</f>
        <v/>
      </c>
      <c r="G673" t="inlineStr"/>
      <c r="H673" t="inlineStr"/>
      <c r="I673" t="inlineStr">
        <is>
          <t>1</t>
        </is>
      </c>
      <c r="J673" t="inlineStr"/>
      <c r="K673" t="inlineStr"/>
      <c r="L673" t="inlineStr"/>
      <c r="M673" t="inlineStr"/>
      <c r="N673" t="inlineStr"/>
      <c r="O673" t="inlineStr"/>
      <c r="P673" t="inlineStr"/>
      <c r="Q673" t="inlineStr"/>
      <c r="R673" t="inlineStr"/>
      <c r="S673" t="inlineStr"/>
    </row>
    <row r="674">
      <c r="A674">
        <f>Skills!A9</f>
        <v/>
      </c>
      <c r="B674">
        <f>Skills!B9</f>
        <v/>
      </c>
      <c r="C674">
        <f>Inputs!$B$3&gt;=60</f>
        <v/>
      </c>
      <c r="D674">
        <f>IF(Skills!C9=1,60+Inputs!$B$26+Inputs!$B$30,IF(Skills!C9=2,90+Inputs!$B$27+Inputs!$B$30,IF(Skills!C9=3,120+Inputs!$B$28+Inputs!$B$30,MAX(0,(Inputs!$B$3-100)*3)+Inputs!$B$29+Inputs!$B$30)))</f>
        <v/>
      </c>
      <c r="E674">
        <f>INDEX(FactorTable!$B$2:$Y$301, MATCH(ROUND(MIN(300,MAX(1,D674)),0), FactorTable!$A$2:$A$301,0), Skills!M9+1)</f>
        <v/>
      </c>
      <c r="F674">
        <f>IF(Skills!N9=TRUE,(Skills!L9/10)*(E674/1000),Skills!L9/10)+Skills!O9</f>
        <v/>
      </c>
      <c r="G674">
        <f>Skills!G9*IF(Skills!H9&gt;0,Skills!I9/Skills!H9,1)</f>
        <v/>
      </c>
      <c r="H674">
        <f>1-(1-Skills!J9/100)^Skills!K9</f>
        <v/>
      </c>
      <c r="I674" t="inlineStr">
        <is>
          <t>1</t>
        </is>
      </c>
      <c r="J674">
        <f>((Inputs!$B$6*(1+Inputs!$B$7/100))+(((Inputs!$B$13*(1+Inputs!$B$14/100))-(Inputs!$B$13*(1+Inputs!$B$14/100)))+0.25*(Inputs!$B$15-Inputs!$B$15))*(1+Inputs!$B$7/100))*(F674/100)</f>
        <v/>
      </c>
      <c r="K674">
        <f>J674*(1+(((Inputs!$B$13+IF(Inputs!$B$3&gt;=38,(10*INDEX(FactorTable!$B$2:$Y$301, MATCH(ROUND(MIN(300,MAX(1,Inputs!$B$3)),0), FactorTable!$A$2:$A$301,0), 23)/1000)/100*(Inputs!$B$8*(1+Inputs!$B$9/100)),0))*(1+Inputs!$B$14/100))*0.01+Inputs!$B$15*0.0025)/100)*(1+Inputs!$B$16/100)*(1+Inputs!$B$17/100)*(5000/(6000+Inputs!$B$43*(1-(((1-(1-Inputs!$B$20/100)*(1-1/100))*100)+0)/100)))*(1+(Inputs!$B$25+((C690=TRUE)*(F690-Calc!F25))+((C691=TRUE)*(F691-Calc!F26))+B700)/100)*(1+1.0*IF(C676=TRUE,F676,0)/100)*(1+(IF(Skills!A9="DARK_IMPALE",Inputs!$B$18+0,Inputs!$B$19+((C688=TRUE)*(F688-Calc!F23))))/100)*((1+(((C678=TRUE)*F678*IF(AND(Inputs!$B$39&lt;&gt;"pvp",Inputs!$B$44&gt;0),(((R678-1)*(Skills!T13*(1+Inputs!$B$35/100))+MIN((Skills!T13*(1+Inputs!$B$35/100)),MAX(0,Inputs!$B$44-((R678-1)*Skills!D13))))/Inputs!$B$44),IF(Inputs!$B$39="pvp",MIN((Skills!T13*(1+Inputs!$B$35/100)),15)/15,(Skills!T13*(1+Inputs!$B$35/100))/Skills!D13)))+((C679=TRUE)*F679*IF(AND(Inputs!$B$39&lt;&gt;"pvp",Inputs!$B$44&gt;0),(((R679-1)*(Skills!T14*(1+Inputs!$B$35/100))+MIN((Skills!T14*(1+Inputs!$B$35/100)),MAX(0,Inputs!$B$44-((R679-1)*Skills!D14))))/Inputs!$B$44),IF(Inputs!$B$39="pvp",MIN((Skills!T14*(1+Inputs!$B$35/100)),15)/15,(Skills!T14*(1+Inputs!$B$35/100))/Skills!D14)))+((C680=TRUE)*F680*IF(AND(Inputs!$B$39&lt;&gt;"pvp",Inputs!$B$44&gt;0),(((R680-1)*(Skills!T15*(1+Inputs!$B$35/100))+MIN((Skills!T15*(1+Inputs!$B$35/100)),MAX(0,Inputs!$B$44-((R680-1)*Skills!D15))))/Inputs!$B$44),IF(Inputs!$B$39="pvp",MIN((Skills!T15*(1+Inputs!$B$35/100)),15)/15,(Skills!T15*(1+Inputs!$B$35/100))/Skills!D15)))+((C681=TRUE)*F681*IF(AND(Inputs!$B$39&lt;&gt;"pvp",Inputs!$B$44&gt;0),(((R681-1)*(Skills!T16*(1+Inputs!$B$35/100))+MIN((Skills!T16*(1+Inputs!$B$35/100)),MAX(0,Inputs!$B$44-((R681-1)*Skills!D16))))/Inputs!$B$44),IF(Inputs!$B$39="pvp",MIN((Skills!T16*(1+Inputs!$B$35/100)),15)/15,(Skills!T16*(1+Inputs!$B$35/100))/Skills!D16)))+0)/100)*I674)</f>
        <v/>
      </c>
      <c r="L674">
        <f>K674*(MIN(Inputs!$B$23+((C687=TRUE)*(F687-Calc!F22)),Inputs!$B$24+((C689=TRUE)*(F689-Calc!F24)))/100+(Inputs!$B$24+((C689=TRUE)*(F689-Calc!F24)))/100)/2</f>
        <v/>
      </c>
      <c r="M674">
        <f>L674*(1+(Inputs!$B$11+0+B699)/100)</f>
        <v/>
      </c>
      <c r="N674">
        <f>L674*(1-MIN((Inputs!$B$10+0+B694),100)/100)+M674*(MIN((Inputs!$B$10+0+B694),100)/100)</f>
        <v/>
      </c>
      <c r="O674">
        <f>(1-Summary!$B$55)*T674+Summary!$B$55*V674</f>
        <v/>
      </c>
      <c r="P674">
        <f>IF(B704=0,0,O674/B704)</f>
        <v/>
      </c>
      <c r="Q674">
        <f>IFERROR(1/IF(Inputs!$B$39="pvp",15,MAX(0.1,Skills!D9-IF(Skills!E9=TRUE,Inputs!$B$33,0))),0)</f>
        <v/>
      </c>
      <c r="R674">
        <f>IF(AND(Inputs!$B$39&lt;&gt;"pvp",Inputs!$B$44&gt;0),IF(MAX(0,Inputs!$B$44-B701)&lt;=0,0,(INT(MAX(0,Inputs!$B$44-B701)/IF(Inputs!$B$39="pvp",15,MAX(0.1,Skills!D9-IF(Skills!E9=TRUE,Inputs!$B$33,0))))+1)),0)</f>
        <v/>
      </c>
      <c r="S674">
        <f>IFERROR(O674/N674,0)</f>
        <v/>
      </c>
      <c r="T674">
        <f>IF(C674,(H674*N674*IF(AND(Inputs!$B$39&lt;&gt;"pvp",Inputs!$B$44&gt;0),((Skills!G9*((R674-1)*IF(Skills!H9&gt;0,Skills!I9/Skills!H9,1)+IF(Skills!H9&gt;0,MIN(Skills!I9,MAX(0,MAX(0,Inputs!$B$44-B701)-((R674-1)*IF(Inputs!$B$39="pvp",15,MAX(0.1,Skills!D9-IF(Skills!E9=TRUE,Inputs!$B$33,0))))))/Skills!H9,1)))/Inputs!$B$44),G674*Q674))*IF(Inputs!$B$39="pvp",1,1+(Inputs!$B$21+0+Skills!P9+((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0)</f>
        <v/>
      </c>
      <c r="V674">
        <f>IF(C674,(H674*N674*IF(AND(Inputs!$B$39&lt;&gt;"pvp",Inputs!$B$44&gt;0),((Skills!G9*((R674-1)*IF(Skills!H9&gt;0,Skills!I9/Skills!H9,1)+IF(Skills!H9&gt;0,MIN(Skills!I9,MAX(0,MAX(0,Inputs!$B$44-B701)-((R674-1)*IF(Inputs!$B$39="pvp",15,MAX(0.1,Skills!D9-IF(Skills!E9=TRUE,Inputs!$B$33,0))))))/Skills!H9,1)))/Inputs!$B$44),G674*Q674))*IF(Inputs!$B$39="pvp",1,(1+(Inputs!$B$22+Skills!Q9+((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MIN(Skills!R9,Inputs!$B$38))),0)</f>
        <v/>
      </c>
    </row>
    <row r="675">
      <c r="A675">
        <f>Skills!A10</f>
        <v/>
      </c>
      <c r="B675">
        <f>Skills!B10</f>
        <v/>
      </c>
      <c r="C675">
        <f>Inputs!$B$3&gt;=110</f>
        <v/>
      </c>
      <c r="D675">
        <f>IF(Skills!C10=1,60+Inputs!$B$26+Inputs!$B$30,IF(Skills!C10=2,90+Inputs!$B$27+Inputs!$B$30,IF(Skills!C10=3,120+Inputs!$B$28+Inputs!$B$30,MAX(0,(Inputs!$B$3-100)*3)+Inputs!$B$29+Inputs!$B$30)))</f>
        <v/>
      </c>
      <c r="E675">
        <f>INDEX(FactorTable!$B$2:$Y$301, MATCH(ROUND(MIN(300,MAX(1,D675)),0), FactorTable!$A$2:$A$301,0), Skills!M10+1)</f>
        <v/>
      </c>
      <c r="F675">
        <f>IF(Skills!N10=TRUE,(Skills!L10/10)*(E675/1000),Skills!L10/10)+Skills!O10</f>
        <v/>
      </c>
      <c r="G675">
        <f>Skills!G10*IF(Skills!H10&gt;0,Skills!I10/Skills!H10,1)</f>
        <v/>
      </c>
      <c r="H675">
        <f>1-(1-Skills!J10/100)^Skills!K10</f>
        <v/>
      </c>
      <c r="I675" t="inlineStr">
        <is>
          <t>1</t>
        </is>
      </c>
      <c r="J675">
        <f>((Inputs!$B$6*(1+Inputs!$B$7/100))+(((Inputs!$B$13*(1+Inputs!$B$14/100))-(Inputs!$B$13*(1+Inputs!$B$14/100)))+0.25*(Inputs!$B$15-Inputs!$B$15))*(1+Inputs!$B$7/100))*(F675/100)</f>
        <v/>
      </c>
      <c r="K675">
        <f>J675*(1+(((Inputs!$B$13+IF(Inputs!$B$3&gt;=38,(10*INDEX(FactorTable!$B$2:$Y$301, MATCH(ROUND(MIN(300,MAX(1,Inputs!$B$3)),0), FactorTable!$A$2:$A$301,0), 23)/1000)/100*(Inputs!$B$8*(1+Inputs!$B$9/100)),0))*(1+Inputs!$B$14/100))*0.01+Inputs!$B$15*0.0025)/100)*(1+Inputs!$B$16/100)*(1+Inputs!$B$17/100)*(5000/(6000+Inputs!$B$43*(1-(((1-(1-Inputs!$B$20/100)*(1-1/100))*100)+0)/100)))*(1+(Inputs!$B$25+((C690=TRUE)*(F690-Calc!F25))+((C691=TRUE)*(F691-Calc!F26))+B700)/100)*(1+(IF(Skills!A10="DARK_IMPALE",Inputs!$B$18+0,Inputs!$B$19+((C688=TRUE)*(F688-Calc!F23))))/100)*((1+(((C678=TRUE)*F678*IF(AND(Inputs!$B$39&lt;&gt;"pvp",Inputs!$B$44&gt;0),(((R678-1)*(Skills!T13*(1+Inputs!$B$35/100))+MIN((Skills!T13*(1+Inputs!$B$35/100)),MAX(0,Inputs!$B$44-((R678-1)*Skills!D13))))/Inputs!$B$44),IF(Inputs!$B$39="pvp",MIN((Skills!T13*(1+Inputs!$B$35/100)),15)/15,(Skills!T13*(1+Inputs!$B$35/100))/Skills!D13)))+((C679=TRUE)*F679*IF(AND(Inputs!$B$39&lt;&gt;"pvp",Inputs!$B$44&gt;0),(((R679-1)*(Skills!T14*(1+Inputs!$B$35/100))+MIN((Skills!T14*(1+Inputs!$B$35/100)),MAX(0,Inputs!$B$44-((R679-1)*Skills!D14))))/Inputs!$B$44),IF(Inputs!$B$39="pvp",MIN((Skills!T14*(1+Inputs!$B$35/100)),15)/15,(Skills!T14*(1+Inputs!$B$35/100))/Skills!D14)))+((C680=TRUE)*F680*IF(AND(Inputs!$B$39&lt;&gt;"pvp",Inputs!$B$44&gt;0),(((R680-1)*(Skills!T15*(1+Inputs!$B$35/100))+MIN((Skills!T15*(1+Inputs!$B$35/100)),MAX(0,Inputs!$B$44-((R680-1)*Skills!D15))))/Inputs!$B$44),IF(Inputs!$B$39="pvp",MIN((Skills!T15*(1+Inputs!$B$35/100)),15)/15,(Skills!T15*(1+Inputs!$B$35/100))/Skills!D15)))+((C681=TRUE)*F681*IF(AND(Inputs!$B$39&lt;&gt;"pvp",Inputs!$B$44&gt;0),(((R681-1)*(Skills!T16*(1+Inputs!$B$35/100))+MIN((Skills!T16*(1+Inputs!$B$35/100)),MAX(0,Inputs!$B$44-((R681-1)*Skills!D16))))/Inputs!$B$44),IF(Inputs!$B$39="pvp",MIN((Skills!T16*(1+Inputs!$B$35/100)),15)/15,(Skills!T16*(1+Inputs!$B$35/100))/Skills!D16)))+0)/100)*I675)</f>
        <v/>
      </c>
      <c r="L675">
        <f>K675*(MIN(Inputs!$B$23+((C687=TRUE)*(F687-Calc!F22)),Inputs!$B$24+((C689=TRUE)*(F689-Calc!F24)))/100+(Inputs!$B$24+((C689=TRUE)*(F689-Calc!F24)))/100)/2</f>
        <v/>
      </c>
      <c r="M675">
        <f>L675*(1+(Inputs!$B$11+0+B699)/100)</f>
        <v/>
      </c>
      <c r="N675">
        <f>L675*(1-MIN((Inputs!$B$10+0+B694),100)/100)+M675*(MIN((Inputs!$B$10+0+B694),100)/100)</f>
        <v/>
      </c>
      <c r="O675">
        <f>(1-Summary!$B$55)*T675+Summary!$B$55*V675</f>
        <v/>
      </c>
      <c r="P675">
        <f>IF(B704=0,0,O675/B704)</f>
        <v/>
      </c>
      <c r="Q675">
        <f>IFERROR(1/IF(Inputs!$B$39="pvp",15,MAX(0.1,Skills!D10-IF(Skills!E10=TRUE,Inputs!$B$33,0))),0)</f>
        <v/>
      </c>
      <c r="R675">
        <f>IF(AND(Inputs!$B$39&lt;&gt;"pvp",Inputs!$B$44&gt;0),IF(MAX(0,Inputs!$B$44-B701)&lt;=0,0,(INT(MAX(0,Inputs!$B$44-B701)/IF(Inputs!$B$39="pvp",15,MAX(0.1,Skills!D10-IF(Skills!E10=TRUE,Inputs!$B$33,0))))+1)),0)</f>
        <v/>
      </c>
      <c r="S675">
        <f>IFERROR(O675/N675,0)</f>
        <v/>
      </c>
      <c r="T675">
        <f>IF(C675,(H675*N675*IF(AND(Inputs!$B$39&lt;&gt;"pvp",Inputs!$B$44&gt;0),((Skills!G10*((R675-1)*IF(Skills!H10&gt;0,Skills!I10/Skills!H10,1)+IF(Skills!H10&gt;0,MIN(Skills!I10,MAX(0,MAX(0,Inputs!$B$44-B701)-((R675-1)*IF(Inputs!$B$39="pvp",15,MAX(0.1,Skills!D10-IF(Skills!E10=TRUE,Inputs!$B$33,0))))))/Skills!H10,1)))/Inputs!$B$44),G675*Q675))*IF(Inputs!$B$39="pvp",1,1+(Inputs!$B$21+0+Skills!P10+((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0)</f>
        <v/>
      </c>
      <c r="V675">
        <f>IF(C675,(H675*N675*IF(AND(Inputs!$B$39&lt;&gt;"pvp",Inputs!$B$44&gt;0),((Skills!G10*((R675-1)*IF(Skills!H10&gt;0,Skills!I10/Skills!H10,1)+IF(Skills!H10&gt;0,MIN(Skills!I10,MAX(0,MAX(0,Inputs!$B$44-B701)-((R675-1)*IF(Inputs!$B$39="pvp",15,MAX(0.1,Skills!D10-IF(Skills!E10=TRUE,Inputs!$B$33,0))))))/Skills!H10,1)))/Inputs!$B$44),G675*Q675))*IF(Inputs!$B$39="pvp",1,(1+(Inputs!$B$22+Skills!Q10+((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MIN(Skills!R10,Inputs!$B$38))),0)</f>
        <v/>
      </c>
    </row>
    <row r="676">
      <c r="A676">
        <f>Skills!A11</f>
        <v/>
      </c>
      <c r="B676">
        <f>Skills!B11</f>
        <v/>
      </c>
      <c r="C676">
        <f>Inputs!$B$3&gt;=100</f>
        <v/>
      </c>
      <c r="D676">
        <f>IF(Skills!C11=1,60+Inputs!$B$26+Inputs!$B$30,IF(Skills!C11=2,90+Inputs!$B$27+Inputs!$B$30,IF(Skills!C11=3,120+Inputs!$B$28+Inputs!$B$30,MAX(0,(Inputs!$B$3-100)*3)+Inputs!$B$29+Inputs!$B$30)))</f>
        <v/>
      </c>
      <c r="E676">
        <f>INDEX(FactorTable!$B$2:$Y$301, MATCH(ROUND(MIN(300,MAX(1,D676)),0), FactorTable!$A$2:$A$301,0), Skills!M11+1)</f>
        <v/>
      </c>
      <c r="F676">
        <f>IF(Skills!N11=TRUE,(Skills!L11/10)*(E676/1000),Skills!L11/10)+Skills!O11</f>
        <v/>
      </c>
      <c r="G676" t="inlineStr"/>
      <c r="H676" t="inlineStr"/>
      <c r="I676" t="inlineStr">
        <is>
          <t>1</t>
        </is>
      </c>
      <c r="J676" t="inlineStr"/>
      <c r="K676" t="inlineStr"/>
      <c r="L676" t="inlineStr"/>
      <c r="M676" t="inlineStr"/>
      <c r="N676" t="inlineStr"/>
      <c r="O676" t="inlineStr"/>
      <c r="P676" t="inlineStr"/>
      <c r="Q676" t="inlineStr"/>
      <c r="R676" t="inlineStr"/>
      <c r="S676" t="inlineStr"/>
    </row>
    <row r="677">
      <c r="A677">
        <f>Skills!A12</f>
        <v/>
      </c>
      <c r="B677">
        <f>Skills!B12</f>
        <v/>
      </c>
      <c r="C677">
        <f>Inputs!$B$3&gt;=63</f>
        <v/>
      </c>
      <c r="D677">
        <f>IF(Skills!C12=1,60+Inputs!$B$26+Inputs!$B$30,IF(Skills!C12=2,90+Inputs!$B$27+Inputs!$B$30,IF(Skills!C12=3,120+Inputs!$B$28+Inputs!$B$30,MAX(0,(Inputs!$B$3-100)*3)+Inputs!$B$29+Inputs!$B$30)))</f>
        <v/>
      </c>
      <c r="E677">
        <f>INDEX(FactorTable!$B$2:$Y$301, MATCH(ROUND(MIN(300,MAX(1,D677)),0), FactorTable!$A$2:$A$301,0), Skills!M12+1)</f>
        <v/>
      </c>
      <c r="F677">
        <f>IF(Skills!N12=TRUE,(Skills!L12/10)*(E677/1000),Skills!L12/10)+Skills!O12</f>
        <v/>
      </c>
      <c r="G677">
        <f>Skills!G12*IF(Skills!H12&gt;0,Skills!I12/Skills!H12,1)</f>
        <v/>
      </c>
      <c r="H677">
        <f>1-(1-Skills!J12/100)^Skills!K12</f>
        <v/>
      </c>
      <c r="I677" t="inlineStr">
        <is>
          <t>1</t>
        </is>
      </c>
      <c r="J677">
        <f>((Inputs!$B$6*(1+Inputs!$B$7/100))+(((Inputs!$B$13*(1+Inputs!$B$14/100))-(Inputs!$B$13*(1+Inputs!$B$14/100)))+0.25*(Inputs!$B$15-Inputs!$B$15))*(1+Inputs!$B$7/100))*(F677/100)</f>
        <v/>
      </c>
      <c r="K677">
        <f>J677*(1+(((Inputs!$B$13+IF(Inputs!$B$3&gt;=38,(10*INDEX(FactorTable!$B$2:$Y$301, MATCH(ROUND(MIN(300,MAX(1,Inputs!$B$3)),0), FactorTable!$A$2:$A$301,0), 23)/1000)/100*(Inputs!$B$8*(1+Inputs!$B$9/100)),0))*(1+Inputs!$B$14/100))*0.01+Inputs!$B$15*0.0025)/100)*(1+Inputs!$B$16/100)*(1+Inputs!$B$17/100)*(5000/(6000+Inputs!$B$43*(1-(((1-(1-Inputs!$B$20/100)*(1-1/100))*100)+0)/100)))*(1+(Inputs!$B$25+((C690=TRUE)*(F690-Calc!F25))+((C691=TRUE)*(F691-Calc!F26))+B700)/100)*(1+0.75*IF(C676=TRUE,F676,0)/100)*(1+(IF(Skills!A12="DARK_IMPALE",Inputs!$B$18+0,Inputs!$B$19+((C688=TRUE)*(F688-Calc!F23))))/100)*((1+(((C678=TRUE)*F678*IF(AND(Inputs!$B$39&lt;&gt;"pvp",Inputs!$B$44&gt;0),(((R678-1)*(Skills!T13*(1+Inputs!$B$35/100))+MIN((Skills!T13*(1+Inputs!$B$35/100)),MAX(0,Inputs!$B$44-((R678-1)*Skills!D13))))/Inputs!$B$44),IF(Inputs!$B$39="pvp",MIN((Skills!T13*(1+Inputs!$B$35/100)),15)/15,(Skills!T13*(1+Inputs!$B$35/100))/Skills!D13)))+((C679=TRUE)*F679*IF(AND(Inputs!$B$39&lt;&gt;"pvp",Inputs!$B$44&gt;0),(((R679-1)*(Skills!T14*(1+Inputs!$B$35/100))+MIN((Skills!T14*(1+Inputs!$B$35/100)),MAX(0,Inputs!$B$44-((R679-1)*Skills!D14))))/Inputs!$B$44),IF(Inputs!$B$39="pvp",MIN((Skills!T14*(1+Inputs!$B$35/100)),15)/15,(Skills!T14*(1+Inputs!$B$35/100))/Skills!D14)))+((C680=TRUE)*F680*IF(AND(Inputs!$B$39&lt;&gt;"pvp",Inputs!$B$44&gt;0),(((R680-1)*(Skills!T15*(1+Inputs!$B$35/100))+MIN((Skills!T15*(1+Inputs!$B$35/100)),MAX(0,Inputs!$B$44-((R680-1)*Skills!D15))))/Inputs!$B$44),IF(Inputs!$B$39="pvp",MIN((Skills!T15*(1+Inputs!$B$35/100)),15)/15,(Skills!T15*(1+Inputs!$B$35/100))/Skills!D15)))+((C681=TRUE)*F681*IF(AND(Inputs!$B$39&lt;&gt;"pvp",Inputs!$B$44&gt;0),(((R681-1)*(Skills!T16*(1+Inputs!$B$35/100))+MIN((Skills!T16*(1+Inputs!$B$35/100)),MAX(0,Inputs!$B$44-((R681-1)*Skills!D16))))/Inputs!$B$44),IF(Inputs!$B$39="pvp",MIN((Skills!T16*(1+Inputs!$B$35/100)),15)/15,(Skills!T16*(1+Inputs!$B$35/100))/Skills!D16)))+0)/100)*I677)</f>
        <v/>
      </c>
      <c r="L677">
        <f>K677*(MIN(Inputs!$B$23+((C687=TRUE)*(F687-Calc!F22)),Inputs!$B$24+((C689=TRUE)*(F689-Calc!F24)))/100+(Inputs!$B$24+((C689=TRUE)*(F689-Calc!F24)))/100)/2</f>
        <v/>
      </c>
      <c r="M677">
        <f>L677*(1+(Inputs!$B$11+0+B699)/100)</f>
        <v/>
      </c>
      <c r="N677">
        <f>L677*(1-MIN((Inputs!$B$10+0+B694),100)/100)+M677*(MIN((Inputs!$B$10+0+B694),100)/100)</f>
        <v/>
      </c>
      <c r="O677">
        <f>(1-Summary!$B$55)*T677+Summary!$B$55*V677</f>
        <v/>
      </c>
      <c r="P677">
        <f>IF(B704=0,0,O677/B704)</f>
        <v/>
      </c>
      <c r="Q677">
        <f>IFERROR(1/IF(Inputs!$B$39="pvp",15,MAX(0.1,Skills!D12-IF(Skills!E12=TRUE,Inputs!$B$33,0))),0)</f>
        <v/>
      </c>
      <c r="R677">
        <f>IF(AND(Inputs!$B$39&lt;&gt;"pvp",Inputs!$B$44&gt;0),IF(MAX(0,Inputs!$B$44-B701)&lt;=0,0,(INT(MAX(0,Inputs!$B$44-B701)/IF(Inputs!$B$39="pvp",15,MAX(0.1,Skills!D12-IF(Skills!E12=TRUE,Inputs!$B$33,0))))+1)),0)</f>
        <v/>
      </c>
      <c r="S677">
        <f>IFERROR(O677/N677,0)</f>
        <v/>
      </c>
      <c r="T677">
        <f>IF(C677,(H677*N677*IF(AND(Inputs!$B$39&lt;&gt;"pvp",Inputs!$B$44&gt;0),((Skills!G12*((R677-1)*IF(Skills!H12&gt;0,Skills!I12/Skills!H12,1)+IF(Skills!H12&gt;0,MIN(Skills!I12,MAX(0,MAX(0,Inputs!$B$44-B701)-((R677-1)*IF(Inputs!$B$39="pvp",15,MAX(0.1,Skills!D12-IF(Skills!E12=TRUE,Inputs!$B$33,0))))))/Skills!H12,1)))/Inputs!$B$44),G677*Q677))*IF(Inputs!$B$39="pvp",1,1+(Inputs!$B$21+0+Skills!P12+((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0)</f>
        <v/>
      </c>
      <c r="V677">
        <f>IF(C677,(H677*N677*IF(AND(Inputs!$B$39&lt;&gt;"pvp",Inputs!$B$44&gt;0),((Skills!G12*((R677-1)*IF(Skills!H12&gt;0,Skills!I12/Skills!H12,1)+IF(Skills!H12&gt;0,MIN(Skills!I12,MAX(0,MAX(0,Inputs!$B$44-B701)-((R677-1)*IF(Inputs!$B$39="pvp",15,MAX(0.1,Skills!D12-IF(Skills!E12=TRUE,Inputs!$B$33,0))))))/Skills!H12,1)))/Inputs!$B$44),G677*Q677))*IF(Inputs!$B$39="pvp",1,(1+(Inputs!$B$22+Skills!Q12+((C682=TRUE)*F682*IF(AND(Inputs!$B$39&lt;&gt;"pvp",Inputs!$B$44&gt;0),(((R682-1)*(Skills!T17*(1+Inputs!$B$35/100))+MIN((Skills!T17*(1+Inputs!$B$35/100)),MAX(0,Inputs!$B$44-((R682-1)*Skills!D17))))/Inputs!$B$44),IF(Inputs!$B$39="pvp",MIN((Skills!T17*(1+Inputs!$B$35/100)),15)/15,(Skills!T17*(1+Inputs!$B$35/100))/Skills!D17)))+((C679=TRUE)*IF(Inputs!$B$39="pvp",20,(1-Summary!$B$55)*(20)+Summary!$B$55*(0))*IF(AND(Inputs!$B$39&lt;&gt;"pvp",Inputs!$B$44&gt;0),(((R679-1)*(Skills!T14*(1+Inputs!$B$35/100))+MIN((Skills!T14*(1+Inputs!$B$35/100)),MAX(0,Inputs!$B$44-((R679-1)*Skills!D14))))/Inputs!$B$44),IF(Inputs!$B$39="pvp",MIN((Skills!T14*(1+Inputs!$B$35/100)),15)/15,(Skills!T14*(1+Inputs!$B$35/100))/Skills!D14))))/100)*(MIN(Skills!R12,Inputs!$B$38))),0)</f>
        <v/>
      </c>
    </row>
    <row r="678">
      <c r="A678">
        <f>Skills!A13</f>
        <v/>
      </c>
      <c r="B678">
        <f>Skills!B13</f>
        <v/>
      </c>
      <c r="C678">
        <f>Inputs!$B$3&gt;=69</f>
        <v/>
      </c>
      <c r="D678">
        <f>IF(Skills!C13=1,60+Inputs!$B$26+Inputs!$B$30,IF(Skills!C13=2,90+Inputs!$B$27+Inputs!$B$30,IF(Skills!C13=3,120+Inputs!$B$28+Inputs!$B$30,MAX(0,(Inputs!$B$3-100)*3)+Inputs!$B$29+Inputs!$B$30)))</f>
        <v/>
      </c>
      <c r="E678">
        <f>INDEX(FactorTable!$B$2:$Y$301, MATCH(ROUND(MIN(300,MAX(1,D678)),0), FactorTable!$A$2:$A$301,0), Skills!M13+1)</f>
        <v/>
      </c>
      <c r="F678">
        <f>IF(Skills!N13=TRUE,(Skills!L13/10)*(E678/1000),Skills!L13/10)+Skills!O13</f>
        <v/>
      </c>
      <c r="G678">
        <f>Skills!G13*IF(Skills!H13&gt;0,Skills!I13/Skills!H13,1)</f>
        <v/>
      </c>
      <c r="H678">
        <f>1-(1-Skills!J13/100)^Skills!K13</f>
        <v/>
      </c>
      <c r="I678" t="inlineStr">
        <is>
          <t>1</t>
        </is>
      </c>
      <c r="J678" t="inlineStr"/>
      <c r="K678" t="inlineStr"/>
      <c r="L678" t="inlineStr"/>
      <c r="M678" t="inlineStr"/>
      <c r="N678" t="inlineStr"/>
      <c r="O678">
        <f>(1-Summary!$B$55)*T678+Summary!$B$55*V678</f>
        <v/>
      </c>
      <c r="P678">
        <f>IF(B704=0,0,O678/B704)</f>
        <v/>
      </c>
      <c r="Q678">
        <f>IFERROR(1/IF(Inputs!$B$39="pvp",15,MAX(0.1,Skills!D13-IF(Skills!E13=TRUE,Inputs!$B$33,0))),0)</f>
        <v/>
      </c>
      <c r="R678">
        <f>IF(AND(Inputs!$B$39&lt;&gt;"pvp",Inputs!$B$44&gt;0),IF(Inputs!$B$44&lt;=0,0,(INT(Inputs!$B$44/IF(Inputs!$B$39="pvp",15,MAX(0.1,Skills!D13-IF(Skills!E13=TRUE,Inputs!$B$33,0))))+1)),0)</f>
        <v/>
      </c>
      <c r="S678">
        <f>IFERROR(O678/N678,0)</f>
        <v/>
      </c>
      <c r="T678" t="n">
        <v>0</v>
      </c>
      <c r="V678" t="n">
        <v>0</v>
      </c>
    </row>
    <row r="679">
      <c r="A679">
        <f>Skills!A14</f>
        <v/>
      </c>
      <c r="B679">
        <f>Skills!B14</f>
        <v/>
      </c>
      <c r="C679">
        <f>Inputs!$B$3&gt;=115</f>
        <v/>
      </c>
      <c r="D679">
        <f>IF(Skills!C14=1,60+Inputs!$B$26+Inputs!$B$30,IF(Skills!C14=2,90+Inputs!$B$27+Inputs!$B$30,IF(Skills!C14=3,120+Inputs!$B$28+Inputs!$B$30,MAX(0,(Inputs!$B$3-100)*3)+Inputs!$B$29+Inputs!$B$30)))</f>
        <v/>
      </c>
      <c r="E679">
        <f>INDEX(FactorTable!$B$2:$Y$301, MATCH(ROUND(MIN(300,MAX(1,D679)),0), FactorTable!$A$2:$A$301,0), Skills!M14+1)</f>
        <v/>
      </c>
      <c r="F679">
        <f>IF(Skills!N14=TRUE,(Skills!L14/10)*(E679/1000),Skills!L14/10)+Skills!O14</f>
        <v/>
      </c>
      <c r="G679">
        <f>Skills!G14*IF(Skills!H14&gt;0,Skills!I14/Skills!H14,1)</f>
        <v/>
      </c>
      <c r="H679">
        <f>1-(1-Skills!J14/100)^Skills!K14</f>
        <v/>
      </c>
      <c r="I679" t="inlineStr">
        <is>
          <t>1</t>
        </is>
      </c>
      <c r="J679" t="inlineStr"/>
      <c r="K679" t="inlineStr"/>
      <c r="L679" t="inlineStr"/>
      <c r="M679" t="inlineStr"/>
      <c r="N679" t="inlineStr"/>
      <c r="O679">
        <f>(1-Summary!$B$55)*T679+Summary!$B$55*V679</f>
        <v/>
      </c>
      <c r="P679">
        <f>IF(B704=0,0,O679/B704)</f>
        <v/>
      </c>
      <c r="Q679">
        <f>IFERROR(1/IF(Inputs!$B$39="pvp",15,MAX(0.1,Skills!D14-IF(Skills!E14=TRUE,Inputs!$B$33,0))),0)</f>
        <v/>
      </c>
      <c r="R679">
        <f>IF(AND(Inputs!$B$39&lt;&gt;"pvp",Inputs!$B$44&gt;0),IF(Inputs!$B$44&lt;=0,0,(INT(Inputs!$B$44/IF(Inputs!$B$39="pvp",15,MAX(0.1,Skills!D14-IF(Skills!E14=TRUE,Inputs!$B$33,0))))+1)),0)</f>
        <v/>
      </c>
      <c r="S679">
        <f>IFERROR(O679/N679,0)</f>
        <v/>
      </c>
      <c r="T679" t="n">
        <v>0</v>
      </c>
      <c r="V679" t="n">
        <v>0</v>
      </c>
    </row>
    <row r="680">
      <c r="A680">
        <f>Skills!A15</f>
        <v/>
      </c>
      <c r="B680">
        <f>Skills!B15</f>
        <v/>
      </c>
      <c r="C680">
        <f>Inputs!$B$3&gt;=66</f>
        <v/>
      </c>
      <c r="D680">
        <f>IF(Skills!C15=1,60+Inputs!$B$26+Inputs!$B$30,IF(Skills!C15=2,90+Inputs!$B$27+Inputs!$B$30,IF(Skills!C15=3,120+Inputs!$B$28+Inputs!$B$30,MAX(0,(Inputs!$B$3-100)*3)+Inputs!$B$29+Inputs!$B$30)))</f>
        <v/>
      </c>
      <c r="E680">
        <f>INDEX(FactorTable!$B$2:$Y$301, MATCH(ROUND(MIN(300,MAX(1,D680)),0), FactorTable!$A$2:$A$301,0), Skills!M15+1)</f>
        <v/>
      </c>
      <c r="F680">
        <f>IF(Skills!N15=TRUE,(Skills!L15/10)*(E680/1000),Skills!L15/10)+Skills!O15</f>
        <v/>
      </c>
      <c r="G680">
        <f>Skills!G15*IF(Skills!H15&gt;0,Skills!I15/Skills!H15,1)</f>
        <v/>
      </c>
      <c r="H680">
        <f>1-(1-Skills!J15/100)^Skills!K15</f>
        <v/>
      </c>
      <c r="I680" t="inlineStr">
        <is>
          <t>1</t>
        </is>
      </c>
      <c r="J680" t="inlineStr"/>
      <c r="K680" t="inlineStr"/>
      <c r="L680" t="inlineStr"/>
      <c r="M680" t="inlineStr"/>
      <c r="N680" t="inlineStr"/>
      <c r="O680">
        <f>(1-Summary!$B$55)*T680+Summary!$B$55*V680</f>
        <v/>
      </c>
      <c r="P680">
        <f>IF(B704=0,0,O680/B704)</f>
        <v/>
      </c>
      <c r="Q680">
        <f>IFERROR(1/IF(Inputs!$B$39="pvp",15,MAX(0.1,Skills!D15-IF(Skills!E15=TRUE,Inputs!$B$33,0))),0)</f>
        <v/>
      </c>
      <c r="R680">
        <f>IF(AND(Inputs!$B$39&lt;&gt;"pvp",Inputs!$B$44&gt;0),IF(Inputs!$B$44&lt;=0,0,(INT(Inputs!$B$44/IF(Inputs!$B$39="pvp",15,MAX(0.1,Skills!D15-IF(Skills!E15=TRUE,Inputs!$B$33,0))))+1)),0)</f>
        <v/>
      </c>
      <c r="S680">
        <f>IFERROR(O680/N680,0)</f>
        <v/>
      </c>
      <c r="T680" t="n">
        <v>0</v>
      </c>
      <c r="V680" t="n">
        <v>0</v>
      </c>
    </row>
    <row r="681">
      <c r="A681">
        <f>Skills!A16</f>
        <v/>
      </c>
      <c r="B681">
        <f>Skills!B16</f>
        <v/>
      </c>
      <c r="C681">
        <f>Inputs!$B$3&gt;=45</f>
        <v/>
      </c>
      <c r="D681">
        <f>IF(Skills!C16=1,60+Inputs!$B$26+Inputs!$B$30,IF(Skills!C16=2,90+Inputs!$B$27+Inputs!$B$30,IF(Skills!C16=3,120+Inputs!$B$28+Inputs!$B$30,MAX(0,(Inputs!$B$3-100)*3)+Inputs!$B$29+Inputs!$B$30)))</f>
        <v/>
      </c>
      <c r="E681">
        <f>INDEX(FactorTable!$B$2:$Y$301, MATCH(ROUND(MIN(300,MAX(1,D681)),0), FactorTable!$A$2:$A$301,0), Skills!M16+1)</f>
        <v/>
      </c>
      <c r="F681">
        <f>IF(Skills!N16=TRUE,(Skills!L16/10)*(E681/1000),Skills!L16/10)+Skills!O16</f>
        <v/>
      </c>
      <c r="G681">
        <f>Skills!G16*IF(Skills!H16&gt;0,Skills!I16/Skills!H16,1)</f>
        <v/>
      </c>
      <c r="H681">
        <f>1-(1-Skills!J16/100)^Skills!K16</f>
        <v/>
      </c>
      <c r="I681" t="inlineStr">
        <is>
          <t>1</t>
        </is>
      </c>
      <c r="J681" t="inlineStr"/>
      <c r="K681" t="inlineStr"/>
      <c r="L681" t="inlineStr"/>
      <c r="M681" t="inlineStr"/>
      <c r="N681" t="inlineStr"/>
      <c r="O681">
        <f>(1-Summary!$B$55)*T681+Summary!$B$55*V681</f>
        <v/>
      </c>
      <c r="P681">
        <f>IF(B704=0,0,O681/B704)</f>
        <v/>
      </c>
      <c r="Q681">
        <f>IFERROR(1/IF(Inputs!$B$39="pvp",15,MAX(0.1,Skills!D16-IF(Skills!E16=TRUE,Inputs!$B$33,0))),0)</f>
        <v/>
      </c>
      <c r="R681">
        <f>IF(AND(Inputs!$B$39&lt;&gt;"pvp",Inputs!$B$44&gt;0),IF(Inputs!$B$44&lt;=0,0,(INT(Inputs!$B$44/IF(Inputs!$B$39="pvp",15,MAX(0.1,Skills!D16-IF(Skills!E16=TRUE,Inputs!$B$33,0))))+1)),0)</f>
        <v/>
      </c>
      <c r="S681">
        <f>IFERROR(O681/N681,0)</f>
        <v/>
      </c>
      <c r="T681" t="n">
        <v>0</v>
      </c>
      <c r="V681" t="n">
        <v>0</v>
      </c>
    </row>
    <row r="682">
      <c r="A682">
        <f>Skills!A17</f>
        <v/>
      </c>
      <c r="B682">
        <f>Skills!B17</f>
        <v/>
      </c>
      <c r="C682">
        <f>Inputs!$B$3&gt;=35</f>
        <v/>
      </c>
      <c r="D682">
        <f>IF(Skills!C17=1,60+Inputs!$B$26+Inputs!$B$30,IF(Skills!C17=2,90+Inputs!$B$27+Inputs!$B$30,IF(Skills!C17=3,120+Inputs!$B$28+Inputs!$B$30,MAX(0,(Inputs!$B$3-100)*3)+Inputs!$B$29+Inputs!$B$30)))</f>
        <v/>
      </c>
      <c r="E682">
        <f>INDEX(FactorTable!$B$2:$Y$301, MATCH(ROUND(MIN(300,MAX(1,D682)),0), FactorTable!$A$2:$A$301,0), Skills!M17+1)</f>
        <v/>
      </c>
      <c r="F682">
        <f>IF(Skills!N17=TRUE,(Skills!L17/10)*(E682/1000),Skills!L17/10)+Skills!O17</f>
        <v/>
      </c>
      <c r="G682">
        <f>Skills!G17*IF(Skills!H17&gt;0,Skills!I17/Skills!H17,1)</f>
        <v/>
      </c>
      <c r="H682">
        <f>1-(1-Skills!J17/100)^Skills!K17</f>
        <v/>
      </c>
      <c r="I682" t="inlineStr">
        <is>
          <t>1</t>
        </is>
      </c>
      <c r="J682" t="inlineStr"/>
      <c r="K682" t="inlineStr"/>
      <c r="L682" t="inlineStr"/>
      <c r="M682" t="inlineStr"/>
      <c r="N682" t="inlineStr"/>
      <c r="O682">
        <f>(1-Summary!$B$55)*T682+Summary!$B$55*V682</f>
        <v/>
      </c>
      <c r="P682">
        <f>IF(B704=0,0,O682/B704)</f>
        <v/>
      </c>
      <c r="Q682">
        <f>IFERROR(1/IF(Inputs!$B$39="pvp",15,MAX(0.1,Skills!D17-IF(Skills!E17=TRUE,Inputs!$B$33,0))),0)</f>
        <v/>
      </c>
      <c r="R682">
        <f>IF(AND(Inputs!$B$39&lt;&gt;"pvp",Inputs!$B$44&gt;0),IF(Inputs!$B$44&lt;=0,0,(INT(Inputs!$B$44/IF(Inputs!$B$39="pvp",15,MAX(0.1,Skills!D17-IF(Skills!E17=TRUE,Inputs!$B$33,0))))+1)),0)</f>
        <v/>
      </c>
      <c r="S682">
        <f>IFERROR(O682/N682,0)</f>
        <v/>
      </c>
      <c r="T682" t="n">
        <v>0</v>
      </c>
      <c r="V682" t="n">
        <v>0</v>
      </c>
    </row>
    <row r="683">
      <c r="A683">
        <f>Skills!A18</f>
        <v/>
      </c>
      <c r="B683">
        <f>Skills!B18</f>
        <v/>
      </c>
      <c r="C683">
        <f>Inputs!$B$3&gt;=72</f>
        <v/>
      </c>
      <c r="D683">
        <f>IF(Skills!C18=1,60+Inputs!$B$26+Inputs!$B$30,IF(Skills!C18=2,90+Inputs!$B$27+Inputs!$B$30,IF(Skills!C18=3,120+Inputs!$B$28+Inputs!$B$30,MAX(0,(Inputs!$B$3-100)*3)+Inputs!$B$29+Inputs!$B$30)))</f>
        <v/>
      </c>
      <c r="E683">
        <f>INDEX(FactorTable!$B$2:$Y$301, MATCH(ROUND(MIN(300,MAX(1,D683)),0), FactorTable!$A$2:$A$301,0), Skills!M18+1)</f>
        <v/>
      </c>
      <c r="F683">
        <f>IF(Skills!N18=TRUE,(Skills!L18/10)*(E683/1000),Skills!L18/10)+Skills!O18</f>
        <v/>
      </c>
      <c r="G683">
        <f>Skills!G18*IF(Skills!H18&gt;0,Skills!I18/Skills!H18,1)</f>
        <v/>
      </c>
      <c r="H683">
        <f>1-(1-Skills!J18/100)^Skills!K18</f>
        <v/>
      </c>
      <c r="I683" t="inlineStr">
        <is>
          <t>1</t>
        </is>
      </c>
      <c r="J683" t="inlineStr"/>
      <c r="K683" t="inlineStr"/>
      <c r="L683" t="inlineStr"/>
      <c r="M683" t="inlineStr"/>
      <c r="N683" t="inlineStr"/>
      <c r="O683">
        <f>(1-Summary!$B$55)*T683+Summary!$B$55*V683</f>
        <v/>
      </c>
      <c r="P683">
        <f>IF(B704=0,0,O683/B704)</f>
        <v/>
      </c>
      <c r="Q683">
        <f>IFERROR(1/IF(Inputs!$B$39="pvp",15,MAX(0.1,Skills!D18-IF(Skills!E18=TRUE,Inputs!$B$33,0))),0)</f>
        <v/>
      </c>
      <c r="R683">
        <f>IF(AND(Inputs!$B$39&lt;&gt;"pvp",Inputs!$B$44&gt;0),IF(Inputs!$B$44&lt;=0,0,(INT(Inputs!$B$44/IF(Inputs!$B$39="pvp",15,MAX(0.1,Skills!D18-IF(Skills!E18=TRUE,Inputs!$B$33,0))))+1)),0)</f>
        <v/>
      </c>
      <c r="S683">
        <f>IFERROR(O683/N683,0)</f>
        <v/>
      </c>
      <c r="T683" t="n">
        <v>0</v>
      </c>
      <c r="V683" t="n">
        <v>0</v>
      </c>
    </row>
    <row r="684">
      <c r="A684">
        <f>Skills!A19</f>
        <v/>
      </c>
      <c r="B684">
        <f>Skills!B19</f>
        <v/>
      </c>
      <c r="C684">
        <f>Inputs!$B$3&gt;=72</f>
        <v/>
      </c>
      <c r="D684">
        <f>IF(Skills!C19=1,60+Inputs!$B$26+Inputs!$B$30,IF(Skills!C19=2,90+Inputs!$B$27+Inputs!$B$30,IF(Skills!C19=3,120+Inputs!$B$28+Inputs!$B$30,MAX(0,(Inputs!$B$3-100)*3)+Inputs!$B$29+Inputs!$B$30)))</f>
        <v/>
      </c>
      <c r="E684">
        <f>INDEX(FactorTable!$B$2:$Y$301, MATCH(ROUND(MIN(300,MAX(1,D684)),0), FactorTable!$A$2:$A$301,0), Skills!M19+1)</f>
        <v/>
      </c>
      <c r="F684">
        <f>IF(Skills!N19=TRUE,(Skills!L19/10)*(E684/1000),Skills!L19/10)+Skills!O19</f>
        <v/>
      </c>
      <c r="G684">
        <f>Skills!G19*IF(Skills!H19&gt;0,Skills!I19/Skills!H19,1)</f>
        <v/>
      </c>
      <c r="H684">
        <f>1-(1-Skills!J19/100)^Skills!K19</f>
        <v/>
      </c>
      <c r="I684" t="inlineStr">
        <is>
          <t>1</t>
        </is>
      </c>
      <c r="J684" t="inlineStr"/>
      <c r="K684" t="inlineStr"/>
      <c r="L684" t="inlineStr"/>
      <c r="M684" t="inlineStr"/>
      <c r="N684" t="inlineStr"/>
      <c r="O684">
        <f>(1-Summary!$B$55)*T684+Summary!$B$55*V684</f>
        <v/>
      </c>
      <c r="P684">
        <f>IF(B704=0,0,O684/B704)</f>
        <v/>
      </c>
      <c r="Q684">
        <f>IFERROR(1/IF(Inputs!$B$39="pvp",15,MAX(0.1,Skills!D19-IF(Skills!E19=TRUE,Inputs!$B$33,0))),0)</f>
        <v/>
      </c>
      <c r="R684">
        <f>IF(AND(Inputs!$B$39&lt;&gt;"pvp",Inputs!$B$44&gt;0),IF(Inputs!$B$44&lt;=0,0,(INT(Inputs!$B$44/IF(Inputs!$B$39="pvp",15,MAX(0.1,Skills!D19-IF(Skills!E19=TRUE,Inputs!$B$33,0))))+1)),0)</f>
        <v/>
      </c>
      <c r="S684">
        <f>IFERROR(O684/N684,0)</f>
        <v/>
      </c>
      <c r="T684" t="n">
        <v>0</v>
      </c>
      <c r="V684" t="n">
        <v>0</v>
      </c>
    </row>
    <row r="685">
      <c r="A685">
        <f>Skills!A20</f>
        <v/>
      </c>
      <c r="B685">
        <f>Skills!B20</f>
        <v/>
      </c>
      <c r="C685">
        <f>TRUE</f>
        <v/>
      </c>
      <c r="D685">
        <f>IF(Skills!C20=1,60+Inputs!$B$26+Inputs!$B$30,IF(Skills!C20=2,90+Inputs!$B$27+Inputs!$B$30,IF(Skills!C20=3,120+Inputs!$B$28+Inputs!$B$30,MAX(0,(Inputs!$B$3-100)*3)+Inputs!$B$29+Inputs!$B$30)))</f>
        <v/>
      </c>
      <c r="E685">
        <f>INDEX(FactorTable!$B$2:$Y$301, MATCH(ROUND(MIN(300,MAX(1,D685)),0), FactorTable!$A$2:$A$301,0), Skills!M20+1)</f>
        <v/>
      </c>
      <c r="F685">
        <f>IF(Skills!N20=TRUE,(Skills!L20/10)*(E685/1000),Skills!L20/10)+Skills!O20</f>
        <v/>
      </c>
      <c r="G685">
        <f>Skills!G20*IF(Skills!H20&gt;0,Skills!I20/Skills!H20,1)</f>
        <v/>
      </c>
      <c r="H685">
        <f>1-(1-Skills!J20/100)^Skills!K20</f>
        <v/>
      </c>
      <c r="I685" t="inlineStr">
        <is>
          <t>1</t>
        </is>
      </c>
      <c r="J685" t="inlineStr"/>
      <c r="K685" t="inlineStr"/>
      <c r="L685" t="inlineStr"/>
      <c r="M685" t="inlineStr"/>
      <c r="N685" t="inlineStr"/>
      <c r="O685">
        <f>(1-Summary!$B$55)*T685+Summary!$B$55*V685</f>
        <v/>
      </c>
      <c r="P685">
        <f>IF(B704=0,0,O685/B704)</f>
        <v/>
      </c>
      <c r="Q685">
        <f>IFERROR(1/IF(Inputs!$B$39="pvp",15,MAX(0.1,Skills!D20-IF(Skills!E20=TRUE,Inputs!$B$33,0))),0)</f>
        <v/>
      </c>
      <c r="R685">
        <f>IF(AND(Inputs!$B$39&lt;&gt;"pvp",Inputs!$B$44&gt;0),IF(Inputs!$B$44&lt;=0,0,(INT(Inputs!$B$44/IF(Inputs!$B$39="pvp",15,MAX(0.1,Skills!D20-IF(Skills!E20=TRUE,Inputs!$B$33,0))))+1)),0)</f>
        <v/>
      </c>
      <c r="S685">
        <f>IFERROR(O685/N685,0)</f>
        <v/>
      </c>
      <c r="T685" t="n">
        <v>0</v>
      </c>
      <c r="V685" t="n">
        <v>0</v>
      </c>
    </row>
    <row r="686">
      <c r="A686">
        <f>Skills!A21</f>
        <v/>
      </c>
      <c r="B686">
        <f>Skills!B21</f>
        <v/>
      </c>
      <c r="C686">
        <f>Inputs!$B$3&gt;=33</f>
        <v/>
      </c>
      <c r="D686">
        <f>IF(Skills!C21=1,60+Inputs!$B$26+Inputs!$B$30,IF(Skills!C21=2,90+Inputs!$B$27+Inputs!$B$30,IF(Skills!C21=3,120+Inputs!$B$28+Inputs!$B$30,MAX(0,(Inputs!$B$3-100)*3)+Inputs!$B$29+Inputs!$B$30)))</f>
        <v/>
      </c>
      <c r="E686">
        <f>INDEX(FactorTable!$B$2:$Y$301, MATCH(ROUND(MIN(300,MAX(1,D686)),0), FactorTable!$A$2:$A$301,0), Skills!M21+1)</f>
        <v/>
      </c>
      <c r="F686">
        <f>IF(Skills!N21=TRUE,(Skills!L21/10)*(E686/1000),Skills!L21/10)+Skills!O21</f>
        <v/>
      </c>
      <c r="G686">
        <f>Skills!G21*IF(Skills!H21&gt;0,Skills!I21/Skills!H21,1)</f>
        <v/>
      </c>
      <c r="H686">
        <f>1-(1-Skills!J21/100)^Skills!K21</f>
        <v/>
      </c>
      <c r="I686" t="inlineStr">
        <is>
          <t>1</t>
        </is>
      </c>
      <c r="J686" t="inlineStr"/>
      <c r="K686" t="inlineStr"/>
      <c r="L686" t="inlineStr"/>
      <c r="M686" t="inlineStr"/>
      <c r="N686" t="inlineStr"/>
      <c r="O686">
        <f>(1-Summary!$B$55)*T686+Summary!$B$55*V686</f>
        <v/>
      </c>
      <c r="P686">
        <f>IF(B704=0,0,O686/B704)</f>
        <v/>
      </c>
      <c r="Q686" t="n">
        <v>0</v>
      </c>
      <c r="R686" t="n">
        <v>0</v>
      </c>
      <c r="S686">
        <f>IFERROR(O686/N686,0)</f>
        <v/>
      </c>
      <c r="T686" t="n">
        <v>0</v>
      </c>
      <c r="V686" t="n">
        <v>0</v>
      </c>
    </row>
    <row r="687">
      <c r="A687">
        <f>Skills!A22</f>
        <v/>
      </c>
      <c r="B687">
        <f>Skills!B22</f>
        <v/>
      </c>
      <c r="C687">
        <f>Inputs!$B$3&gt;=43</f>
        <v/>
      </c>
      <c r="D687">
        <f>IF(Skills!C22=1,60+Inputs!$B$26+Inputs!$B$30,IF(Skills!C22=2,90+Inputs!$B$27+Inputs!$B$30,IF(Skills!C22=3,120+Inputs!$B$28+Inputs!$B$30,MAX(0,(Inputs!$B$3-100)*3)+Inputs!$B$29+Inputs!$B$30)))</f>
        <v/>
      </c>
      <c r="E687">
        <f>INDEX(FactorTable!$B$2:$Y$301, MATCH(ROUND(MIN(300,MAX(1,D687)),0), FactorTable!$A$2:$A$301,0), Skills!M22+1)</f>
        <v/>
      </c>
      <c r="F687">
        <f>IF(Skills!N22=TRUE,(Skills!L22/10)*(E687/1000),Skills!L22/10)+Skills!O22</f>
        <v/>
      </c>
      <c r="G687">
        <f>Skills!G22*IF(Skills!H22&gt;0,Skills!I22/Skills!H22,1)</f>
        <v/>
      </c>
      <c r="H687">
        <f>1-(1-Skills!J22/100)^Skills!K22</f>
        <v/>
      </c>
      <c r="I687" t="inlineStr">
        <is>
          <t>1</t>
        </is>
      </c>
      <c r="J687" t="inlineStr"/>
      <c r="K687" t="inlineStr"/>
      <c r="L687" t="inlineStr"/>
      <c r="M687" t="inlineStr"/>
      <c r="N687" t="inlineStr"/>
      <c r="O687">
        <f>(1-Summary!$B$55)*T687+Summary!$B$55*V687</f>
        <v/>
      </c>
      <c r="P687">
        <f>IF(B704=0,0,O687/B704)</f>
        <v/>
      </c>
      <c r="Q687" t="n">
        <v>0</v>
      </c>
      <c r="R687" t="n">
        <v>0</v>
      </c>
      <c r="S687">
        <f>IFERROR(O687/N687,0)</f>
        <v/>
      </c>
      <c r="T687" t="n">
        <v>0</v>
      </c>
      <c r="V687" t="n">
        <v>0</v>
      </c>
    </row>
    <row r="688">
      <c r="A688">
        <f>Skills!A23</f>
        <v/>
      </c>
      <c r="B688">
        <f>Skills!B23</f>
        <v/>
      </c>
      <c r="C688">
        <f>Inputs!$B$3&gt;=120</f>
        <v/>
      </c>
      <c r="D688">
        <f>IF(Skills!C23=1,60+Inputs!$B$26+Inputs!$B$30,IF(Skills!C23=2,90+Inputs!$B$27+Inputs!$B$30,IF(Skills!C23=3,120+Inputs!$B$28+Inputs!$B$30,MAX(0,(Inputs!$B$3-100)*3)+Inputs!$B$29+Inputs!$B$30)))</f>
        <v/>
      </c>
      <c r="E688">
        <f>INDEX(FactorTable!$B$2:$Y$301, MATCH(ROUND(MIN(300,MAX(1,D688)),0), FactorTable!$A$2:$A$301,0), Skills!M23+1)</f>
        <v/>
      </c>
      <c r="F688">
        <f>IF(Skills!N23=TRUE,(Skills!L23/10)*(E688/1000),Skills!L23/10)+Skills!O23</f>
        <v/>
      </c>
      <c r="G688">
        <f>Skills!G23*IF(Skills!H23&gt;0,Skills!I23/Skills!H23,1)</f>
        <v/>
      </c>
      <c r="H688">
        <f>1-(1-Skills!J23/100)^Skills!K23</f>
        <v/>
      </c>
      <c r="I688" t="inlineStr">
        <is>
          <t>1</t>
        </is>
      </c>
      <c r="J688" t="inlineStr"/>
      <c r="K688" t="inlineStr"/>
      <c r="L688" t="inlineStr"/>
      <c r="M688" t="inlineStr"/>
      <c r="N688" t="inlineStr"/>
      <c r="O688">
        <f>(1-Summary!$B$55)*T688+Summary!$B$55*V688</f>
        <v/>
      </c>
      <c r="P688">
        <f>IF(B704=0,0,O688/B704)</f>
        <v/>
      </c>
      <c r="Q688" t="n">
        <v>0</v>
      </c>
      <c r="R688" t="n">
        <v>0</v>
      </c>
      <c r="S688">
        <f>IFERROR(O688/N688,0)</f>
        <v/>
      </c>
      <c r="T688" t="n">
        <v>0</v>
      </c>
      <c r="V688" t="n">
        <v>0</v>
      </c>
    </row>
    <row r="689">
      <c r="A689">
        <f>Skills!A24</f>
        <v/>
      </c>
      <c r="B689">
        <f>Skills!B24</f>
        <v/>
      </c>
      <c r="C689">
        <f>Inputs!$B$3&gt;=120</f>
        <v/>
      </c>
      <c r="D689">
        <f>IF(Skills!C24=1,60+Inputs!$B$26+Inputs!$B$30,IF(Skills!C24=2,90+Inputs!$B$27+Inputs!$B$30,IF(Skills!C24=3,120+Inputs!$B$28+Inputs!$B$30,MAX(0,(Inputs!$B$3-100)*3)+Inputs!$B$29+Inputs!$B$30)))</f>
        <v/>
      </c>
      <c r="E689">
        <f>INDEX(FactorTable!$B$2:$Y$301, MATCH(ROUND(MIN(300,MAX(1,D689)),0), FactorTable!$A$2:$A$301,0), Skills!M24+1)</f>
        <v/>
      </c>
      <c r="F689">
        <f>IF(Skills!N24=TRUE,(Skills!L24/10)*(E689/1000),Skills!L24/10)+Skills!O24</f>
        <v/>
      </c>
      <c r="G689">
        <f>Skills!G24*IF(Skills!H24&gt;0,Skills!I24/Skills!H24,1)</f>
        <v/>
      </c>
      <c r="H689">
        <f>1-(1-Skills!J24/100)^Skills!K24</f>
        <v/>
      </c>
      <c r="I689" t="inlineStr">
        <is>
          <t>1</t>
        </is>
      </c>
      <c r="J689" t="inlineStr"/>
      <c r="K689" t="inlineStr"/>
      <c r="L689" t="inlineStr"/>
      <c r="M689" t="inlineStr"/>
      <c r="N689" t="inlineStr"/>
      <c r="O689">
        <f>(1-Summary!$B$55)*T689+Summary!$B$55*V689</f>
        <v/>
      </c>
      <c r="P689">
        <f>IF(B704=0,0,O689/B704)</f>
        <v/>
      </c>
      <c r="Q689" t="n">
        <v>0</v>
      </c>
      <c r="R689" t="n">
        <v>0</v>
      </c>
      <c r="S689">
        <f>IFERROR(O689/N689,0)</f>
        <v/>
      </c>
      <c r="T689" t="n">
        <v>0</v>
      </c>
      <c r="V689" t="n">
        <v>0</v>
      </c>
    </row>
    <row r="690">
      <c r="A690">
        <f>Skills!A25</f>
        <v/>
      </c>
      <c r="B690">
        <f>Skills!B25</f>
        <v/>
      </c>
      <c r="C690">
        <f>Inputs!$B$3&gt;=125</f>
        <v/>
      </c>
      <c r="D690">
        <f>IF(Skills!C25=1,60+Inputs!$B$26+Inputs!$B$30,IF(Skills!C25=2,90+Inputs!$B$27+Inputs!$B$30,IF(Skills!C25=3,120+Inputs!$B$28+Inputs!$B$30,MAX(0,(Inputs!$B$3-100)*3)+Inputs!$B$29+Inputs!$B$30)))</f>
        <v/>
      </c>
      <c r="E690">
        <f>INDEX(FactorTable!$B$2:$Y$301, MATCH(ROUND(MIN(300,MAX(1,D690)),0), FactorTable!$A$2:$A$301,0), Skills!M25+1)</f>
        <v/>
      </c>
      <c r="F690">
        <f>IF(Skills!N25=TRUE,(Skills!L25/10)*(E690/1000),Skills!L25/10)+Skills!O25</f>
        <v/>
      </c>
      <c r="G690">
        <f>Skills!G25*IF(Skills!H25&gt;0,Skills!I25/Skills!H25,1)</f>
        <v/>
      </c>
      <c r="H690">
        <f>1-(1-Skills!J25/100)^Skills!K25</f>
        <v/>
      </c>
      <c r="I690" t="inlineStr">
        <is>
          <t>1</t>
        </is>
      </c>
      <c r="J690" t="inlineStr"/>
      <c r="K690" t="inlineStr"/>
      <c r="L690" t="inlineStr"/>
      <c r="M690" t="inlineStr"/>
      <c r="N690" t="inlineStr"/>
      <c r="O690">
        <f>(1-Summary!$B$55)*T690+Summary!$B$55*V690</f>
        <v/>
      </c>
      <c r="P690">
        <f>IF(B704=0,0,O690/B704)</f>
        <v/>
      </c>
      <c r="Q690" t="n">
        <v>0</v>
      </c>
      <c r="R690" t="n">
        <v>0</v>
      </c>
      <c r="S690">
        <f>IFERROR(O690/N690,0)</f>
        <v/>
      </c>
      <c r="T690" t="n">
        <v>0</v>
      </c>
      <c r="V690" t="n">
        <v>0</v>
      </c>
    </row>
    <row r="691">
      <c r="A691">
        <f>Skills!A26</f>
        <v/>
      </c>
      <c r="B691">
        <f>Skills!B26</f>
        <v/>
      </c>
      <c r="C691">
        <f>Inputs!$B$3&gt;=107</f>
        <v/>
      </c>
      <c r="D691">
        <f>IF(Skills!C26=1,60+Inputs!$B$26+Inputs!$B$30,IF(Skills!C26=2,90+Inputs!$B$27+Inputs!$B$30,IF(Skills!C26=3,120+Inputs!$B$28+Inputs!$B$30,MAX(0,(Inputs!$B$3-100)*3)+Inputs!$B$29+Inputs!$B$30)))</f>
        <v/>
      </c>
      <c r="E691">
        <f>INDEX(FactorTable!$B$2:$Y$301, MATCH(ROUND(MIN(300,MAX(1,D691)),0), FactorTable!$A$2:$A$301,0), Skills!M26+1)</f>
        <v/>
      </c>
      <c r="F691">
        <f>IF(Skills!N26=TRUE,(Skills!L26/10)*(E691/1000),Skills!L26/10)+Skills!O26</f>
        <v/>
      </c>
      <c r="G691">
        <f>Skills!G26*IF(Skills!H26&gt;0,Skills!I26/Skills!H26,1)</f>
        <v/>
      </c>
      <c r="H691">
        <f>1-(1-Skills!J26/100)^Skills!K26</f>
        <v/>
      </c>
      <c r="I691" t="inlineStr">
        <is>
          <t>1</t>
        </is>
      </c>
      <c r="J691" t="inlineStr"/>
      <c r="K691" t="inlineStr"/>
      <c r="L691" t="inlineStr"/>
      <c r="M691" t="inlineStr"/>
      <c r="N691" t="inlineStr"/>
      <c r="O691">
        <f>(1-Summary!$B$55)*T691+Summary!$B$55*V691</f>
        <v/>
      </c>
      <c r="P691">
        <f>IF(B704=0,0,O691/B704)</f>
        <v/>
      </c>
      <c r="Q691" t="n">
        <v>0</v>
      </c>
      <c r="R691" t="n">
        <v>0</v>
      </c>
      <c r="S691">
        <f>IFERROR(O691/N691,0)</f>
        <v/>
      </c>
      <c r="T691" t="n">
        <v>0</v>
      </c>
      <c r="V691" t="n">
        <v>0</v>
      </c>
    </row>
    <row r="693">
      <c r="A693" t="inlineStr">
        <is>
          <t>Attack% Bucket Multiplier</t>
        </is>
      </c>
      <c r="B693">
        <f>(1+(((C678=TRUE)*F678*IF(AND(Inputs!$B$39&lt;&gt;"pvp",Inputs!$B$44&gt;0),(((R678-1)*(Skills!T13*(1+Inputs!$B$35/100))+MIN((Skills!T13*(1+Inputs!$B$35/100)),MAX(0,Inputs!$B$44-((R678-1)*Skills!D13))))/Inputs!$B$44),IF(Inputs!$B$39="pvp",MIN((Skills!T13*(1+Inputs!$B$35/100)),15)/15,(Skills!T13*(1+Inputs!$B$35/100))/Skills!D13)))+((C679=TRUE)*F679*IF(AND(Inputs!$B$39&lt;&gt;"pvp",Inputs!$B$44&gt;0),(((R679-1)*(Skills!T14*(1+Inputs!$B$35/100))+MIN((Skills!T14*(1+Inputs!$B$35/100)),MAX(0,Inputs!$B$44-((R679-1)*Skills!D14))))/Inputs!$B$44),IF(Inputs!$B$39="pvp",MIN((Skills!T14*(1+Inputs!$B$35/100)),15)/15,(Skills!T14*(1+Inputs!$B$35/100))/Skills!D14)))+((C680=TRUE)*F680*IF(AND(Inputs!$B$39&lt;&gt;"pvp",Inputs!$B$44&gt;0),(((R680-1)*(Skills!T15*(1+Inputs!$B$35/100))+MIN((Skills!T15*(1+Inputs!$B$35/100)),MAX(0,Inputs!$B$44-((R680-1)*Skills!D15))))/Inputs!$B$44),IF(Inputs!$B$39="pvp",MIN((Skills!T15*(1+Inputs!$B$35/100)),15)/15,(Skills!T15*(1+Inputs!$B$35/100))/Skills!D15)))+((C681=TRUE)*F681*IF(AND(Inputs!$B$39&lt;&gt;"pvp",Inputs!$B$44&gt;0),(((R681-1)*(Skills!T16*(1+Inputs!$B$35/100))+MIN((Skills!T16*(1+Inputs!$B$35/100)),MAX(0,Inputs!$B$44-((R681-1)*Skills!D16))))/Inputs!$B$44),IF(Inputs!$B$39="pvp",MIN((Skills!T16*(1+Inputs!$B$35/100)),15)/15,(Skills!T16*(1+Inputs!$B$35/100))/Skills!D16)))+0)/100)</f>
        <v/>
      </c>
    </row>
    <row r="694">
      <c r="A694" t="inlineStr">
        <is>
          <t>Global Crit Rate Bonus % (Lord of Darkness)</t>
        </is>
      </c>
      <c r="B694">
        <f>((C683=TRUE)*F683*(Skills!J18/100)*IF(AND(Inputs!$B$39&lt;&gt;"pvp",Inputs!$B$44&gt;0),(((R683-1)*(Skills!T18*(1+Inputs!$B$35/100))+MIN((Skills!T18*(1+Inputs!$B$35/100)),MAX(0,Inputs!$B$44-((R683-1)*Skills!D18))))/Inputs!$B$44),IF(Inputs!$B$39="pvp",MIN((Skills!T18*(1+Inputs!$B$35/100)),15)/15,(Skills!T18*(1+Inputs!$B$35/100))/Skills!D18)))</f>
        <v/>
      </c>
    </row>
    <row r="695">
      <c r="A695" t="inlineStr">
        <is>
          <t>Attack Speed Buff Bonus %</t>
        </is>
      </c>
      <c r="B695">
        <f>((C685=TRUE)*F685*IF(AND(Inputs!$B$39&lt;&gt;"pvp",Inputs!$B$44&gt;0),(((R685-1)*(Skills!T20*(1+Inputs!$B$35/100))+MIN((Skills!T20*(1+Inputs!$B$35/100)),MAX(0,Inputs!$B$44-((R685-1)*Skills!D20))))/Inputs!$B$44),IF(Inputs!$B$39="pvp",MIN((Skills!T20*(1+Inputs!$B$35/100)),15)/15,(Skills!T20*(1+Inputs!$B$35/100))/Skills!D20)))</f>
        <v/>
      </c>
    </row>
    <row r="696">
      <c r="A696" t="inlineStr">
        <is>
          <t>Actions Per Second</t>
        </is>
      </c>
      <c r="B696">
        <f>1+MIN(150,150*(1-(1-(Inputs!$B$12+((C686=TRUE)*(F686-Calc!F21)))/150)*(1-B695/150)))/100</f>
        <v/>
      </c>
    </row>
    <row r="697">
      <c r="A697" t="inlineStr">
        <is>
          <t>Skill + Buff Cast Rate</t>
        </is>
      </c>
      <c r="B697">
        <f>IF(AND(Inputs!$B$39&lt;&gt;"pvp",Inputs!$B$44&gt;0),SUMPRODUCT((Skills!E2:E26=TRUE)*(C667:C691=TRUE)*R667:R691*Skills!F2:F26)/Inputs!$B$44,SUMPRODUCT((Skills!E2:E26=TRUE)*(C667:C691=TRUE)*Q667:Q691*Skills!F2:F26))</f>
        <v/>
      </c>
    </row>
    <row r="698">
      <c r="A698" t="inlineStr">
        <is>
          <t>Dark Impale Casts Per Second</t>
        </is>
      </c>
      <c r="B698">
        <f>MAX(0,B696-B697)</f>
        <v/>
      </c>
    </row>
    <row r="699">
      <c r="A699" t="inlineStr">
        <is>
          <t>Global Critical Damage Bonus % (Lord of Darkness)</t>
        </is>
      </c>
      <c r="B699">
        <f>((C684=TRUE)*F684*(Skills!J19/100)*IF(AND(Inputs!$B$39&lt;&gt;"pvp",Inputs!$B$44&gt;0),(((R684-1)*(Skills!T19*(1+Inputs!$B$35/100))+MIN((Skills!T19*(1+Inputs!$B$35/100)),MAX(0,Inputs!$B$44-((R684-1)*Skills!D19))))/Inputs!$B$44),IF(Inputs!$B$39="pvp",MIN((Skills!T19*(1+Inputs!$B$35/100)),15)/15,(Skills!T19*(1+Inputs!$B$35/100))/Skills!D19)))</f>
        <v/>
      </c>
    </row>
    <row r="700">
      <c r="A700" t="inlineStr">
        <is>
          <t>Global Final Damage Bonus % (unused)</t>
        </is>
      </c>
      <c r="B700" t="n">
        <v>0</v>
      </c>
    </row>
    <row r="701">
      <c r="A701" t="inlineStr">
        <is>
          <t>Buff-Casting Startup Delay (s, fixed-duration only)</t>
        </is>
      </c>
      <c r="B701">
        <f>IF(AND(Inputs!$B$39&lt;&gt;"pvp",Inputs!$B$44&gt;0),SUMPRODUCT((Skills!T2:T26&gt;0)*(Skills!E2:E26=TRUE)*(C667:C691=TRUE))/B696,0)</f>
        <v/>
      </c>
    </row>
    <row r="702">
      <c r="A702" t="inlineStr">
        <is>
          <t>Boss-Only Total DPS (this block's swept value)</t>
        </is>
      </c>
      <c r="B702">
        <f>SUM(T667:T691)</f>
        <v/>
      </c>
    </row>
    <row r="703">
      <c r="A703" t="inlineStr">
        <is>
          <t>Normal-Only Total DPS (this block's swept value)</t>
        </is>
      </c>
      <c r="B703">
        <f>SUM(V667:V691)</f>
        <v/>
      </c>
    </row>
    <row r="704">
      <c r="A704" s="5" t="inlineStr">
        <is>
          <t>TOTAL DPS</t>
        </is>
      </c>
      <c r="B704" s="5">
        <f>SUM(O667:O691)</f>
        <v/>
      </c>
    </row>
    <row r="707">
      <c r="A707" s="5" t="inlineStr">
        <is>
          <t>Stat: BASIC_ATTACK_DAMAGE %</t>
        </is>
      </c>
    </row>
    <row r="708">
      <c r="A708" s="9" t="inlineStr">
        <is>
          <t>Key</t>
        </is>
      </c>
      <c r="B708" s="9" t="inlineStr">
        <is>
          <t>Name</t>
        </is>
      </c>
      <c r="C708" s="9" t="inlineStr">
        <is>
          <t>Unlocked</t>
        </is>
      </c>
      <c r="D708" s="9" t="inlineStr">
        <is>
          <t>InputLevel</t>
        </is>
      </c>
      <c r="E708" s="9" t="inlineStr">
        <is>
          <t>Factor</t>
        </is>
      </c>
      <c r="F708" s="9" t="inlineStr">
        <is>
          <t>CoefficientPercent</t>
        </is>
      </c>
      <c r="G708" s="9" t="inlineStr">
        <is>
          <t>EffectiveHits</t>
        </is>
      </c>
      <c r="H708" s="9" t="inlineStr">
        <is>
          <t>ProcProbability</t>
        </is>
      </c>
      <c r="I708" s="9" t="inlineStr">
        <is>
          <t>MapleHeroMultiplier</t>
        </is>
      </c>
      <c r="J708" s="9" t="inlineStr">
        <is>
          <t>BaseDamage</t>
        </is>
      </c>
      <c r="K708" s="9" t="inlineStr">
        <is>
          <t>BaseHitDamage</t>
        </is>
      </c>
      <c r="L708" s="9" t="inlineStr">
        <is>
          <t>NonCritAvg</t>
        </is>
      </c>
      <c r="M708" s="9" t="inlineStr">
        <is>
          <t>CritAvg</t>
        </is>
      </c>
      <c r="N708" s="9" t="inlineStr">
        <is>
          <t>ExpectedDamage(perHit)</t>
        </is>
      </c>
      <c r="O708" s="9" t="inlineStr">
        <is>
          <t>DPS</t>
        </is>
      </c>
      <c r="P708" s="9" t="inlineStr">
        <is>
          <t>% of Total</t>
        </is>
      </c>
      <c r="Q708" s="9" t="inlineStr">
        <is>
          <t>InvCooldown</t>
        </is>
      </c>
      <c r="R708" s="9" t="inlineStr">
        <is>
          <t>CastsInFight</t>
        </is>
      </c>
      <c r="S708" s="9" t="inlineStr">
        <is>
          <t>HitRate(perSec)</t>
        </is>
      </c>
      <c r="U708" t="inlineStr">
        <is>
          <t>helpers</t>
        </is>
      </c>
    </row>
    <row r="709">
      <c r="A709">
        <f>Skills!A2</f>
        <v/>
      </c>
      <c r="B709">
        <f>Skills!B2</f>
        <v/>
      </c>
      <c r="C709">
        <f>Inputs!$B$3&gt;=100</f>
        <v/>
      </c>
      <c r="D709" t="inlineStr"/>
      <c r="E709" t="inlineStr"/>
      <c r="F709">
        <f>U711+Skills!O2</f>
        <v/>
      </c>
      <c r="G709">
        <f>Skills!G2*IF(Skills!H2&gt;0,Skills!I2/Skills!H2,1)</f>
        <v/>
      </c>
      <c r="H709">
        <f>1-(1-Skills!J2/100)^Skills!K2</f>
        <v/>
      </c>
      <c r="I709" t="inlineStr">
        <is>
          <t>1</t>
        </is>
      </c>
      <c r="J709">
        <f>((Inputs!$B$6*(1+Inputs!$B$7/100))+(((Inputs!$B$13*(1+Inputs!$B$14/100))-(Inputs!$B$13*(1+Inputs!$B$14/100)))+0.25*(Inputs!$B$15-Inputs!$B$15))*(1+Inputs!$B$7/100))*(F709/100)</f>
        <v/>
      </c>
      <c r="K709">
        <f>J709*(1+(((Inputs!$B$13+IF(Inputs!$B$3&gt;=38,(10*INDEX(FactorTable!$B$2:$Y$301, MATCH(ROUND(MIN(300,MAX(1,Inputs!$B$3)),0), FactorTable!$A$2:$A$301,0), 23)/1000)/100*(Inputs!$B$8*(1+Inputs!$B$9/100)),0))*(1+Inputs!$B$14/100))*0.01+Inputs!$B$15*0.0025)/100)*(1+Inputs!$B$16/100)*(1+Inputs!$B$17/100)*(5000/(6000+Inputs!$B$43*(1-(Inputs!$B$20+0)/100)))*(1+(Inputs!$B$25+((C732=TRUE)*(F732-Calc!F25))+((C733=TRUE)*(F733-Calc!F26))+B742)/100)*(1+(IF(Skills!A2="DARK_IMPALE",(Inputs!$B$18+1)+0,Inputs!$B$19+((C730=TRUE)*(F730-Calc!F23))))/100)*((1+(((C720=TRUE)*F720*IF(AND(Inputs!$B$39&lt;&gt;"pvp",Inputs!$B$44&gt;0),(((R720-1)*(Skills!T13*(1+Inputs!$B$35/100))+MIN((Skills!T13*(1+Inputs!$B$35/100)),MAX(0,Inputs!$B$44-((R720-1)*Skills!D13))))/Inputs!$B$44),IF(Inputs!$B$39="pvp",MIN((Skills!T13*(1+Inputs!$B$35/100)),15)/15,(Skills!T13*(1+Inputs!$B$35/100))/Skills!D13)))+((C721=TRUE)*F721*IF(AND(Inputs!$B$39&lt;&gt;"pvp",Inputs!$B$44&gt;0),(((R721-1)*(Skills!T14*(1+Inputs!$B$35/100))+MIN((Skills!T14*(1+Inputs!$B$35/100)),MAX(0,Inputs!$B$44-((R721-1)*Skills!D14))))/Inputs!$B$44),IF(Inputs!$B$39="pvp",MIN((Skills!T14*(1+Inputs!$B$35/100)),15)/15,(Skills!T14*(1+Inputs!$B$35/100))/Skills!D14)))+((C722=TRUE)*F722*IF(AND(Inputs!$B$39&lt;&gt;"pvp",Inputs!$B$44&gt;0),(((R722-1)*(Skills!T15*(1+Inputs!$B$35/100))+MIN((Skills!T15*(1+Inputs!$B$35/100)),MAX(0,Inputs!$B$44-((R722-1)*Skills!D15))))/Inputs!$B$44),IF(Inputs!$B$39="pvp",MIN((Skills!T15*(1+Inputs!$B$35/100)),15)/15,(Skills!T15*(1+Inputs!$B$35/100))/Skills!D15)))+((C723=TRUE)*F723*IF(AND(Inputs!$B$39&lt;&gt;"pvp",Inputs!$B$44&gt;0),(((R723-1)*(Skills!T16*(1+Inputs!$B$35/100))+MIN((Skills!T16*(1+Inputs!$B$35/100)),MAX(0,Inputs!$B$44-((R723-1)*Skills!D16))))/Inputs!$B$44),IF(Inputs!$B$39="pvp",MIN((Skills!T16*(1+Inputs!$B$35/100)),15)/15,(Skills!T16*(1+Inputs!$B$35/100))/Skills!D16)))+0)/100)*I709)</f>
        <v/>
      </c>
      <c r="L709">
        <f>K709*(MIN(Inputs!$B$23+((C729=TRUE)*(F729-Calc!F22)),Inputs!$B$24+((C731=TRUE)*(F731-Calc!F24)))/100+(Inputs!$B$24+((C731=TRUE)*(F731-Calc!F24)))/100)/2</f>
        <v/>
      </c>
      <c r="M709">
        <f>L709*(1+(Inputs!$B$11+0+B741)/100)</f>
        <v/>
      </c>
      <c r="N709">
        <f>L709*(1-MIN((Inputs!$B$10+0+B736),100)/100)+M709*(MIN((Inputs!$B$10+0+B736),100)/100)</f>
        <v/>
      </c>
      <c r="O709">
        <f>(1-Summary!$B$55)*T709+Summary!$B$55*V709</f>
        <v/>
      </c>
      <c r="P709">
        <f>IF(B746=0,0,O709/B746)</f>
        <v/>
      </c>
      <c r="Q709" t="n">
        <v>0</v>
      </c>
      <c r="R709" t="n">
        <v>0</v>
      </c>
      <c r="S709">
        <f>IFERROR(O709/N709,0)</f>
        <v/>
      </c>
      <c r="T709">
        <f>IF(C709,(Skills!G2*N709*B740)*IF(Inputs!$B$39="pvp",1,1+(Inputs!$B$21+0+Skills!P2+((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0)</f>
        <v/>
      </c>
      <c r="U709">
        <f>MAX(0,(Inputs!$B$3-100)*3)+Inputs!$B$29+Inputs!$B$30</f>
        <v/>
      </c>
      <c r="V709">
        <f>IF(C709,(Skills!G2*N709*B740)*IF(Inputs!$B$39="pvp",1,(1+(Inputs!$B$22+Skills!Q2+((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MIN((6+Inputs!$B$34),Inputs!$B$38))),0)</f>
        <v/>
      </c>
    </row>
    <row r="710">
      <c r="A710">
        <f>Skills!A3</f>
        <v/>
      </c>
      <c r="B710">
        <f>Skills!B3</f>
        <v/>
      </c>
      <c r="C710">
        <f>Inputs!$B$3&gt;=50</f>
        <v/>
      </c>
      <c r="D710">
        <f>IF(Skills!C3=1,60+Inputs!$B$26+Inputs!$B$30,IF(Skills!C3=2,90+Inputs!$B$27+Inputs!$B$30,IF(Skills!C3=3,120+Inputs!$B$28+Inputs!$B$30,MAX(0,(Inputs!$B$3-100)*3)+Inputs!$B$29+Inputs!$B$30)))</f>
        <v/>
      </c>
      <c r="E710">
        <f>INDEX(FactorTable!$B$2:$Y$301, MATCH(ROUND(MIN(300,MAX(1,D710)),0), FactorTable!$A$2:$A$301,0), Skills!M3+1)</f>
        <v/>
      </c>
      <c r="F710">
        <f>IF(Skills!N3=TRUE,(Skills!L3/10)*(E710/1000),Skills!L3/10)+Skills!O3</f>
        <v/>
      </c>
      <c r="G710" t="inlineStr"/>
      <c r="H710" t="inlineStr"/>
      <c r="I710" t="inlineStr">
        <is>
          <t>1</t>
        </is>
      </c>
      <c r="J710" t="inlineStr"/>
      <c r="K710" t="inlineStr"/>
      <c r="L710" t="inlineStr"/>
      <c r="M710" t="inlineStr"/>
      <c r="N710" t="inlineStr"/>
      <c r="O710" t="inlineStr"/>
      <c r="P710" t="inlineStr"/>
      <c r="Q710" t="inlineStr"/>
      <c r="R710" t="inlineStr"/>
      <c r="S710" t="inlineStr"/>
      <c r="U710">
        <f>INDEX(FactorTable!$B$2:$Y$301, MATCH(ROUND(MIN(300,MAX(1,U709)),0), FactorTable!$A$2:$A$301,0), 22)</f>
        <v/>
      </c>
    </row>
    <row r="711">
      <c r="A711">
        <f>Skills!A4</f>
        <v/>
      </c>
      <c r="B711">
        <f>Skills!B4</f>
        <v/>
      </c>
      <c r="C711">
        <f>Inputs!$B$3&gt;=105</f>
        <v/>
      </c>
      <c r="D711">
        <f>IF(Skills!C4=1,60+Inputs!$B$26+Inputs!$B$30,IF(Skills!C4=2,90+Inputs!$B$27+Inputs!$B$30,IF(Skills!C4=3,120+Inputs!$B$28+Inputs!$B$30,MAX(0,(Inputs!$B$3-100)*3)+Inputs!$B$29+Inputs!$B$30)))</f>
        <v/>
      </c>
      <c r="E711">
        <f>INDEX(FactorTable!$B$2:$Y$301, MATCH(ROUND(MIN(300,MAX(1,D711)),0), FactorTable!$A$2:$A$301,0), Skills!M4+1)</f>
        <v/>
      </c>
      <c r="F711">
        <f>IF(Skills!N4=TRUE,(Skills!L4/10)*(E711/1000),Skills!L4/10)+Skills!O4</f>
        <v/>
      </c>
      <c r="G711" t="inlineStr"/>
      <c r="H711" t="inlineStr"/>
      <c r="I711" t="inlineStr">
        <is>
          <t>1</t>
        </is>
      </c>
      <c r="J711" t="inlineStr"/>
      <c r="K711" t="inlineStr"/>
      <c r="L711" t="inlineStr"/>
      <c r="M711" t="inlineStr"/>
      <c r="N711" t="inlineStr"/>
      <c r="O711" t="inlineStr"/>
      <c r="P711" t="inlineStr"/>
      <c r="Q711" t="inlineStr"/>
      <c r="R711" t="inlineStr"/>
      <c r="S711" t="inlineStr"/>
      <c r="U711">
        <f>290*U710/1000</f>
        <v/>
      </c>
    </row>
    <row r="712">
      <c r="A712">
        <f>Skills!A5</f>
        <v/>
      </c>
      <c r="B712">
        <f>Skills!B5</f>
        <v/>
      </c>
      <c r="C712">
        <f>Inputs!$B$3&gt;=117</f>
        <v/>
      </c>
      <c r="D712">
        <f>IF(Skills!C5=1,60+Inputs!$B$26+Inputs!$B$30,IF(Skills!C5=2,90+Inputs!$B$27+Inputs!$B$30,IF(Skills!C5=3,120+Inputs!$B$28+Inputs!$B$30,MAX(0,(Inputs!$B$3-100)*3)+Inputs!$B$29+Inputs!$B$30)))</f>
        <v/>
      </c>
      <c r="E712">
        <f>INDEX(FactorTable!$B$2:$Y$301, MATCH(ROUND(MIN(300,MAX(1,D712)),0), FactorTable!$A$2:$A$301,0), Skills!M5+1)</f>
        <v/>
      </c>
      <c r="F712">
        <f>IF(Skills!N5=TRUE,(Skills!L5/10)*(E712/1000),Skills!L5/10)+Skills!O5</f>
        <v/>
      </c>
      <c r="G712">
        <f>Skills!G5*IF(Skills!H5&gt;0,Skills!I5/Skills!H5,1)</f>
        <v/>
      </c>
      <c r="H712">
        <f>1-(1-Skills!J5/100)^Skills!K5</f>
        <v/>
      </c>
      <c r="I712" t="inlineStr">
        <is>
          <t>1</t>
        </is>
      </c>
      <c r="J712">
        <f>((Inputs!$B$6*(1+Inputs!$B$7/100))+(((Inputs!$B$13*(1+Inputs!$B$14/100))-(Inputs!$B$13*(1+Inputs!$B$14/100)))+0.25*(Inputs!$B$15-Inputs!$B$15))*(1+Inputs!$B$7/100))*(F712/100)</f>
        <v/>
      </c>
      <c r="K712">
        <f>J712*(1+(((Inputs!$B$13+IF(Inputs!$B$3&gt;=38,(10*INDEX(FactorTable!$B$2:$Y$301, MATCH(ROUND(MIN(300,MAX(1,Inputs!$B$3)),0), FactorTable!$A$2:$A$301,0), 23)/1000)/100*(Inputs!$B$8*(1+Inputs!$B$9/100)),0))*(1+Inputs!$B$14/100))*0.01+Inputs!$B$15*0.0025)/100)*(1+Inputs!$B$16/100)*(1+Inputs!$B$17/100)*(5000/(6000+Inputs!$B$43*(1-(Inputs!$B$20+0)/100)))*(1+(Inputs!$B$25+((C732=TRUE)*(F732-Calc!F25))+((C733=TRUE)*(F733-Calc!F26))+B742)/100)*(1+(IF(Skills!A5="DARK_IMPALE",(Inputs!$B$18+1)+0,Inputs!$B$19+((C730=TRUE)*(F730-Calc!F23))))/100)*((1+(((C720=TRUE)*F720*IF(AND(Inputs!$B$39&lt;&gt;"pvp",Inputs!$B$44&gt;0),(((R720-1)*(Skills!T13*(1+Inputs!$B$35/100))+MIN((Skills!T13*(1+Inputs!$B$35/100)),MAX(0,Inputs!$B$44-((R720-1)*Skills!D13))))/Inputs!$B$44),IF(Inputs!$B$39="pvp",MIN((Skills!T13*(1+Inputs!$B$35/100)),15)/15,(Skills!T13*(1+Inputs!$B$35/100))/Skills!D13)))+((C721=TRUE)*F721*IF(AND(Inputs!$B$39&lt;&gt;"pvp",Inputs!$B$44&gt;0),(((R721-1)*(Skills!T14*(1+Inputs!$B$35/100))+MIN((Skills!T14*(1+Inputs!$B$35/100)),MAX(0,Inputs!$B$44-((R721-1)*Skills!D14))))/Inputs!$B$44),IF(Inputs!$B$39="pvp",MIN((Skills!T14*(1+Inputs!$B$35/100)),15)/15,(Skills!T14*(1+Inputs!$B$35/100))/Skills!D14)))+((C722=TRUE)*F722*IF(AND(Inputs!$B$39&lt;&gt;"pvp",Inputs!$B$44&gt;0),(((R722-1)*(Skills!T15*(1+Inputs!$B$35/100))+MIN((Skills!T15*(1+Inputs!$B$35/100)),MAX(0,Inputs!$B$44-((R722-1)*Skills!D15))))/Inputs!$B$44),IF(Inputs!$B$39="pvp",MIN((Skills!T15*(1+Inputs!$B$35/100)),15)/15,(Skills!T15*(1+Inputs!$B$35/100))/Skills!D15)))+((C723=TRUE)*F723*IF(AND(Inputs!$B$39&lt;&gt;"pvp",Inputs!$B$44&gt;0),(((R723-1)*(Skills!T16*(1+Inputs!$B$35/100))+MIN((Skills!T16*(1+Inputs!$B$35/100)),MAX(0,Inputs!$B$44-((R723-1)*Skills!D16))))/Inputs!$B$44),IF(Inputs!$B$39="pvp",MIN((Skills!T16*(1+Inputs!$B$35/100)),15)/15,(Skills!T16*(1+Inputs!$B$35/100))/Skills!D16)))+0)/100)*I712)</f>
        <v/>
      </c>
      <c r="L712">
        <f>K712*(MIN(Inputs!$B$23+((C729=TRUE)*(F729-Calc!F22)),Inputs!$B$24+((C731=TRUE)*(F731-Calc!F24)))/100+(Inputs!$B$24+((C731=TRUE)*(F731-Calc!F24)))/100)/2</f>
        <v/>
      </c>
      <c r="M712">
        <f>L712*(1+(Inputs!$B$11+0+B741)/100)</f>
        <v/>
      </c>
      <c r="N712">
        <f>L712*(1-MIN((Inputs!$B$10+0+B736),100)/100)+M712*(MIN((Inputs!$B$10+0+B736),100)/100)</f>
        <v/>
      </c>
      <c r="O712">
        <f>(1-Summary!$B$55)*T712+Summary!$B$55*V712</f>
        <v/>
      </c>
      <c r="P712">
        <f>IF(B746=0,0,O712/B746)</f>
        <v/>
      </c>
      <c r="Q712">
        <f>IFERROR(1/IF(Inputs!$B$39="pvp",15,MAX(0.1,Skills!D5-IF(Skills!E5=TRUE,Inputs!$B$33,0))),0)</f>
        <v/>
      </c>
      <c r="R712">
        <f>IF(AND(Inputs!$B$39&lt;&gt;"pvp",Inputs!$B$44&gt;0),IF(MAX(0,Inputs!$B$44-B743)&lt;=0,0,(INT(MAX(0,Inputs!$B$44-B743)/IF(Inputs!$B$39="pvp",15,MAX(0.1,Skills!D5-IF(Skills!E5=TRUE,Inputs!$B$33,0))))+1)),0)</f>
        <v/>
      </c>
      <c r="S712">
        <f>IFERROR(O712/N712,0)</f>
        <v/>
      </c>
      <c r="T712">
        <f>IF(C712,(H712*N712*IF(AND(Inputs!$B$39&lt;&gt;"pvp",Inputs!$B$44&gt;0),((Skills!G5*((R712-1)*IF(Skills!H5&gt;0,Skills!I5/Skills!H5,1)+IF(Skills!H5&gt;0,MIN(Skills!I5,MAX(0,MAX(0,Inputs!$B$44-B743)-((R712-1)*IF(Inputs!$B$39="pvp",15,MAX(0.1,Skills!D5-IF(Skills!E5=TRUE,Inputs!$B$33,0))))))/Skills!H5,1)))/Inputs!$B$44),G712*Q712))*IF(Inputs!$B$39="pvp",1,1+(Inputs!$B$21+0+Skills!P5+((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0)</f>
        <v/>
      </c>
      <c r="V712">
        <f>IF(C712,(H712*N712*IF(AND(Inputs!$B$39&lt;&gt;"pvp",Inputs!$B$44&gt;0),((Skills!G5*((R712-1)*IF(Skills!H5&gt;0,Skills!I5/Skills!H5,1)+IF(Skills!H5&gt;0,MIN(Skills!I5,MAX(0,MAX(0,Inputs!$B$44-B743)-((R712-1)*IF(Inputs!$B$39="pvp",15,MAX(0.1,Skills!D5-IF(Skills!E5=TRUE,Inputs!$B$33,0))))))/Skills!H5,1)))/Inputs!$B$44),G712*Q712))*IF(Inputs!$B$39="pvp",1,(1+(Inputs!$B$22+Skills!Q5+((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MIN(Skills!R5,Inputs!$B$38))),0)</f>
        <v/>
      </c>
    </row>
    <row r="713">
      <c r="A713">
        <f>Skills!A6</f>
        <v/>
      </c>
      <c r="B713">
        <f>Skills!B6</f>
        <v/>
      </c>
      <c r="C713">
        <f>Inputs!$B$3&gt;=103</f>
        <v/>
      </c>
      <c r="D713">
        <f>IF(Skills!C6=1,60+Inputs!$B$26+Inputs!$B$30,IF(Skills!C6=2,90+Inputs!$B$27+Inputs!$B$30,IF(Skills!C6=3,120+Inputs!$B$28+Inputs!$B$30,MAX(0,(Inputs!$B$3-100)*3)+Inputs!$B$29+Inputs!$B$30)))</f>
        <v/>
      </c>
      <c r="E713">
        <f>INDEX(FactorTable!$B$2:$Y$301, MATCH(ROUND(MIN(300,MAX(1,D713)),0), FactorTable!$A$2:$A$301,0), Skills!M6+1)</f>
        <v/>
      </c>
      <c r="F713">
        <f>IF(Skills!N6=TRUE,(Skills!L6/10)*(E713/1000),Skills!L6/10)+Skills!O6</f>
        <v/>
      </c>
      <c r="G713">
        <f>Skills!G6*IF(Skills!H6&gt;0,Skills!I6/Skills!H6,1)</f>
        <v/>
      </c>
      <c r="H713">
        <f>1-(1-Skills!J6/100)^Skills!K6</f>
        <v/>
      </c>
      <c r="I713" t="inlineStr">
        <is>
          <t>1</t>
        </is>
      </c>
      <c r="J713">
        <f>((Inputs!$B$6*(1+Inputs!$B$7/100))+(((Inputs!$B$13*(1+Inputs!$B$14/100))-(Inputs!$B$13*(1+Inputs!$B$14/100)))+0.25*(Inputs!$B$15-Inputs!$B$15))*(1+Inputs!$B$7/100))*(F713/100)</f>
        <v/>
      </c>
      <c r="K713">
        <f>J713*(1+(((Inputs!$B$13+IF(Inputs!$B$3&gt;=38,(10*INDEX(FactorTable!$B$2:$Y$301, MATCH(ROUND(MIN(300,MAX(1,Inputs!$B$3)),0), FactorTable!$A$2:$A$301,0), 23)/1000)/100*(Inputs!$B$8*(1+Inputs!$B$9/100)),0))*(1+Inputs!$B$14/100))*0.01+Inputs!$B$15*0.0025)/100)*(1+Inputs!$B$16/100)*(1+Inputs!$B$17/100)*(5000/(6000+Inputs!$B$43*(1-(Inputs!$B$20+0)/100)))*(1+(Inputs!$B$25+((C732=TRUE)*(F732-Calc!F25))+((C733=TRUE)*(F733-Calc!F26))+B742)/100)*(1+(IF(Skills!A6="DARK_IMPALE",(Inputs!$B$18+1)+0,Inputs!$B$19+((C730=TRUE)*(F730-Calc!F23))))/100)*((1+(((C720=TRUE)*F720*IF(AND(Inputs!$B$39&lt;&gt;"pvp",Inputs!$B$44&gt;0),(((R720-1)*(Skills!T13*(1+Inputs!$B$35/100))+MIN((Skills!T13*(1+Inputs!$B$35/100)),MAX(0,Inputs!$B$44-((R720-1)*Skills!D13))))/Inputs!$B$44),IF(Inputs!$B$39="pvp",MIN((Skills!T13*(1+Inputs!$B$35/100)),15)/15,(Skills!T13*(1+Inputs!$B$35/100))/Skills!D13)))+((C721=TRUE)*F721*IF(AND(Inputs!$B$39&lt;&gt;"pvp",Inputs!$B$44&gt;0),(((R721-1)*(Skills!T14*(1+Inputs!$B$35/100))+MIN((Skills!T14*(1+Inputs!$B$35/100)),MAX(0,Inputs!$B$44-((R721-1)*Skills!D14))))/Inputs!$B$44),IF(Inputs!$B$39="pvp",MIN((Skills!T14*(1+Inputs!$B$35/100)),15)/15,(Skills!T14*(1+Inputs!$B$35/100))/Skills!D14)))+((C722=TRUE)*F722*IF(AND(Inputs!$B$39&lt;&gt;"pvp",Inputs!$B$44&gt;0),(((R722-1)*(Skills!T15*(1+Inputs!$B$35/100))+MIN((Skills!T15*(1+Inputs!$B$35/100)),MAX(0,Inputs!$B$44-((R722-1)*Skills!D15))))/Inputs!$B$44),IF(Inputs!$B$39="pvp",MIN((Skills!T15*(1+Inputs!$B$35/100)),15)/15,(Skills!T15*(1+Inputs!$B$35/100))/Skills!D15)))+((C723=TRUE)*F723*IF(AND(Inputs!$B$39&lt;&gt;"pvp",Inputs!$B$44&gt;0),(((R723-1)*(Skills!T16*(1+Inputs!$B$35/100))+MIN((Skills!T16*(1+Inputs!$B$35/100)),MAX(0,Inputs!$B$44-((R723-1)*Skills!D16))))/Inputs!$B$44),IF(Inputs!$B$39="pvp",MIN((Skills!T16*(1+Inputs!$B$35/100)),15)/15,(Skills!T16*(1+Inputs!$B$35/100))/Skills!D16)))+0)/100)*I713)</f>
        <v/>
      </c>
      <c r="L713">
        <f>K713*(MIN(Inputs!$B$23+((C729=TRUE)*(F729-Calc!F22)),Inputs!$B$24+((C731=TRUE)*(F731-Calc!F24)))/100+(Inputs!$B$24+((C731=TRUE)*(F731-Calc!F24)))/100)/2</f>
        <v/>
      </c>
      <c r="M713">
        <f>L713*(1+(Inputs!$B$11+0+B741)/100)</f>
        <v/>
      </c>
      <c r="N713">
        <f>L713*(1-MIN((Inputs!$B$10+0+B736),100)/100)+M713*(MIN((Inputs!$B$10+0+B736),100)/100)</f>
        <v/>
      </c>
      <c r="O713">
        <f>(1-Summary!$B$55)*T713+Summary!$B$55*V713</f>
        <v/>
      </c>
      <c r="P713">
        <f>IF(B746=0,0,O713/B746)</f>
        <v/>
      </c>
      <c r="Q713">
        <f>IFERROR(1/IF(Inputs!$B$39="pvp",15,MAX(0.1,Skills!D6-IF(Skills!E6=TRUE,Inputs!$B$33,0))),0)</f>
        <v/>
      </c>
      <c r="R713">
        <f>IF(AND(Inputs!$B$39&lt;&gt;"pvp",Inputs!$B$44&gt;0),IF(MAX(0,Inputs!$B$44-B743)&lt;=0,0,(INT(MAX(0,Inputs!$B$44-B743)/IF(Inputs!$B$39="pvp",15,MAX(0.1,Skills!D6-IF(Skills!E6=TRUE,Inputs!$B$33,0))))+1)),0)</f>
        <v/>
      </c>
      <c r="S713">
        <f>IFERROR(O713/N713,0)</f>
        <v/>
      </c>
      <c r="T713">
        <f>IF(C713,(H713*N713*IF(AND(Inputs!$B$39&lt;&gt;"pvp",Inputs!$B$44&gt;0),((Skills!G6*((R713-1)*IF(Skills!H6&gt;0,Skills!I6/Skills!H6,1)+IF(Skills!H6&gt;0,MIN(Skills!I6,MAX(0,MAX(0,Inputs!$B$44-B743)-((R713-1)*IF(Inputs!$B$39="pvp",15,MAX(0.1,Skills!D6-IF(Skills!E6=TRUE,Inputs!$B$33,0))))))/Skills!H6,1)))/Inputs!$B$44),G713*Q713))*IF(Inputs!$B$39="pvp",1,1+(Inputs!$B$21+0+Skills!P6+((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0)</f>
        <v/>
      </c>
      <c r="V713">
        <f>IF(C713,(H713*N713*IF(AND(Inputs!$B$39&lt;&gt;"pvp",Inputs!$B$44&gt;0),((Skills!G6*((R713-1)*IF(Skills!H6&gt;0,Skills!I6/Skills!H6,1)+IF(Skills!H6&gt;0,MIN(Skills!I6,MAX(0,MAX(0,Inputs!$B$44-B743)-((R713-1)*IF(Inputs!$B$39="pvp",15,MAX(0.1,Skills!D6-IF(Skills!E6=TRUE,Inputs!$B$33,0))))))/Skills!H6,1)))/Inputs!$B$44),G713*Q713))*IF(Inputs!$B$39="pvp",1,(1+(Inputs!$B$22+Skills!Q6+((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MIN(Skills!R6,Inputs!$B$38))),0)</f>
        <v/>
      </c>
    </row>
    <row r="714">
      <c r="A714">
        <f>Skills!A7</f>
        <v/>
      </c>
      <c r="B714">
        <f>Skills!B7</f>
        <v/>
      </c>
      <c r="C714">
        <f>Inputs!$B$3&gt;=40</f>
        <v/>
      </c>
      <c r="D714">
        <f>IF(Skills!C7=1,60+Inputs!$B$26+Inputs!$B$30,IF(Skills!C7=2,90+Inputs!$B$27+Inputs!$B$30,IF(Skills!C7=3,120+Inputs!$B$28+Inputs!$B$30,MAX(0,(Inputs!$B$3-100)*3)+Inputs!$B$29+Inputs!$B$30)))</f>
        <v/>
      </c>
      <c r="E714">
        <f>INDEX(FactorTable!$B$2:$Y$301, MATCH(ROUND(MIN(300,MAX(1,D714)),0), FactorTable!$A$2:$A$301,0), Skills!M7+1)</f>
        <v/>
      </c>
      <c r="F714">
        <f>IF(Skills!N7=TRUE,(Skills!L7/10)*(E714/1000),Skills!L7/10)+Skills!O7</f>
        <v/>
      </c>
      <c r="G714">
        <f>Skills!G7*IF(Skills!H7&gt;0,Skills!I7/Skills!H7,1)</f>
        <v/>
      </c>
      <c r="H714">
        <f>1-(1-Skills!J7/100)^Skills!K7</f>
        <v/>
      </c>
      <c r="I714" t="inlineStr">
        <is>
          <t>1</t>
        </is>
      </c>
      <c r="J714">
        <f>((Inputs!$B$6*(1+Inputs!$B$7/100))+(((Inputs!$B$13*(1+Inputs!$B$14/100))-(Inputs!$B$13*(1+Inputs!$B$14/100)))+0.25*(Inputs!$B$15-Inputs!$B$15))*(1+Inputs!$B$7/100))*(F714/100)</f>
        <v/>
      </c>
      <c r="K714">
        <f>J714*(1+(((Inputs!$B$13+IF(Inputs!$B$3&gt;=38,(10*INDEX(FactorTable!$B$2:$Y$301, MATCH(ROUND(MIN(300,MAX(1,Inputs!$B$3)),0), FactorTable!$A$2:$A$301,0), 23)/1000)/100*(Inputs!$B$8*(1+Inputs!$B$9/100)),0))*(1+Inputs!$B$14/100))*0.01+Inputs!$B$15*0.0025)/100)*(1+Inputs!$B$16/100)*(1+Inputs!$B$17/100)*(5000/(6000+Inputs!$B$43*(1-(Inputs!$B$20+0)/100)))*(1+(Inputs!$B$25+((C732=TRUE)*(F732-Calc!F25))+((C733=TRUE)*(F733-Calc!F26))+B742)/100)*(1+0.75*IF(C718=TRUE,F718,0)/100)*(1+(IF(Skills!A7="DARK_IMPALE",(Inputs!$B$18+1)+0,Inputs!$B$19+((C730=TRUE)*(F730-Calc!F23))))/100)*((1+(((C720=TRUE)*F720*IF(AND(Inputs!$B$39&lt;&gt;"pvp",Inputs!$B$44&gt;0),(((R720-1)*(Skills!T13*(1+Inputs!$B$35/100))+MIN((Skills!T13*(1+Inputs!$B$35/100)),MAX(0,Inputs!$B$44-((R720-1)*Skills!D13))))/Inputs!$B$44),IF(Inputs!$B$39="pvp",MIN((Skills!T13*(1+Inputs!$B$35/100)),15)/15,(Skills!T13*(1+Inputs!$B$35/100))/Skills!D13)))+((C721=TRUE)*F721*IF(AND(Inputs!$B$39&lt;&gt;"pvp",Inputs!$B$44&gt;0),(((R721-1)*(Skills!T14*(1+Inputs!$B$35/100))+MIN((Skills!T14*(1+Inputs!$B$35/100)),MAX(0,Inputs!$B$44-((R721-1)*Skills!D14))))/Inputs!$B$44),IF(Inputs!$B$39="pvp",MIN((Skills!T14*(1+Inputs!$B$35/100)),15)/15,(Skills!T14*(1+Inputs!$B$35/100))/Skills!D14)))+((C722=TRUE)*F722*IF(AND(Inputs!$B$39&lt;&gt;"pvp",Inputs!$B$44&gt;0),(((R722-1)*(Skills!T15*(1+Inputs!$B$35/100))+MIN((Skills!T15*(1+Inputs!$B$35/100)),MAX(0,Inputs!$B$44-((R722-1)*Skills!D15))))/Inputs!$B$44),IF(Inputs!$B$39="pvp",MIN((Skills!T15*(1+Inputs!$B$35/100)),15)/15,(Skills!T15*(1+Inputs!$B$35/100))/Skills!D15)))+((C723=TRUE)*F723*IF(AND(Inputs!$B$39&lt;&gt;"pvp",Inputs!$B$44&gt;0),(((R723-1)*(Skills!T16*(1+Inputs!$B$35/100))+MIN((Skills!T16*(1+Inputs!$B$35/100)),MAX(0,Inputs!$B$44-((R723-1)*Skills!D16))))/Inputs!$B$44),IF(Inputs!$B$39="pvp",MIN((Skills!T16*(1+Inputs!$B$35/100)),15)/15,(Skills!T16*(1+Inputs!$B$35/100))/Skills!D16)))+0)/100)*I714)</f>
        <v/>
      </c>
      <c r="L714">
        <f>K714*(MIN(Inputs!$B$23+((C729=TRUE)*(F729-Calc!F22)),Inputs!$B$24+((C731=TRUE)*(F731-Calc!F24)))/100+(Inputs!$B$24+((C731=TRUE)*(F731-Calc!F24)))/100)/2</f>
        <v/>
      </c>
      <c r="M714">
        <f>L714*(1+(Inputs!$B$11+0+B741)/100)</f>
        <v/>
      </c>
      <c r="N714">
        <f>L714*(1-MIN((Inputs!$B$10+0+B736),100)/100)+M714*(MIN((Inputs!$B$10+0+B736),100)/100)</f>
        <v/>
      </c>
      <c r="O714">
        <f>(1-Summary!$B$55)*T714+Summary!$B$55*V714</f>
        <v/>
      </c>
      <c r="P714">
        <f>IF(B746=0,0,O714/B746)</f>
        <v/>
      </c>
      <c r="Q714">
        <f>IFERROR(1/IF(Inputs!$B$39="pvp",15,MAX(0.1,Skills!D7-IF(Skills!E7=TRUE,Inputs!$B$33,0))),0)</f>
        <v/>
      </c>
      <c r="R714">
        <f>IF(AND(Inputs!$B$39&lt;&gt;"pvp",Inputs!$B$44&gt;0),IF(MAX(0,Inputs!$B$44-B743)&lt;=0,0,(INT(MAX(0,Inputs!$B$44-B743)/IF(Inputs!$B$39="pvp",15,MAX(0.1,Skills!D7-IF(Skills!E7=TRUE,Inputs!$B$33,0))))+1)),0)</f>
        <v/>
      </c>
      <c r="S714">
        <f>IFERROR(O714/N714,0)</f>
        <v/>
      </c>
      <c r="T714">
        <f>IF(C714,(H714*N714*IF(AND(Inputs!$B$39&lt;&gt;"pvp",Inputs!$B$44&gt;0),((Skills!G7*((R714-1)*IF(Skills!H7&gt;0,Skills!I7/Skills!H7,1)+IF(Skills!H7&gt;0,MIN(Skills!I7,MAX(0,MAX(0,Inputs!$B$44-B743)-((R714-1)*IF(Inputs!$B$39="pvp",15,MAX(0.1,Skills!D7-IF(Skills!E7=TRUE,Inputs!$B$33,0))))))/Skills!H7,1)))/Inputs!$B$44),G714*Q714))*IF(Inputs!$B$39="pvp",1,1+(Inputs!$B$21+0+Skills!P7+((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0)</f>
        <v/>
      </c>
      <c r="V714">
        <f>IF(C714,(H714*N714*IF(AND(Inputs!$B$39&lt;&gt;"pvp",Inputs!$B$44&gt;0),((Skills!G7*((R714-1)*IF(Skills!H7&gt;0,Skills!I7/Skills!H7,1)+IF(Skills!H7&gt;0,MIN(Skills!I7,MAX(0,MAX(0,Inputs!$B$44-B743)-((R714-1)*IF(Inputs!$B$39="pvp",15,MAX(0.1,Skills!D7-IF(Skills!E7=TRUE,Inputs!$B$33,0))))))/Skills!H7,1)))/Inputs!$B$44),G714*Q714))*IF(Inputs!$B$39="pvp",1,(1+(Inputs!$B$22+Skills!Q7+((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MIN(Skills!R7,Inputs!$B$38))),0)</f>
        <v/>
      </c>
    </row>
    <row r="715">
      <c r="A715">
        <f>Skills!A8</f>
        <v/>
      </c>
      <c r="B715">
        <f>Skills!B8</f>
        <v/>
      </c>
      <c r="C715">
        <f>Inputs!$B$3&gt;=75</f>
        <v/>
      </c>
      <c r="D715">
        <f>IF(Skills!C8=1,60+Inputs!$B$26+Inputs!$B$30,IF(Skills!C8=2,90+Inputs!$B$27+Inputs!$B$30,IF(Skills!C8=3,120+Inputs!$B$28+Inputs!$B$30,MAX(0,(Inputs!$B$3-100)*3)+Inputs!$B$29+Inputs!$B$30)))</f>
        <v/>
      </c>
      <c r="E715">
        <f>INDEX(FactorTable!$B$2:$Y$301, MATCH(ROUND(MIN(300,MAX(1,D715)),0), FactorTable!$A$2:$A$301,0), Skills!M8+1)</f>
        <v/>
      </c>
      <c r="F715">
        <f>IF(Skills!N8=TRUE,(Skills!L8/10)*(E715/1000),Skills!L8/10)+Skills!O8</f>
        <v/>
      </c>
      <c r="G715" t="inlineStr"/>
      <c r="H715" t="inlineStr"/>
      <c r="I715" t="inlineStr">
        <is>
          <t>1</t>
        </is>
      </c>
      <c r="J715" t="inlineStr"/>
      <c r="K715" t="inlineStr"/>
      <c r="L715" t="inlineStr"/>
      <c r="M715" t="inlineStr"/>
      <c r="N715" t="inlineStr"/>
      <c r="O715" t="inlineStr"/>
      <c r="P715" t="inlineStr"/>
      <c r="Q715" t="inlineStr"/>
      <c r="R715" t="inlineStr"/>
      <c r="S715" t="inlineStr"/>
    </row>
    <row r="716">
      <c r="A716">
        <f>Skills!A9</f>
        <v/>
      </c>
      <c r="B716">
        <f>Skills!B9</f>
        <v/>
      </c>
      <c r="C716">
        <f>Inputs!$B$3&gt;=60</f>
        <v/>
      </c>
      <c r="D716">
        <f>IF(Skills!C9=1,60+Inputs!$B$26+Inputs!$B$30,IF(Skills!C9=2,90+Inputs!$B$27+Inputs!$B$30,IF(Skills!C9=3,120+Inputs!$B$28+Inputs!$B$30,MAX(0,(Inputs!$B$3-100)*3)+Inputs!$B$29+Inputs!$B$30)))</f>
        <v/>
      </c>
      <c r="E716">
        <f>INDEX(FactorTable!$B$2:$Y$301, MATCH(ROUND(MIN(300,MAX(1,D716)),0), FactorTable!$A$2:$A$301,0), Skills!M9+1)</f>
        <v/>
      </c>
      <c r="F716">
        <f>IF(Skills!N9=TRUE,(Skills!L9/10)*(E716/1000),Skills!L9/10)+Skills!O9</f>
        <v/>
      </c>
      <c r="G716">
        <f>Skills!G9*IF(Skills!H9&gt;0,Skills!I9/Skills!H9,1)</f>
        <v/>
      </c>
      <c r="H716">
        <f>1-(1-Skills!J9/100)^Skills!K9</f>
        <v/>
      </c>
      <c r="I716" t="inlineStr">
        <is>
          <t>1</t>
        </is>
      </c>
      <c r="J716">
        <f>((Inputs!$B$6*(1+Inputs!$B$7/100))+(((Inputs!$B$13*(1+Inputs!$B$14/100))-(Inputs!$B$13*(1+Inputs!$B$14/100)))+0.25*(Inputs!$B$15-Inputs!$B$15))*(1+Inputs!$B$7/100))*(F716/100)</f>
        <v/>
      </c>
      <c r="K716">
        <f>J716*(1+(((Inputs!$B$13+IF(Inputs!$B$3&gt;=38,(10*INDEX(FactorTable!$B$2:$Y$301, MATCH(ROUND(MIN(300,MAX(1,Inputs!$B$3)),0), FactorTable!$A$2:$A$301,0), 23)/1000)/100*(Inputs!$B$8*(1+Inputs!$B$9/100)),0))*(1+Inputs!$B$14/100))*0.01+Inputs!$B$15*0.0025)/100)*(1+Inputs!$B$16/100)*(1+Inputs!$B$17/100)*(5000/(6000+Inputs!$B$43*(1-(Inputs!$B$20+0)/100)))*(1+(Inputs!$B$25+((C732=TRUE)*(F732-Calc!F25))+((C733=TRUE)*(F733-Calc!F26))+B742)/100)*(1+1.0*IF(C718=TRUE,F718,0)/100)*(1+(IF(Skills!A9="DARK_IMPALE",(Inputs!$B$18+1)+0,Inputs!$B$19+((C730=TRUE)*(F730-Calc!F23))))/100)*((1+(((C720=TRUE)*F720*IF(AND(Inputs!$B$39&lt;&gt;"pvp",Inputs!$B$44&gt;0),(((R720-1)*(Skills!T13*(1+Inputs!$B$35/100))+MIN((Skills!T13*(1+Inputs!$B$35/100)),MAX(0,Inputs!$B$44-((R720-1)*Skills!D13))))/Inputs!$B$44),IF(Inputs!$B$39="pvp",MIN((Skills!T13*(1+Inputs!$B$35/100)),15)/15,(Skills!T13*(1+Inputs!$B$35/100))/Skills!D13)))+((C721=TRUE)*F721*IF(AND(Inputs!$B$39&lt;&gt;"pvp",Inputs!$B$44&gt;0),(((R721-1)*(Skills!T14*(1+Inputs!$B$35/100))+MIN((Skills!T14*(1+Inputs!$B$35/100)),MAX(0,Inputs!$B$44-((R721-1)*Skills!D14))))/Inputs!$B$44),IF(Inputs!$B$39="pvp",MIN((Skills!T14*(1+Inputs!$B$35/100)),15)/15,(Skills!T14*(1+Inputs!$B$35/100))/Skills!D14)))+((C722=TRUE)*F722*IF(AND(Inputs!$B$39&lt;&gt;"pvp",Inputs!$B$44&gt;0),(((R722-1)*(Skills!T15*(1+Inputs!$B$35/100))+MIN((Skills!T15*(1+Inputs!$B$35/100)),MAX(0,Inputs!$B$44-((R722-1)*Skills!D15))))/Inputs!$B$44),IF(Inputs!$B$39="pvp",MIN((Skills!T15*(1+Inputs!$B$35/100)),15)/15,(Skills!T15*(1+Inputs!$B$35/100))/Skills!D15)))+((C723=TRUE)*F723*IF(AND(Inputs!$B$39&lt;&gt;"pvp",Inputs!$B$44&gt;0),(((R723-1)*(Skills!T16*(1+Inputs!$B$35/100))+MIN((Skills!T16*(1+Inputs!$B$35/100)),MAX(0,Inputs!$B$44-((R723-1)*Skills!D16))))/Inputs!$B$44),IF(Inputs!$B$39="pvp",MIN((Skills!T16*(1+Inputs!$B$35/100)),15)/15,(Skills!T16*(1+Inputs!$B$35/100))/Skills!D16)))+0)/100)*I716)</f>
        <v/>
      </c>
      <c r="L716">
        <f>K716*(MIN(Inputs!$B$23+((C729=TRUE)*(F729-Calc!F22)),Inputs!$B$24+((C731=TRUE)*(F731-Calc!F24)))/100+(Inputs!$B$24+((C731=TRUE)*(F731-Calc!F24)))/100)/2</f>
        <v/>
      </c>
      <c r="M716">
        <f>L716*(1+(Inputs!$B$11+0+B741)/100)</f>
        <v/>
      </c>
      <c r="N716">
        <f>L716*(1-MIN((Inputs!$B$10+0+B736),100)/100)+M716*(MIN((Inputs!$B$10+0+B736),100)/100)</f>
        <v/>
      </c>
      <c r="O716">
        <f>(1-Summary!$B$55)*T716+Summary!$B$55*V716</f>
        <v/>
      </c>
      <c r="P716">
        <f>IF(B746=0,0,O716/B746)</f>
        <v/>
      </c>
      <c r="Q716">
        <f>IFERROR(1/IF(Inputs!$B$39="pvp",15,MAX(0.1,Skills!D9-IF(Skills!E9=TRUE,Inputs!$B$33,0))),0)</f>
        <v/>
      </c>
      <c r="R716">
        <f>IF(AND(Inputs!$B$39&lt;&gt;"pvp",Inputs!$B$44&gt;0),IF(MAX(0,Inputs!$B$44-B743)&lt;=0,0,(INT(MAX(0,Inputs!$B$44-B743)/IF(Inputs!$B$39="pvp",15,MAX(0.1,Skills!D9-IF(Skills!E9=TRUE,Inputs!$B$33,0))))+1)),0)</f>
        <v/>
      </c>
      <c r="S716">
        <f>IFERROR(O716/N716,0)</f>
        <v/>
      </c>
      <c r="T716">
        <f>IF(C716,(H716*N716*IF(AND(Inputs!$B$39&lt;&gt;"pvp",Inputs!$B$44&gt;0),((Skills!G9*((R716-1)*IF(Skills!H9&gt;0,Skills!I9/Skills!H9,1)+IF(Skills!H9&gt;0,MIN(Skills!I9,MAX(0,MAX(0,Inputs!$B$44-B743)-((R716-1)*IF(Inputs!$B$39="pvp",15,MAX(0.1,Skills!D9-IF(Skills!E9=TRUE,Inputs!$B$33,0))))))/Skills!H9,1)))/Inputs!$B$44),G716*Q716))*IF(Inputs!$B$39="pvp",1,1+(Inputs!$B$21+0+Skills!P9+((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0)</f>
        <v/>
      </c>
      <c r="V716">
        <f>IF(C716,(H716*N716*IF(AND(Inputs!$B$39&lt;&gt;"pvp",Inputs!$B$44&gt;0),((Skills!G9*((R716-1)*IF(Skills!H9&gt;0,Skills!I9/Skills!H9,1)+IF(Skills!H9&gt;0,MIN(Skills!I9,MAX(0,MAX(0,Inputs!$B$44-B743)-((R716-1)*IF(Inputs!$B$39="pvp",15,MAX(0.1,Skills!D9-IF(Skills!E9=TRUE,Inputs!$B$33,0))))))/Skills!H9,1)))/Inputs!$B$44),G716*Q716))*IF(Inputs!$B$39="pvp",1,(1+(Inputs!$B$22+Skills!Q9+((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MIN(Skills!R9,Inputs!$B$38))),0)</f>
        <v/>
      </c>
    </row>
    <row r="717">
      <c r="A717">
        <f>Skills!A10</f>
        <v/>
      </c>
      <c r="B717">
        <f>Skills!B10</f>
        <v/>
      </c>
      <c r="C717">
        <f>Inputs!$B$3&gt;=110</f>
        <v/>
      </c>
      <c r="D717">
        <f>IF(Skills!C10=1,60+Inputs!$B$26+Inputs!$B$30,IF(Skills!C10=2,90+Inputs!$B$27+Inputs!$B$30,IF(Skills!C10=3,120+Inputs!$B$28+Inputs!$B$30,MAX(0,(Inputs!$B$3-100)*3)+Inputs!$B$29+Inputs!$B$30)))</f>
        <v/>
      </c>
      <c r="E717">
        <f>INDEX(FactorTable!$B$2:$Y$301, MATCH(ROUND(MIN(300,MAX(1,D717)),0), FactorTable!$A$2:$A$301,0), Skills!M10+1)</f>
        <v/>
      </c>
      <c r="F717">
        <f>IF(Skills!N10=TRUE,(Skills!L10/10)*(E717/1000),Skills!L10/10)+Skills!O10</f>
        <v/>
      </c>
      <c r="G717">
        <f>Skills!G10*IF(Skills!H10&gt;0,Skills!I10/Skills!H10,1)</f>
        <v/>
      </c>
      <c r="H717">
        <f>1-(1-Skills!J10/100)^Skills!K10</f>
        <v/>
      </c>
      <c r="I717" t="inlineStr">
        <is>
          <t>1</t>
        </is>
      </c>
      <c r="J717">
        <f>((Inputs!$B$6*(1+Inputs!$B$7/100))+(((Inputs!$B$13*(1+Inputs!$B$14/100))-(Inputs!$B$13*(1+Inputs!$B$14/100)))+0.25*(Inputs!$B$15-Inputs!$B$15))*(1+Inputs!$B$7/100))*(F717/100)</f>
        <v/>
      </c>
      <c r="K717">
        <f>J717*(1+(((Inputs!$B$13+IF(Inputs!$B$3&gt;=38,(10*INDEX(FactorTable!$B$2:$Y$301, MATCH(ROUND(MIN(300,MAX(1,Inputs!$B$3)),0), FactorTable!$A$2:$A$301,0), 23)/1000)/100*(Inputs!$B$8*(1+Inputs!$B$9/100)),0))*(1+Inputs!$B$14/100))*0.01+Inputs!$B$15*0.0025)/100)*(1+Inputs!$B$16/100)*(1+Inputs!$B$17/100)*(5000/(6000+Inputs!$B$43*(1-(Inputs!$B$20+0)/100)))*(1+(Inputs!$B$25+((C732=TRUE)*(F732-Calc!F25))+((C733=TRUE)*(F733-Calc!F26))+B742)/100)*(1+(IF(Skills!A10="DARK_IMPALE",(Inputs!$B$18+1)+0,Inputs!$B$19+((C730=TRUE)*(F730-Calc!F23))))/100)*((1+(((C720=TRUE)*F720*IF(AND(Inputs!$B$39&lt;&gt;"pvp",Inputs!$B$44&gt;0),(((R720-1)*(Skills!T13*(1+Inputs!$B$35/100))+MIN((Skills!T13*(1+Inputs!$B$35/100)),MAX(0,Inputs!$B$44-((R720-1)*Skills!D13))))/Inputs!$B$44),IF(Inputs!$B$39="pvp",MIN((Skills!T13*(1+Inputs!$B$35/100)),15)/15,(Skills!T13*(1+Inputs!$B$35/100))/Skills!D13)))+((C721=TRUE)*F721*IF(AND(Inputs!$B$39&lt;&gt;"pvp",Inputs!$B$44&gt;0),(((R721-1)*(Skills!T14*(1+Inputs!$B$35/100))+MIN((Skills!T14*(1+Inputs!$B$35/100)),MAX(0,Inputs!$B$44-((R721-1)*Skills!D14))))/Inputs!$B$44),IF(Inputs!$B$39="pvp",MIN((Skills!T14*(1+Inputs!$B$35/100)),15)/15,(Skills!T14*(1+Inputs!$B$35/100))/Skills!D14)))+((C722=TRUE)*F722*IF(AND(Inputs!$B$39&lt;&gt;"pvp",Inputs!$B$44&gt;0),(((R722-1)*(Skills!T15*(1+Inputs!$B$35/100))+MIN((Skills!T15*(1+Inputs!$B$35/100)),MAX(0,Inputs!$B$44-((R722-1)*Skills!D15))))/Inputs!$B$44),IF(Inputs!$B$39="pvp",MIN((Skills!T15*(1+Inputs!$B$35/100)),15)/15,(Skills!T15*(1+Inputs!$B$35/100))/Skills!D15)))+((C723=TRUE)*F723*IF(AND(Inputs!$B$39&lt;&gt;"pvp",Inputs!$B$44&gt;0),(((R723-1)*(Skills!T16*(1+Inputs!$B$35/100))+MIN((Skills!T16*(1+Inputs!$B$35/100)),MAX(0,Inputs!$B$44-((R723-1)*Skills!D16))))/Inputs!$B$44),IF(Inputs!$B$39="pvp",MIN((Skills!T16*(1+Inputs!$B$35/100)),15)/15,(Skills!T16*(1+Inputs!$B$35/100))/Skills!D16)))+0)/100)*I717)</f>
        <v/>
      </c>
      <c r="L717">
        <f>K717*(MIN(Inputs!$B$23+((C729=TRUE)*(F729-Calc!F22)),Inputs!$B$24+((C731=TRUE)*(F731-Calc!F24)))/100+(Inputs!$B$24+((C731=TRUE)*(F731-Calc!F24)))/100)/2</f>
        <v/>
      </c>
      <c r="M717">
        <f>L717*(1+(Inputs!$B$11+0+B741)/100)</f>
        <v/>
      </c>
      <c r="N717">
        <f>L717*(1-MIN((Inputs!$B$10+0+B736),100)/100)+M717*(MIN((Inputs!$B$10+0+B736),100)/100)</f>
        <v/>
      </c>
      <c r="O717">
        <f>(1-Summary!$B$55)*T717+Summary!$B$55*V717</f>
        <v/>
      </c>
      <c r="P717">
        <f>IF(B746=0,0,O717/B746)</f>
        <v/>
      </c>
      <c r="Q717">
        <f>IFERROR(1/IF(Inputs!$B$39="pvp",15,MAX(0.1,Skills!D10-IF(Skills!E10=TRUE,Inputs!$B$33,0))),0)</f>
        <v/>
      </c>
      <c r="R717">
        <f>IF(AND(Inputs!$B$39&lt;&gt;"pvp",Inputs!$B$44&gt;0),IF(MAX(0,Inputs!$B$44-B743)&lt;=0,0,(INT(MAX(0,Inputs!$B$44-B743)/IF(Inputs!$B$39="pvp",15,MAX(0.1,Skills!D10-IF(Skills!E10=TRUE,Inputs!$B$33,0))))+1)),0)</f>
        <v/>
      </c>
      <c r="S717">
        <f>IFERROR(O717/N717,0)</f>
        <v/>
      </c>
      <c r="T717">
        <f>IF(C717,(H717*N717*IF(AND(Inputs!$B$39&lt;&gt;"pvp",Inputs!$B$44&gt;0),((Skills!G10*((R717-1)*IF(Skills!H10&gt;0,Skills!I10/Skills!H10,1)+IF(Skills!H10&gt;0,MIN(Skills!I10,MAX(0,MAX(0,Inputs!$B$44-B743)-((R717-1)*IF(Inputs!$B$39="pvp",15,MAX(0.1,Skills!D10-IF(Skills!E10=TRUE,Inputs!$B$33,0))))))/Skills!H10,1)))/Inputs!$B$44),G717*Q717))*IF(Inputs!$B$39="pvp",1,1+(Inputs!$B$21+0+Skills!P10+((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0)</f>
        <v/>
      </c>
      <c r="V717">
        <f>IF(C717,(H717*N717*IF(AND(Inputs!$B$39&lt;&gt;"pvp",Inputs!$B$44&gt;0),((Skills!G10*((R717-1)*IF(Skills!H10&gt;0,Skills!I10/Skills!H10,1)+IF(Skills!H10&gt;0,MIN(Skills!I10,MAX(0,MAX(0,Inputs!$B$44-B743)-((R717-1)*IF(Inputs!$B$39="pvp",15,MAX(0.1,Skills!D10-IF(Skills!E10=TRUE,Inputs!$B$33,0))))))/Skills!H10,1)))/Inputs!$B$44),G717*Q717))*IF(Inputs!$B$39="pvp",1,(1+(Inputs!$B$22+Skills!Q10+((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MIN(Skills!R10,Inputs!$B$38))),0)</f>
        <v/>
      </c>
    </row>
    <row r="718">
      <c r="A718">
        <f>Skills!A11</f>
        <v/>
      </c>
      <c r="B718">
        <f>Skills!B11</f>
        <v/>
      </c>
      <c r="C718">
        <f>Inputs!$B$3&gt;=100</f>
        <v/>
      </c>
      <c r="D718">
        <f>IF(Skills!C11=1,60+Inputs!$B$26+Inputs!$B$30,IF(Skills!C11=2,90+Inputs!$B$27+Inputs!$B$30,IF(Skills!C11=3,120+Inputs!$B$28+Inputs!$B$30,MAX(0,(Inputs!$B$3-100)*3)+Inputs!$B$29+Inputs!$B$30)))</f>
        <v/>
      </c>
      <c r="E718">
        <f>INDEX(FactorTable!$B$2:$Y$301, MATCH(ROUND(MIN(300,MAX(1,D718)),0), FactorTable!$A$2:$A$301,0), Skills!M11+1)</f>
        <v/>
      </c>
      <c r="F718">
        <f>IF(Skills!N11=TRUE,(Skills!L11/10)*(E718/1000),Skills!L11/10)+Skills!O11</f>
        <v/>
      </c>
      <c r="G718" t="inlineStr"/>
      <c r="H718" t="inlineStr"/>
      <c r="I718" t="inlineStr">
        <is>
          <t>1</t>
        </is>
      </c>
      <c r="J718" t="inlineStr"/>
      <c r="K718" t="inlineStr"/>
      <c r="L718" t="inlineStr"/>
      <c r="M718" t="inlineStr"/>
      <c r="N718" t="inlineStr"/>
      <c r="O718" t="inlineStr"/>
      <c r="P718" t="inlineStr"/>
      <c r="Q718" t="inlineStr"/>
      <c r="R718" t="inlineStr"/>
      <c r="S718" t="inlineStr"/>
    </row>
    <row r="719">
      <c r="A719">
        <f>Skills!A12</f>
        <v/>
      </c>
      <c r="B719">
        <f>Skills!B12</f>
        <v/>
      </c>
      <c r="C719">
        <f>Inputs!$B$3&gt;=63</f>
        <v/>
      </c>
      <c r="D719">
        <f>IF(Skills!C12=1,60+Inputs!$B$26+Inputs!$B$30,IF(Skills!C12=2,90+Inputs!$B$27+Inputs!$B$30,IF(Skills!C12=3,120+Inputs!$B$28+Inputs!$B$30,MAX(0,(Inputs!$B$3-100)*3)+Inputs!$B$29+Inputs!$B$30)))</f>
        <v/>
      </c>
      <c r="E719">
        <f>INDEX(FactorTable!$B$2:$Y$301, MATCH(ROUND(MIN(300,MAX(1,D719)),0), FactorTable!$A$2:$A$301,0), Skills!M12+1)</f>
        <v/>
      </c>
      <c r="F719">
        <f>IF(Skills!N12=TRUE,(Skills!L12/10)*(E719/1000),Skills!L12/10)+Skills!O12</f>
        <v/>
      </c>
      <c r="G719">
        <f>Skills!G12*IF(Skills!H12&gt;0,Skills!I12/Skills!H12,1)</f>
        <v/>
      </c>
      <c r="H719">
        <f>1-(1-Skills!J12/100)^Skills!K12</f>
        <v/>
      </c>
      <c r="I719" t="inlineStr">
        <is>
          <t>1</t>
        </is>
      </c>
      <c r="J719">
        <f>((Inputs!$B$6*(1+Inputs!$B$7/100))+(((Inputs!$B$13*(1+Inputs!$B$14/100))-(Inputs!$B$13*(1+Inputs!$B$14/100)))+0.25*(Inputs!$B$15-Inputs!$B$15))*(1+Inputs!$B$7/100))*(F719/100)</f>
        <v/>
      </c>
      <c r="K719">
        <f>J719*(1+(((Inputs!$B$13+IF(Inputs!$B$3&gt;=38,(10*INDEX(FactorTable!$B$2:$Y$301, MATCH(ROUND(MIN(300,MAX(1,Inputs!$B$3)),0), FactorTable!$A$2:$A$301,0), 23)/1000)/100*(Inputs!$B$8*(1+Inputs!$B$9/100)),0))*(1+Inputs!$B$14/100))*0.01+Inputs!$B$15*0.0025)/100)*(1+Inputs!$B$16/100)*(1+Inputs!$B$17/100)*(5000/(6000+Inputs!$B$43*(1-(Inputs!$B$20+0)/100)))*(1+(Inputs!$B$25+((C732=TRUE)*(F732-Calc!F25))+((C733=TRUE)*(F733-Calc!F26))+B742)/100)*(1+0.75*IF(C718=TRUE,F718,0)/100)*(1+(IF(Skills!A12="DARK_IMPALE",(Inputs!$B$18+1)+0,Inputs!$B$19+((C730=TRUE)*(F730-Calc!F23))))/100)*((1+(((C720=TRUE)*F720*IF(AND(Inputs!$B$39&lt;&gt;"pvp",Inputs!$B$44&gt;0),(((R720-1)*(Skills!T13*(1+Inputs!$B$35/100))+MIN((Skills!T13*(1+Inputs!$B$35/100)),MAX(0,Inputs!$B$44-((R720-1)*Skills!D13))))/Inputs!$B$44),IF(Inputs!$B$39="pvp",MIN((Skills!T13*(1+Inputs!$B$35/100)),15)/15,(Skills!T13*(1+Inputs!$B$35/100))/Skills!D13)))+((C721=TRUE)*F721*IF(AND(Inputs!$B$39&lt;&gt;"pvp",Inputs!$B$44&gt;0),(((R721-1)*(Skills!T14*(1+Inputs!$B$35/100))+MIN((Skills!T14*(1+Inputs!$B$35/100)),MAX(0,Inputs!$B$44-((R721-1)*Skills!D14))))/Inputs!$B$44),IF(Inputs!$B$39="pvp",MIN((Skills!T14*(1+Inputs!$B$35/100)),15)/15,(Skills!T14*(1+Inputs!$B$35/100))/Skills!D14)))+((C722=TRUE)*F722*IF(AND(Inputs!$B$39&lt;&gt;"pvp",Inputs!$B$44&gt;0),(((R722-1)*(Skills!T15*(1+Inputs!$B$35/100))+MIN((Skills!T15*(1+Inputs!$B$35/100)),MAX(0,Inputs!$B$44-((R722-1)*Skills!D15))))/Inputs!$B$44),IF(Inputs!$B$39="pvp",MIN((Skills!T15*(1+Inputs!$B$35/100)),15)/15,(Skills!T15*(1+Inputs!$B$35/100))/Skills!D15)))+((C723=TRUE)*F723*IF(AND(Inputs!$B$39&lt;&gt;"pvp",Inputs!$B$44&gt;0),(((R723-1)*(Skills!T16*(1+Inputs!$B$35/100))+MIN((Skills!T16*(1+Inputs!$B$35/100)),MAX(0,Inputs!$B$44-((R723-1)*Skills!D16))))/Inputs!$B$44),IF(Inputs!$B$39="pvp",MIN((Skills!T16*(1+Inputs!$B$35/100)),15)/15,(Skills!T16*(1+Inputs!$B$35/100))/Skills!D16)))+0)/100)*I719)</f>
        <v/>
      </c>
      <c r="L719">
        <f>K719*(MIN(Inputs!$B$23+((C729=TRUE)*(F729-Calc!F22)),Inputs!$B$24+((C731=TRUE)*(F731-Calc!F24)))/100+(Inputs!$B$24+((C731=TRUE)*(F731-Calc!F24)))/100)/2</f>
        <v/>
      </c>
      <c r="M719">
        <f>L719*(1+(Inputs!$B$11+0+B741)/100)</f>
        <v/>
      </c>
      <c r="N719">
        <f>L719*(1-MIN((Inputs!$B$10+0+B736),100)/100)+M719*(MIN((Inputs!$B$10+0+B736),100)/100)</f>
        <v/>
      </c>
      <c r="O719">
        <f>(1-Summary!$B$55)*T719+Summary!$B$55*V719</f>
        <v/>
      </c>
      <c r="P719">
        <f>IF(B746=0,0,O719/B746)</f>
        <v/>
      </c>
      <c r="Q719">
        <f>IFERROR(1/IF(Inputs!$B$39="pvp",15,MAX(0.1,Skills!D12-IF(Skills!E12=TRUE,Inputs!$B$33,0))),0)</f>
        <v/>
      </c>
      <c r="R719">
        <f>IF(AND(Inputs!$B$39&lt;&gt;"pvp",Inputs!$B$44&gt;0),IF(MAX(0,Inputs!$B$44-B743)&lt;=0,0,(INT(MAX(0,Inputs!$B$44-B743)/IF(Inputs!$B$39="pvp",15,MAX(0.1,Skills!D12-IF(Skills!E12=TRUE,Inputs!$B$33,0))))+1)),0)</f>
        <v/>
      </c>
      <c r="S719">
        <f>IFERROR(O719/N719,0)</f>
        <v/>
      </c>
      <c r="T719">
        <f>IF(C719,(H719*N719*IF(AND(Inputs!$B$39&lt;&gt;"pvp",Inputs!$B$44&gt;0),((Skills!G12*((R719-1)*IF(Skills!H12&gt;0,Skills!I12/Skills!H12,1)+IF(Skills!H12&gt;0,MIN(Skills!I12,MAX(0,MAX(0,Inputs!$B$44-B743)-((R719-1)*IF(Inputs!$B$39="pvp",15,MAX(0.1,Skills!D12-IF(Skills!E12=TRUE,Inputs!$B$33,0))))))/Skills!H12,1)))/Inputs!$B$44),G719*Q719))*IF(Inputs!$B$39="pvp",1,1+(Inputs!$B$21+0+Skills!P12+((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0)</f>
        <v/>
      </c>
      <c r="V719">
        <f>IF(C719,(H719*N719*IF(AND(Inputs!$B$39&lt;&gt;"pvp",Inputs!$B$44&gt;0),((Skills!G12*((R719-1)*IF(Skills!H12&gt;0,Skills!I12/Skills!H12,1)+IF(Skills!H12&gt;0,MIN(Skills!I12,MAX(0,MAX(0,Inputs!$B$44-B743)-((R719-1)*IF(Inputs!$B$39="pvp",15,MAX(0.1,Skills!D12-IF(Skills!E12=TRUE,Inputs!$B$33,0))))))/Skills!H12,1)))/Inputs!$B$44),G719*Q719))*IF(Inputs!$B$39="pvp",1,(1+(Inputs!$B$22+Skills!Q12+((C724=TRUE)*F724*IF(AND(Inputs!$B$39&lt;&gt;"pvp",Inputs!$B$44&gt;0),(((R724-1)*(Skills!T17*(1+Inputs!$B$35/100))+MIN((Skills!T17*(1+Inputs!$B$35/100)),MAX(0,Inputs!$B$44-((R724-1)*Skills!D17))))/Inputs!$B$44),IF(Inputs!$B$39="pvp",MIN((Skills!T17*(1+Inputs!$B$35/100)),15)/15,(Skills!T17*(1+Inputs!$B$35/100))/Skills!D17)))+((C721=TRUE)*IF(Inputs!$B$39="pvp",20,(1-Summary!$B$55)*(20)+Summary!$B$55*(0))*IF(AND(Inputs!$B$39&lt;&gt;"pvp",Inputs!$B$44&gt;0),(((R721-1)*(Skills!T14*(1+Inputs!$B$35/100))+MIN((Skills!T14*(1+Inputs!$B$35/100)),MAX(0,Inputs!$B$44-((R721-1)*Skills!D14))))/Inputs!$B$44),IF(Inputs!$B$39="pvp",MIN((Skills!T14*(1+Inputs!$B$35/100)),15)/15,(Skills!T14*(1+Inputs!$B$35/100))/Skills!D14))))/100)*(MIN(Skills!R12,Inputs!$B$38))),0)</f>
        <v/>
      </c>
    </row>
    <row r="720">
      <c r="A720">
        <f>Skills!A13</f>
        <v/>
      </c>
      <c r="B720">
        <f>Skills!B13</f>
        <v/>
      </c>
      <c r="C720">
        <f>Inputs!$B$3&gt;=69</f>
        <v/>
      </c>
      <c r="D720">
        <f>IF(Skills!C13=1,60+Inputs!$B$26+Inputs!$B$30,IF(Skills!C13=2,90+Inputs!$B$27+Inputs!$B$30,IF(Skills!C13=3,120+Inputs!$B$28+Inputs!$B$30,MAX(0,(Inputs!$B$3-100)*3)+Inputs!$B$29+Inputs!$B$30)))</f>
        <v/>
      </c>
      <c r="E720">
        <f>INDEX(FactorTable!$B$2:$Y$301, MATCH(ROUND(MIN(300,MAX(1,D720)),0), FactorTable!$A$2:$A$301,0), Skills!M13+1)</f>
        <v/>
      </c>
      <c r="F720">
        <f>IF(Skills!N13=TRUE,(Skills!L13/10)*(E720/1000),Skills!L13/10)+Skills!O13</f>
        <v/>
      </c>
      <c r="G720">
        <f>Skills!G13*IF(Skills!H13&gt;0,Skills!I13/Skills!H13,1)</f>
        <v/>
      </c>
      <c r="H720">
        <f>1-(1-Skills!J13/100)^Skills!K13</f>
        <v/>
      </c>
      <c r="I720" t="inlineStr">
        <is>
          <t>1</t>
        </is>
      </c>
      <c r="J720" t="inlineStr"/>
      <c r="K720" t="inlineStr"/>
      <c r="L720" t="inlineStr"/>
      <c r="M720" t="inlineStr"/>
      <c r="N720" t="inlineStr"/>
      <c r="O720">
        <f>(1-Summary!$B$55)*T720+Summary!$B$55*V720</f>
        <v/>
      </c>
      <c r="P720">
        <f>IF(B746=0,0,O720/B746)</f>
        <v/>
      </c>
      <c r="Q720">
        <f>IFERROR(1/IF(Inputs!$B$39="pvp",15,MAX(0.1,Skills!D13-IF(Skills!E13=TRUE,Inputs!$B$33,0))),0)</f>
        <v/>
      </c>
      <c r="R720">
        <f>IF(AND(Inputs!$B$39&lt;&gt;"pvp",Inputs!$B$44&gt;0),IF(Inputs!$B$44&lt;=0,0,(INT(Inputs!$B$44/IF(Inputs!$B$39="pvp",15,MAX(0.1,Skills!D13-IF(Skills!E13=TRUE,Inputs!$B$33,0))))+1)),0)</f>
        <v/>
      </c>
      <c r="S720">
        <f>IFERROR(O720/N720,0)</f>
        <v/>
      </c>
      <c r="T720" t="n">
        <v>0</v>
      </c>
      <c r="V720" t="n">
        <v>0</v>
      </c>
    </row>
    <row r="721">
      <c r="A721">
        <f>Skills!A14</f>
        <v/>
      </c>
      <c r="B721">
        <f>Skills!B14</f>
        <v/>
      </c>
      <c r="C721">
        <f>Inputs!$B$3&gt;=115</f>
        <v/>
      </c>
      <c r="D721">
        <f>IF(Skills!C14=1,60+Inputs!$B$26+Inputs!$B$30,IF(Skills!C14=2,90+Inputs!$B$27+Inputs!$B$30,IF(Skills!C14=3,120+Inputs!$B$28+Inputs!$B$30,MAX(0,(Inputs!$B$3-100)*3)+Inputs!$B$29+Inputs!$B$30)))</f>
        <v/>
      </c>
      <c r="E721">
        <f>INDEX(FactorTable!$B$2:$Y$301, MATCH(ROUND(MIN(300,MAX(1,D721)),0), FactorTable!$A$2:$A$301,0), Skills!M14+1)</f>
        <v/>
      </c>
      <c r="F721">
        <f>IF(Skills!N14=TRUE,(Skills!L14/10)*(E721/1000),Skills!L14/10)+Skills!O14</f>
        <v/>
      </c>
      <c r="G721">
        <f>Skills!G14*IF(Skills!H14&gt;0,Skills!I14/Skills!H14,1)</f>
        <v/>
      </c>
      <c r="H721">
        <f>1-(1-Skills!J14/100)^Skills!K14</f>
        <v/>
      </c>
      <c r="I721" t="inlineStr">
        <is>
          <t>1</t>
        </is>
      </c>
      <c r="J721" t="inlineStr"/>
      <c r="K721" t="inlineStr"/>
      <c r="L721" t="inlineStr"/>
      <c r="M721" t="inlineStr"/>
      <c r="N721" t="inlineStr"/>
      <c r="O721">
        <f>(1-Summary!$B$55)*T721+Summary!$B$55*V721</f>
        <v/>
      </c>
      <c r="P721">
        <f>IF(B746=0,0,O721/B746)</f>
        <v/>
      </c>
      <c r="Q721">
        <f>IFERROR(1/IF(Inputs!$B$39="pvp",15,MAX(0.1,Skills!D14-IF(Skills!E14=TRUE,Inputs!$B$33,0))),0)</f>
        <v/>
      </c>
      <c r="R721">
        <f>IF(AND(Inputs!$B$39&lt;&gt;"pvp",Inputs!$B$44&gt;0),IF(Inputs!$B$44&lt;=0,0,(INT(Inputs!$B$44/IF(Inputs!$B$39="pvp",15,MAX(0.1,Skills!D14-IF(Skills!E14=TRUE,Inputs!$B$33,0))))+1)),0)</f>
        <v/>
      </c>
      <c r="S721">
        <f>IFERROR(O721/N721,0)</f>
        <v/>
      </c>
      <c r="T721" t="n">
        <v>0</v>
      </c>
      <c r="V721" t="n">
        <v>0</v>
      </c>
    </row>
    <row r="722">
      <c r="A722">
        <f>Skills!A15</f>
        <v/>
      </c>
      <c r="B722">
        <f>Skills!B15</f>
        <v/>
      </c>
      <c r="C722">
        <f>Inputs!$B$3&gt;=66</f>
        <v/>
      </c>
      <c r="D722">
        <f>IF(Skills!C15=1,60+Inputs!$B$26+Inputs!$B$30,IF(Skills!C15=2,90+Inputs!$B$27+Inputs!$B$30,IF(Skills!C15=3,120+Inputs!$B$28+Inputs!$B$30,MAX(0,(Inputs!$B$3-100)*3)+Inputs!$B$29+Inputs!$B$30)))</f>
        <v/>
      </c>
      <c r="E722">
        <f>INDEX(FactorTable!$B$2:$Y$301, MATCH(ROUND(MIN(300,MAX(1,D722)),0), FactorTable!$A$2:$A$301,0), Skills!M15+1)</f>
        <v/>
      </c>
      <c r="F722">
        <f>IF(Skills!N15=TRUE,(Skills!L15/10)*(E722/1000),Skills!L15/10)+Skills!O15</f>
        <v/>
      </c>
      <c r="G722">
        <f>Skills!G15*IF(Skills!H15&gt;0,Skills!I15/Skills!H15,1)</f>
        <v/>
      </c>
      <c r="H722">
        <f>1-(1-Skills!J15/100)^Skills!K15</f>
        <v/>
      </c>
      <c r="I722" t="inlineStr">
        <is>
          <t>1</t>
        </is>
      </c>
      <c r="J722" t="inlineStr"/>
      <c r="K722" t="inlineStr"/>
      <c r="L722" t="inlineStr"/>
      <c r="M722" t="inlineStr"/>
      <c r="N722" t="inlineStr"/>
      <c r="O722">
        <f>(1-Summary!$B$55)*T722+Summary!$B$55*V722</f>
        <v/>
      </c>
      <c r="P722">
        <f>IF(B746=0,0,O722/B746)</f>
        <v/>
      </c>
      <c r="Q722">
        <f>IFERROR(1/IF(Inputs!$B$39="pvp",15,MAX(0.1,Skills!D15-IF(Skills!E15=TRUE,Inputs!$B$33,0))),0)</f>
        <v/>
      </c>
      <c r="R722">
        <f>IF(AND(Inputs!$B$39&lt;&gt;"pvp",Inputs!$B$44&gt;0),IF(Inputs!$B$44&lt;=0,0,(INT(Inputs!$B$44/IF(Inputs!$B$39="pvp",15,MAX(0.1,Skills!D15-IF(Skills!E15=TRUE,Inputs!$B$33,0))))+1)),0)</f>
        <v/>
      </c>
      <c r="S722">
        <f>IFERROR(O722/N722,0)</f>
        <v/>
      </c>
      <c r="T722" t="n">
        <v>0</v>
      </c>
      <c r="V722" t="n">
        <v>0</v>
      </c>
    </row>
    <row r="723">
      <c r="A723">
        <f>Skills!A16</f>
        <v/>
      </c>
      <c r="B723">
        <f>Skills!B16</f>
        <v/>
      </c>
      <c r="C723">
        <f>Inputs!$B$3&gt;=45</f>
        <v/>
      </c>
      <c r="D723">
        <f>IF(Skills!C16=1,60+Inputs!$B$26+Inputs!$B$30,IF(Skills!C16=2,90+Inputs!$B$27+Inputs!$B$30,IF(Skills!C16=3,120+Inputs!$B$28+Inputs!$B$30,MAX(0,(Inputs!$B$3-100)*3)+Inputs!$B$29+Inputs!$B$30)))</f>
        <v/>
      </c>
      <c r="E723">
        <f>INDEX(FactorTable!$B$2:$Y$301, MATCH(ROUND(MIN(300,MAX(1,D723)),0), FactorTable!$A$2:$A$301,0), Skills!M16+1)</f>
        <v/>
      </c>
      <c r="F723">
        <f>IF(Skills!N16=TRUE,(Skills!L16/10)*(E723/1000),Skills!L16/10)+Skills!O16</f>
        <v/>
      </c>
      <c r="G723">
        <f>Skills!G16*IF(Skills!H16&gt;0,Skills!I16/Skills!H16,1)</f>
        <v/>
      </c>
      <c r="H723">
        <f>1-(1-Skills!J16/100)^Skills!K16</f>
        <v/>
      </c>
      <c r="I723" t="inlineStr">
        <is>
          <t>1</t>
        </is>
      </c>
      <c r="J723" t="inlineStr"/>
      <c r="K723" t="inlineStr"/>
      <c r="L723" t="inlineStr"/>
      <c r="M723" t="inlineStr"/>
      <c r="N723" t="inlineStr"/>
      <c r="O723">
        <f>(1-Summary!$B$55)*T723+Summary!$B$55*V723</f>
        <v/>
      </c>
      <c r="P723">
        <f>IF(B746=0,0,O723/B746)</f>
        <v/>
      </c>
      <c r="Q723">
        <f>IFERROR(1/IF(Inputs!$B$39="pvp",15,MAX(0.1,Skills!D16-IF(Skills!E16=TRUE,Inputs!$B$33,0))),0)</f>
        <v/>
      </c>
      <c r="R723">
        <f>IF(AND(Inputs!$B$39&lt;&gt;"pvp",Inputs!$B$44&gt;0),IF(Inputs!$B$44&lt;=0,0,(INT(Inputs!$B$44/IF(Inputs!$B$39="pvp",15,MAX(0.1,Skills!D16-IF(Skills!E16=TRUE,Inputs!$B$33,0))))+1)),0)</f>
        <v/>
      </c>
      <c r="S723">
        <f>IFERROR(O723/N723,0)</f>
        <v/>
      </c>
      <c r="T723" t="n">
        <v>0</v>
      </c>
      <c r="V723" t="n">
        <v>0</v>
      </c>
    </row>
    <row r="724">
      <c r="A724">
        <f>Skills!A17</f>
        <v/>
      </c>
      <c r="B724">
        <f>Skills!B17</f>
        <v/>
      </c>
      <c r="C724">
        <f>Inputs!$B$3&gt;=35</f>
        <v/>
      </c>
      <c r="D724">
        <f>IF(Skills!C17=1,60+Inputs!$B$26+Inputs!$B$30,IF(Skills!C17=2,90+Inputs!$B$27+Inputs!$B$30,IF(Skills!C17=3,120+Inputs!$B$28+Inputs!$B$30,MAX(0,(Inputs!$B$3-100)*3)+Inputs!$B$29+Inputs!$B$30)))</f>
        <v/>
      </c>
      <c r="E724">
        <f>INDEX(FactorTable!$B$2:$Y$301, MATCH(ROUND(MIN(300,MAX(1,D724)),0), FactorTable!$A$2:$A$301,0), Skills!M17+1)</f>
        <v/>
      </c>
      <c r="F724">
        <f>IF(Skills!N17=TRUE,(Skills!L17/10)*(E724/1000),Skills!L17/10)+Skills!O17</f>
        <v/>
      </c>
      <c r="G724">
        <f>Skills!G17*IF(Skills!H17&gt;0,Skills!I17/Skills!H17,1)</f>
        <v/>
      </c>
      <c r="H724">
        <f>1-(1-Skills!J17/100)^Skills!K17</f>
        <v/>
      </c>
      <c r="I724" t="inlineStr">
        <is>
          <t>1</t>
        </is>
      </c>
      <c r="J724" t="inlineStr"/>
      <c r="K724" t="inlineStr"/>
      <c r="L724" t="inlineStr"/>
      <c r="M724" t="inlineStr"/>
      <c r="N724" t="inlineStr"/>
      <c r="O724">
        <f>(1-Summary!$B$55)*T724+Summary!$B$55*V724</f>
        <v/>
      </c>
      <c r="P724">
        <f>IF(B746=0,0,O724/B746)</f>
        <v/>
      </c>
      <c r="Q724">
        <f>IFERROR(1/IF(Inputs!$B$39="pvp",15,MAX(0.1,Skills!D17-IF(Skills!E17=TRUE,Inputs!$B$33,0))),0)</f>
        <v/>
      </c>
      <c r="R724">
        <f>IF(AND(Inputs!$B$39&lt;&gt;"pvp",Inputs!$B$44&gt;0),IF(Inputs!$B$44&lt;=0,0,(INT(Inputs!$B$44/IF(Inputs!$B$39="pvp",15,MAX(0.1,Skills!D17-IF(Skills!E17=TRUE,Inputs!$B$33,0))))+1)),0)</f>
        <v/>
      </c>
      <c r="S724">
        <f>IFERROR(O724/N724,0)</f>
        <v/>
      </c>
      <c r="T724" t="n">
        <v>0</v>
      </c>
      <c r="V724" t="n">
        <v>0</v>
      </c>
    </row>
    <row r="725">
      <c r="A725">
        <f>Skills!A18</f>
        <v/>
      </c>
      <c r="B725">
        <f>Skills!B18</f>
        <v/>
      </c>
      <c r="C725">
        <f>Inputs!$B$3&gt;=72</f>
        <v/>
      </c>
      <c r="D725">
        <f>IF(Skills!C18=1,60+Inputs!$B$26+Inputs!$B$30,IF(Skills!C18=2,90+Inputs!$B$27+Inputs!$B$30,IF(Skills!C18=3,120+Inputs!$B$28+Inputs!$B$30,MAX(0,(Inputs!$B$3-100)*3)+Inputs!$B$29+Inputs!$B$30)))</f>
        <v/>
      </c>
      <c r="E725">
        <f>INDEX(FactorTable!$B$2:$Y$301, MATCH(ROUND(MIN(300,MAX(1,D725)),0), FactorTable!$A$2:$A$301,0), Skills!M18+1)</f>
        <v/>
      </c>
      <c r="F725">
        <f>IF(Skills!N18=TRUE,(Skills!L18/10)*(E725/1000),Skills!L18/10)+Skills!O18</f>
        <v/>
      </c>
      <c r="G725">
        <f>Skills!G18*IF(Skills!H18&gt;0,Skills!I18/Skills!H18,1)</f>
        <v/>
      </c>
      <c r="H725">
        <f>1-(1-Skills!J18/100)^Skills!K18</f>
        <v/>
      </c>
      <c r="I725" t="inlineStr">
        <is>
          <t>1</t>
        </is>
      </c>
      <c r="J725" t="inlineStr"/>
      <c r="K725" t="inlineStr"/>
      <c r="L725" t="inlineStr"/>
      <c r="M725" t="inlineStr"/>
      <c r="N725" t="inlineStr"/>
      <c r="O725">
        <f>(1-Summary!$B$55)*T725+Summary!$B$55*V725</f>
        <v/>
      </c>
      <c r="P725">
        <f>IF(B746=0,0,O725/B746)</f>
        <v/>
      </c>
      <c r="Q725">
        <f>IFERROR(1/IF(Inputs!$B$39="pvp",15,MAX(0.1,Skills!D18-IF(Skills!E18=TRUE,Inputs!$B$33,0))),0)</f>
        <v/>
      </c>
      <c r="R725">
        <f>IF(AND(Inputs!$B$39&lt;&gt;"pvp",Inputs!$B$44&gt;0),IF(Inputs!$B$44&lt;=0,0,(INT(Inputs!$B$44/IF(Inputs!$B$39="pvp",15,MAX(0.1,Skills!D18-IF(Skills!E18=TRUE,Inputs!$B$33,0))))+1)),0)</f>
        <v/>
      </c>
      <c r="S725">
        <f>IFERROR(O725/N725,0)</f>
        <v/>
      </c>
      <c r="T725" t="n">
        <v>0</v>
      </c>
      <c r="V725" t="n">
        <v>0</v>
      </c>
    </row>
    <row r="726">
      <c r="A726">
        <f>Skills!A19</f>
        <v/>
      </c>
      <c r="B726">
        <f>Skills!B19</f>
        <v/>
      </c>
      <c r="C726">
        <f>Inputs!$B$3&gt;=72</f>
        <v/>
      </c>
      <c r="D726">
        <f>IF(Skills!C19=1,60+Inputs!$B$26+Inputs!$B$30,IF(Skills!C19=2,90+Inputs!$B$27+Inputs!$B$30,IF(Skills!C19=3,120+Inputs!$B$28+Inputs!$B$30,MAX(0,(Inputs!$B$3-100)*3)+Inputs!$B$29+Inputs!$B$30)))</f>
        <v/>
      </c>
      <c r="E726">
        <f>INDEX(FactorTable!$B$2:$Y$301, MATCH(ROUND(MIN(300,MAX(1,D726)),0), FactorTable!$A$2:$A$301,0), Skills!M19+1)</f>
        <v/>
      </c>
      <c r="F726">
        <f>IF(Skills!N19=TRUE,(Skills!L19/10)*(E726/1000),Skills!L19/10)+Skills!O19</f>
        <v/>
      </c>
      <c r="G726">
        <f>Skills!G19*IF(Skills!H19&gt;0,Skills!I19/Skills!H19,1)</f>
        <v/>
      </c>
      <c r="H726">
        <f>1-(1-Skills!J19/100)^Skills!K19</f>
        <v/>
      </c>
      <c r="I726" t="inlineStr">
        <is>
          <t>1</t>
        </is>
      </c>
      <c r="J726" t="inlineStr"/>
      <c r="K726" t="inlineStr"/>
      <c r="L726" t="inlineStr"/>
      <c r="M726" t="inlineStr"/>
      <c r="N726" t="inlineStr"/>
      <c r="O726">
        <f>(1-Summary!$B$55)*T726+Summary!$B$55*V726</f>
        <v/>
      </c>
      <c r="P726">
        <f>IF(B746=0,0,O726/B746)</f>
        <v/>
      </c>
      <c r="Q726">
        <f>IFERROR(1/IF(Inputs!$B$39="pvp",15,MAX(0.1,Skills!D19-IF(Skills!E19=TRUE,Inputs!$B$33,0))),0)</f>
        <v/>
      </c>
      <c r="R726">
        <f>IF(AND(Inputs!$B$39&lt;&gt;"pvp",Inputs!$B$44&gt;0),IF(Inputs!$B$44&lt;=0,0,(INT(Inputs!$B$44/IF(Inputs!$B$39="pvp",15,MAX(0.1,Skills!D19-IF(Skills!E19=TRUE,Inputs!$B$33,0))))+1)),0)</f>
        <v/>
      </c>
      <c r="S726">
        <f>IFERROR(O726/N726,0)</f>
        <v/>
      </c>
      <c r="T726" t="n">
        <v>0</v>
      </c>
      <c r="V726" t="n">
        <v>0</v>
      </c>
    </row>
    <row r="727">
      <c r="A727">
        <f>Skills!A20</f>
        <v/>
      </c>
      <c r="B727">
        <f>Skills!B20</f>
        <v/>
      </c>
      <c r="C727">
        <f>TRUE</f>
        <v/>
      </c>
      <c r="D727">
        <f>IF(Skills!C20=1,60+Inputs!$B$26+Inputs!$B$30,IF(Skills!C20=2,90+Inputs!$B$27+Inputs!$B$30,IF(Skills!C20=3,120+Inputs!$B$28+Inputs!$B$30,MAX(0,(Inputs!$B$3-100)*3)+Inputs!$B$29+Inputs!$B$30)))</f>
        <v/>
      </c>
      <c r="E727">
        <f>INDEX(FactorTable!$B$2:$Y$301, MATCH(ROUND(MIN(300,MAX(1,D727)),0), FactorTable!$A$2:$A$301,0), Skills!M20+1)</f>
        <v/>
      </c>
      <c r="F727">
        <f>IF(Skills!N20=TRUE,(Skills!L20/10)*(E727/1000),Skills!L20/10)+Skills!O20</f>
        <v/>
      </c>
      <c r="G727">
        <f>Skills!G20*IF(Skills!H20&gt;0,Skills!I20/Skills!H20,1)</f>
        <v/>
      </c>
      <c r="H727">
        <f>1-(1-Skills!J20/100)^Skills!K20</f>
        <v/>
      </c>
      <c r="I727" t="inlineStr">
        <is>
          <t>1</t>
        </is>
      </c>
      <c r="J727" t="inlineStr"/>
      <c r="K727" t="inlineStr"/>
      <c r="L727" t="inlineStr"/>
      <c r="M727" t="inlineStr"/>
      <c r="N727" t="inlineStr"/>
      <c r="O727">
        <f>(1-Summary!$B$55)*T727+Summary!$B$55*V727</f>
        <v/>
      </c>
      <c r="P727">
        <f>IF(B746=0,0,O727/B746)</f>
        <v/>
      </c>
      <c r="Q727">
        <f>IFERROR(1/IF(Inputs!$B$39="pvp",15,MAX(0.1,Skills!D20-IF(Skills!E20=TRUE,Inputs!$B$33,0))),0)</f>
        <v/>
      </c>
      <c r="R727">
        <f>IF(AND(Inputs!$B$39&lt;&gt;"pvp",Inputs!$B$44&gt;0),IF(Inputs!$B$44&lt;=0,0,(INT(Inputs!$B$44/IF(Inputs!$B$39="pvp",15,MAX(0.1,Skills!D20-IF(Skills!E20=TRUE,Inputs!$B$33,0))))+1)),0)</f>
        <v/>
      </c>
      <c r="S727">
        <f>IFERROR(O727/N727,0)</f>
        <v/>
      </c>
      <c r="T727" t="n">
        <v>0</v>
      </c>
      <c r="V727" t="n">
        <v>0</v>
      </c>
    </row>
    <row r="728">
      <c r="A728">
        <f>Skills!A21</f>
        <v/>
      </c>
      <c r="B728">
        <f>Skills!B21</f>
        <v/>
      </c>
      <c r="C728">
        <f>Inputs!$B$3&gt;=33</f>
        <v/>
      </c>
      <c r="D728">
        <f>IF(Skills!C21=1,60+Inputs!$B$26+Inputs!$B$30,IF(Skills!C21=2,90+Inputs!$B$27+Inputs!$B$30,IF(Skills!C21=3,120+Inputs!$B$28+Inputs!$B$30,MAX(0,(Inputs!$B$3-100)*3)+Inputs!$B$29+Inputs!$B$30)))</f>
        <v/>
      </c>
      <c r="E728">
        <f>INDEX(FactorTable!$B$2:$Y$301, MATCH(ROUND(MIN(300,MAX(1,D728)),0), FactorTable!$A$2:$A$301,0), Skills!M21+1)</f>
        <v/>
      </c>
      <c r="F728">
        <f>IF(Skills!N21=TRUE,(Skills!L21/10)*(E728/1000),Skills!L21/10)+Skills!O21</f>
        <v/>
      </c>
      <c r="G728">
        <f>Skills!G21*IF(Skills!H21&gt;0,Skills!I21/Skills!H21,1)</f>
        <v/>
      </c>
      <c r="H728">
        <f>1-(1-Skills!J21/100)^Skills!K21</f>
        <v/>
      </c>
      <c r="I728" t="inlineStr">
        <is>
          <t>1</t>
        </is>
      </c>
      <c r="J728" t="inlineStr"/>
      <c r="K728" t="inlineStr"/>
      <c r="L728" t="inlineStr"/>
      <c r="M728" t="inlineStr"/>
      <c r="N728" t="inlineStr"/>
      <c r="O728">
        <f>(1-Summary!$B$55)*T728+Summary!$B$55*V728</f>
        <v/>
      </c>
      <c r="P728">
        <f>IF(B746=0,0,O728/B746)</f>
        <v/>
      </c>
      <c r="Q728" t="n">
        <v>0</v>
      </c>
      <c r="R728" t="n">
        <v>0</v>
      </c>
      <c r="S728">
        <f>IFERROR(O728/N728,0)</f>
        <v/>
      </c>
      <c r="T728" t="n">
        <v>0</v>
      </c>
      <c r="V728" t="n">
        <v>0</v>
      </c>
    </row>
    <row r="729">
      <c r="A729">
        <f>Skills!A22</f>
        <v/>
      </c>
      <c r="B729">
        <f>Skills!B22</f>
        <v/>
      </c>
      <c r="C729">
        <f>Inputs!$B$3&gt;=43</f>
        <v/>
      </c>
      <c r="D729">
        <f>IF(Skills!C22=1,60+Inputs!$B$26+Inputs!$B$30,IF(Skills!C22=2,90+Inputs!$B$27+Inputs!$B$30,IF(Skills!C22=3,120+Inputs!$B$28+Inputs!$B$30,MAX(0,(Inputs!$B$3-100)*3)+Inputs!$B$29+Inputs!$B$30)))</f>
        <v/>
      </c>
      <c r="E729">
        <f>INDEX(FactorTable!$B$2:$Y$301, MATCH(ROUND(MIN(300,MAX(1,D729)),0), FactorTable!$A$2:$A$301,0), Skills!M22+1)</f>
        <v/>
      </c>
      <c r="F729">
        <f>IF(Skills!N22=TRUE,(Skills!L22/10)*(E729/1000),Skills!L22/10)+Skills!O22</f>
        <v/>
      </c>
      <c r="G729">
        <f>Skills!G22*IF(Skills!H22&gt;0,Skills!I22/Skills!H22,1)</f>
        <v/>
      </c>
      <c r="H729">
        <f>1-(1-Skills!J22/100)^Skills!K22</f>
        <v/>
      </c>
      <c r="I729" t="inlineStr">
        <is>
          <t>1</t>
        </is>
      </c>
      <c r="J729" t="inlineStr"/>
      <c r="K729" t="inlineStr"/>
      <c r="L729" t="inlineStr"/>
      <c r="M729" t="inlineStr"/>
      <c r="N729" t="inlineStr"/>
      <c r="O729">
        <f>(1-Summary!$B$55)*T729+Summary!$B$55*V729</f>
        <v/>
      </c>
      <c r="P729">
        <f>IF(B746=0,0,O729/B746)</f>
        <v/>
      </c>
      <c r="Q729" t="n">
        <v>0</v>
      </c>
      <c r="R729" t="n">
        <v>0</v>
      </c>
      <c r="S729">
        <f>IFERROR(O729/N729,0)</f>
        <v/>
      </c>
      <c r="T729" t="n">
        <v>0</v>
      </c>
      <c r="V729" t="n">
        <v>0</v>
      </c>
    </row>
    <row r="730">
      <c r="A730">
        <f>Skills!A23</f>
        <v/>
      </c>
      <c r="B730">
        <f>Skills!B23</f>
        <v/>
      </c>
      <c r="C730">
        <f>Inputs!$B$3&gt;=120</f>
        <v/>
      </c>
      <c r="D730">
        <f>IF(Skills!C23=1,60+Inputs!$B$26+Inputs!$B$30,IF(Skills!C23=2,90+Inputs!$B$27+Inputs!$B$30,IF(Skills!C23=3,120+Inputs!$B$28+Inputs!$B$30,MAX(0,(Inputs!$B$3-100)*3)+Inputs!$B$29+Inputs!$B$30)))</f>
        <v/>
      </c>
      <c r="E730">
        <f>INDEX(FactorTable!$B$2:$Y$301, MATCH(ROUND(MIN(300,MAX(1,D730)),0), FactorTable!$A$2:$A$301,0), Skills!M23+1)</f>
        <v/>
      </c>
      <c r="F730">
        <f>IF(Skills!N23=TRUE,(Skills!L23/10)*(E730/1000),Skills!L23/10)+Skills!O23</f>
        <v/>
      </c>
      <c r="G730">
        <f>Skills!G23*IF(Skills!H23&gt;0,Skills!I23/Skills!H23,1)</f>
        <v/>
      </c>
      <c r="H730">
        <f>1-(1-Skills!J23/100)^Skills!K23</f>
        <v/>
      </c>
      <c r="I730" t="inlineStr">
        <is>
          <t>1</t>
        </is>
      </c>
      <c r="J730" t="inlineStr"/>
      <c r="K730" t="inlineStr"/>
      <c r="L730" t="inlineStr"/>
      <c r="M730" t="inlineStr"/>
      <c r="N730" t="inlineStr"/>
      <c r="O730">
        <f>(1-Summary!$B$55)*T730+Summary!$B$55*V730</f>
        <v/>
      </c>
      <c r="P730">
        <f>IF(B746=0,0,O730/B746)</f>
        <v/>
      </c>
      <c r="Q730" t="n">
        <v>0</v>
      </c>
      <c r="R730" t="n">
        <v>0</v>
      </c>
      <c r="S730">
        <f>IFERROR(O730/N730,0)</f>
        <v/>
      </c>
      <c r="T730" t="n">
        <v>0</v>
      </c>
      <c r="V730" t="n">
        <v>0</v>
      </c>
    </row>
    <row r="731">
      <c r="A731">
        <f>Skills!A24</f>
        <v/>
      </c>
      <c r="B731">
        <f>Skills!B24</f>
        <v/>
      </c>
      <c r="C731">
        <f>Inputs!$B$3&gt;=120</f>
        <v/>
      </c>
      <c r="D731">
        <f>IF(Skills!C24=1,60+Inputs!$B$26+Inputs!$B$30,IF(Skills!C24=2,90+Inputs!$B$27+Inputs!$B$30,IF(Skills!C24=3,120+Inputs!$B$28+Inputs!$B$30,MAX(0,(Inputs!$B$3-100)*3)+Inputs!$B$29+Inputs!$B$30)))</f>
        <v/>
      </c>
      <c r="E731">
        <f>INDEX(FactorTable!$B$2:$Y$301, MATCH(ROUND(MIN(300,MAX(1,D731)),0), FactorTable!$A$2:$A$301,0), Skills!M24+1)</f>
        <v/>
      </c>
      <c r="F731">
        <f>IF(Skills!N24=TRUE,(Skills!L24/10)*(E731/1000),Skills!L24/10)+Skills!O24</f>
        <v/>
      </c>
      <c r="G731">
        <f>Skills!G24*IF(Skills!H24&gt;0,Skills!I24/Skills!H24,1)</f>
        <v/>
      </c>
      <c r="H731">
        <f>1-(1-Skills!J24/100)^Skills!K24</f>
        <v/>
      </c>
      <c r="I731" t="inlineStr">
        <is>
          <t>1</t>
        </is>
      </c>
      <c r="J731" t="inlineStr"/>
      <c r="K731" t="inlineStr"/>
      <c r="L731" t="inlineStr"/>
      <c r="M731" t="inlineStr"/>
      <c r="N731" t="inlineStr"/>
      <c r="O731">
        <f>(1-Summary!$B$55)*T731+Summary!$B$55*V731</f>
        <v/>
      </c>
      <c r="P731">
        <f>IF(B746=0,0,O731/B746)</f>
        <v/>
      </c>
      <c r="Q731" t="n">
        <v>0</v>
      </c>
      <c r="R731" t="n">
        <v>0</v>
      </c>
      <c r="S731">
        <f>IFERROR(O731/N731,0)</f>
        <v/>
      </c>
      <c r="T731" t="n">
        <v>0</v>
      </c>
      <c r="V731" t="n">
        <v>0</v>
      </c>
    </row>
    <row r="732">
      <c r="A732">
        <f>Skills!A25</f>
        <v/>
      </c>
      <c r="B732">
        <f>Skills!B25</f>
        <v/>
      </c>
      <c r="C732">
        <f>Inputs!$B$3&gt;=125</f>
        <v/>
      </c>
      <c r="D732">
        <f>IF(Skills!C25=1,60+Inputs!$B$26+Inputs!$B$30,IF(Skills!C25=2,90+Inputs!$B$27+Inputs!$B$30,IF(Skills!C25=3,120+Inputs!$B$28+Inputs!$B$30,MAX(0,(Inputs!$B$3-100)*3)+Inputs!$B$29+Inputs!$B$30)))</f>
        <v/>
      </c>
      <c r="E732">
        <f>INDEX(FactorTable!$B$2:$Y$301, MATCH(ROUND(MIN(300,MAX(1,D732)),0), FactorTable!$A$2:$A$301,0), Skills!M25+1)</f>
        <v/>
      </c>
      <c r="F732">
        <f>IF(Skills!N25=TRUE,(Skills!L25/10)*(E732/1000),Skills!L25/10)+Skills!O25</f>
        <v/>
      </c>
      <c r="G732">
        <f>Skills!G25*IF(Skills!H25&gt;0,Skills!I25/Skills!H25,1)</f>
        <v/>
      </c>
      <c r="H732">
        <f>1-(1-Skills!J25/100)^Skills!K25</f>
        <v/>
      </c>
      <c r="I732" t="inlineStr">
        <is>
          <t>1</t>
        </is>
      </c>
      <c r="J732" t="inlineStr"/>
      <c r="K732" t="inlineStr"/>
      <c r="L732" t="inlineStr"/>
      <c r="M732" t="inlineStr"/>
      <c r="N732" t="inlineStr"/>
      <c r="O732">
        <f>(1-Summary!$B$55)*T732+Summary!$B$55*V732</f>
        <v/>
      </c>
      <c r="P732">
        <f>IF(B746=0,0,O732/B746)</f>
        <v/>
      </c>
      <c r="Q732" t="n">
        <v>0</v>
      </c>
      <c r="R732" t="n">
        <v>0</v>
      </c>
      <c r="S732">
        <f>IFERROR(O732/N732,0)</f>
        <v/>
      </c>
      <c r="T732" t="n">
        <v>0</v>
      </c>
      <c r="V732" t="n">
        <v>0</v>
      </c>
    </row>
    <row r="733">
      <c r="A733">
        <f>Skills!A26</f>
        <v/>
      </c>
      <c r="B733">
        <f>Skills!B26</f>
        <v/>
      </c>
      <c r="C733">
        <f>Inputs!$B$3&gt;=107</f>
        <v/>
      </c>
      <c r="D733">
        <f>IF(Skills!C26=1,60+Inputs!$B$26+Inputs!$B$30,IF(Skills!C26=2,90+Inputs!$B$27+Inputs!$B$30,IF(Skills!C26=3,120+Inputs!$B$28+Inputs!$B$30,MAX(0,(Inputs!$B$3-100)*3)+Inputs!$B$29+Inputs!$B$30)))</f>
        <v/>
      </c>
      <c r="E733">
        <f>INDEX(FactorTable!$B$2:$Y$301, MATCH(ROUND(MIN(300,MAX(1,D733)),0), FactorTable!$A$2:$A$301,0), Skills!M26+1)</f>
        <v/>
      </c>
      <c r="F733">
        <f>IF(Skills!N26=TRUE,(Skills!L26/10)*(E733/1000),Skills!L26/10)+Skills!O26</f>
        <v/>
      </c>
      <c r="G733">
        <f>Skills!G26*IF(Skills!H26&gt;0,Skills!I26/Skills!H26,1)</f>
        <v/>
      </c>
      <c r="H733">
        <f>1-(1-Skills!J26/100)^Skills!K26</f>
        <v/>
      </c>
      <c r="I733" t="inlineStr">
        <is>
          <t>1</t>
        </is>
      </c>
      <c r="J733" t="inlineStr"/>
      <c r="K733" t="inlineStr"/>
      <c r="L733" t="inlineStr"/>
      <c r="M733" t="inlineStr"/>
      <c r="N733" t="inlineStr"/>
      <c r="O733">
        <f>(1-Summary!$B$55)*T733+Summary!$B$55*V733</f>
        <v/>
      </c>
      <c r="P733">
        <f>IF(B746=0,0,O733/B746)</f>
        <v/>
      </c>
      <c r="Q733" t="n">
        <v>0</v>
      </c>
      <c r="R733" t="n">
        <v>0</v>
      </c>
      <c r="S733">
        <f>IFERROR(O733/N733,0)</f>
        <v/>
      </c>
      <c r="T733" t="n">
        <v>0</v>
      </c>
      <c r="V733" t="n">
        <v>0</v>
      </c>
    </row>
    <row r="735">
      <c r="A735" t="inlineStr">
        <is>
          <t>Attack% Bucket Multiplier</t>
        </is>
      </c>
      <c r="B735">
        <f>(1+(((C720=TRUE)*F720*IF(AND(Inputs!$B$39&lt;&gt;"pvp",Inputs!$B$44&gt;0),(((R720-1)*(Skills!T13*(1+Inputs!$B$35/100))+MIN((Skills!T13*(1+Inputs!$B$35/100)),MAX(0,Inputs!$B$44-((R720-1)*Skills!D13))))/Inputs!$B$44),IF(Inputs!$B$39="pvp",MIN((Skills!T13*(1+Inputs!$B$35/100)),15)/15,(Skills!T13*(1+Inputs!$B$35/100))/Skills!D13)))+((C721=TRUE)*F721*IF(AND(Inputs!$B$39&lt;&gt;"pvp",Inputs!$B$44&gt;0),(((R721-1)*(Skills!T14*(1+Inputs!$B$35/100))+MIN((Skills!T14*(1+Inputs!$B$35/100)),MAX(0,Inputs!$B$44-((R721-1)*Skills!D14))))/Inputs!$B$44),IF(Inputs!$B$39="pvp",MIN((Skills!T14*(1+Inputs!$B$35/100)),15)/15,(Skills!T14*(1+Inputs!$B$35/100))/Skills!D14)))+((C722=TRUE)*F722*IF(AND(Inputs!$B$39&lt;&gt;"pvp",Inputs!$B$44&gt;0),(((R722-1)*(Skills!T15*(1+Inputs!$B$35/100))+MIN((Skills!T15*(1+Inputs!$B$35/100)),MAX(0,Inputs!$B$44-((R722-1)*Skills!D15))))/Inputs!$B$44),IF(Inputs!$B$39="pvp",MIN((Skills!T15*(1+Inputs!$B$35/100)),15)/15,(Skills!T15*(1+Inputs!$B$35/100))/Skills!D15)))+((C723=TRUE)*F723*IF(AND(Inputs!$B$39&lt;&gt;"pvp",Inputs!$B$44&gt;0),(((R723-1)*(Skills!T16*(1+Inputs!$B$35/100))+MIN((Skills!T16*(1+Inputs!$B$35/100)),MAX(0,Inputs!$B$44-((R723-1)*Skills!D16))))/Inputs!$B$44),IF(Inputs!$B$39="pvp",MIN((Skills!T16*(1+Inputs!$B$35/100)),15)/15,(Skills!T16*(1+Inputs!$B$35/100))/Skills!D16)))+0)/100)</f>
        <v/>
      </c>
    </row>
    <row r="736">
      <c r="A736" t="inlineStr">
        <is>
          <t>Global Crit Rate Bonus % (Lord of Darkness)</t>
        </is>
      </c>
      <c r="B736">
        <f>((C725=TRUE)*F725*(Skills!J18/100)*IF(AND(Inputs!$B$39&lt;&gt;"pvp",Inputs!$B$44&gt;0),(((R725-1)*(Skills!T18*(1+Inputs!$B$35/100))+MIN((Skills!T18*(1+Inputs!$B$35/100)),MAX(0,Inputs!$B$44-((R725-1)*Skills!D18))))/Inputs!$B$44),IF(Inputs!$B$39="pvp",MIN((Skills!T18*(1+Inputs!$B$35/100)),15)/15,(Skills!T18*(1+Inputs!$B$35/100))/Skills!D18)))</f>
        <v/>
      </c>
    </row>
    <row r="737">
      <c r="A737" t="inlineStr">
        <is>
          <t>Attack Speed Buff Bonus %</t>
        </is>
      </c>
      <c r="B737">
        <f>((C727=TRUE)*F727*IF(AND(Inputs!$B$39&lt;&gt;"pvp",Inputs!$B$44&gt;0),(((R727-1)*(Skills!T20*(1+Inputs!$B$35/100))+MIN((Skills!T20*(1+Inputs!$B$35/100)),MAX(0,Inputs!$B$44-((R727-1)*Skills!D20))))/Inputs!$B$44),IF(Inputs!$B$39="pvp",MIN((Skills!T20*(1+Inputs!$B$35/100)),15)/15,(Skills!T20*(1+Inputs!$B$35/100))/Skills!D20)))</f>
        <v/>
      </c>
    </row>
    <row r="738">
      <c r="A738" t="inlineStr">
        <is>
          <t>Actions Per Second</t>
        </is>
      </c>
      <c r="B738">
        <f>1+MIN(150,150*(1-(1-(Inputs!$B$12+((C728=TRUE)*(F728-Calc!F21)))/150)*(1-B737/150)))/100</f>
        <v/>
      </c>
    </row>
    <row r="739">
      <c r="A739" t="inlineStr">
        <is>
          <t>Skill + Buff Cast Rate</t>
        </is>
      </c>
      <c r="B739">
        <f>IF(AND(Inputs!$B$39&lt;&gt;"pvp",Inputs!$B$44&gt;0),SUMPRODUCT((Skills!E2:E26=TRUE)*(C709:C733=TRUE)*R709:R733*Skills!F2:F26)/Inputs!$B$44,SUMPRODUCT((Skills!E2:E26=TRUE)*(C709:C733=TRUE)*Q709:Q733*Skills!F2:F26))</f>
        <v/>
      </c>
    </row>
    <row r="740">
      <c r="A740" t="inlineStr">
        <is>
          <t>Dark Impale Casts Per Second</t>
        </is>
      </c>
      <c r="B740">
        <f>MAX(0,B738-B739)</f>
        <v/>
      </c>
    </row>
    <row r="741">
      <c r="A741" t="inlineStr">
        <is>
          <t>Global Critical Damage Bonus % (Lord of Darkness)</t>
        </is>
      </c>
      <c r="B741">
        <f>((C726=TRUE)*F726*(Skills!J19/100)*IF(AND(Inputs!$B$39&lt;&gt;"pvp",Inputs!$B$44&gt;0),(((R726-1)*(Skills!T19*(1+Inputs!$B$35/100))+MIN((Skills!T19*(1+Inputs!$B$35/100)),MAX(0,Inputs!$B$44-((R726-1)*Skills!D19))))/Inputs!$B$44),IF(Inputs!$B$39="pvp",MIN((Skills!T19*(1+Inputs!$B$35/100)),15)/15,(Skills!T19*(1+Inputs!$B$35/100))/Skills!D19)))</f>
        <v/>
      </c>
    </row>
    <row r="742">
      <c r="A742" t="inlineStr">
        <is>
          <t>Global Final Damage Bonus % (unused)</t>
        </is>
      </c>
      <c r="B742" t="n">
        <v>0</v>
      </c>
    </row>
    <row r="743">
      <c r="A743" t="inlineStr">
        <is>
          <t>Buff-Casting Startup Delay (s, fixed-duration only)</t>
        </is>
      </c>
      <c r="B743">
        <f>IF(AND(Inputs!$B$39&lt;&gt;"pvp",Inputs!$B$44&gt;0),SUMPRODUCT((Skills!T2:T26&gt;0)*(Skills!E2:E26=TRUE)*(C709:C733=TRUE))/B738,0)</f>
        <v/>
      </c>
    </row>
    <row r="744">
      <c r="A744" t="inlineStr">
        <is>
          <t>Boss-Only Total DPS (this block's swept value)</t>
        </is>
      </c>
      <c r="B744">
        <f>SUM(T709:T733)</f>
        <v/>
      </c>
    </row>
    <row r="745">
      <c r="A745" t="inlineStr">
        <is>
          <t>Normal-Only Total DPS (this block's swept value)</t>
        </is>
      </c>
      <c r="B745">
        <f>SUM(V709:V733)</f>
        <v/>
      </c>
    </row>
    <row r="746">
      <c r="A746" s="5" t="inlineStr">
        <is>
          <t>TOTAL DPS</t>
        </is>
      </c>
      <c r="B746" s="5">
        <f>SUM(O709:O733)</f>
        <v/>
      </c>
    </row>
    <row r="749">
      <c r="A749" s="5" t="inlineStr">
        <is>
          <t>Stat: SKILL_DAMAGE %</t>
        </is>
      </c>
    </row>
    <row r="750">
      <c r="A750" s="9" t="inlineStr">
        <is>
          <t>Key</t>
        </is>
      </c>
      <c r="B750" s="9" t="inlineStr">
        <is>
          <t>Name</t>
        </is>
      </c>
      <c r="C750" s="9" t="inlineStr">
        <is>
          <t>Unlocked</t>
        </is>
      </c>
      <c r="D750" s="9" t="inlineStr">
        <is>
          <t>InputLevel</t>
        </is>
      </c>
      <c r="E750" s="9" t="inlineStr">
        <is>
          <t>Factor</t>
        </is>
      </c>
      <c r="F750" s="9" t="inlineStr">
        <is>
          <t>CoefficientPercent</t>
        </is>
      </c>
      <c r="G750" s="9" t="inlineStr">
        <is>
          <t>EffectiveHits</t>
        </is>
      </c>
      <c r="H750" s="9" t="inlineStr">
        <is>
          <t>ProcProbability</t>
        </is>
      </c>
      <c r="I750" s="9" t="inlineStr">
        <is>
          <t>MapleHeroMultiplier</t>
        </is>
      </c>
      <c r="J750" s="9" t="inlineStr">
        <is>
          <t>BaseDamage</t>
        </is>
      </c>
      <c r="K750" s="9" t="inlineStr">
        <is>
          <t>BaseHitDamage</t>
        </is>
      </c>
      <c r="L750" s="9" t="inlineStr">
        <is>
          <t>NonCritAvg</t>
        </is>
      </c>
      <c r="M750" s="9" t="inlineStr">
        <is>
          <t>CritAvg</t>
        </is>
      </c>
      <c r="N750" s="9" t="inlineStr">
        <is>
          <t>ExpectedDamage(perHit)</t>
        </is>
      </c>
      <c r="O750" s="9" t="inlineStr">
        <is>
          <t>DPS</t>
        </is>
      </c>
      <c r="P750" s="9" t="inlineStr">
        <is>
          <t>% of Total</t>
        </is>
      </c>
      <c r="Q750" s="9" t="inlineStr">
        <is>
          <t>InvCooldown</t>
        </is>
      </c>
      <c r="R750" s="9" t="inlineStr">
        <is>
          <t>CastsInFight</t>
        </is>
      </c>
      <c r="S750" s="9" t="inlineStr">
        <is>
          <t>HitRate(perSec)</t>
        </is>
      </c>
      <c r="U750" t="inlineStr">
        <is>
          <t>helpers</t>
        </is>
      </c>
    </row>
    <row r="751">
      <c r="A751">
        <f>Skills!A2</f>
        <v/>
      </c>
      <c r="B751">
        <f>Skills!B2</f>
        <v/>
      </c>
      <c r="C751">
        <f>Inputs!$B$3&gt;=100</f>
        <v/>
      </c>
      <c r="D751" t="inlineStr"/>
      <c r="E751" t="inlineStr"/>
      <c r="F751">
        <f>U753+Skills!O2</f>
        <v/>
      </c>
      <c r="G751">
        <f>Skills!G2*IF(Skills!H2&gt;0,Skills!I2/Skills!H2,1)</f>
        <v/>
      </c>
      <c r="H751">
        <f>1-(1-Skills!J2/100)^Skills!K2</f>
        <v/>
      </c>
      <c r="I751" t="inlineStr">
        <is>
          <t>1</t>
        </is>
      </c>
      <c r="J751">
        <f>((Inputs!$B$6*(1+Inputs!$B$7/100))+(((Inputs!$B$13*(1+Inputs!$B$14/100))-(Inputs!$B$13*(1+Inputs!$B$14/100)))+0.25*(Inputs!$B$15-Inputs!$B$15))*(1+Inputs!$B$7/100))*(F751/100)</f>
        <v/>
      </c>
      <c r="K751">
        <f>J751*(1+(((Inputs!$B$13+IF(Inputs!$B$3&gt;=38,(10*INDEX(FactorTable!$B$2:$Y$301, MATCH(ROUND(MIN(300,MAX(1,Inputs!$B$3)),0), FactorTable!$A$2:$A$301,0), 23)/1000)/100*(Inputs!$B$8*(1+Inputs!$B$9/100)),0))*(1+Inputs!$B$14/100))*0.01+Inputs!$B$15*0.0025)/100)*(1+Inputs!$B$16/100)*(1+Inputs!$B$17/100)*(5000/(6000+Inputs!$B$43*(1-(Inputs!$B$20+0)/100)))*(1+(Inputs!$B$25+((C774=TRUE)*(F774-Calc!F25))+((C775=TRUE)*(F775-Calc!F26))+B784)/100)*(1+(IF(Skills!A2="DARK_IMPALE",Inputs!$B$18+0,(Inputs!$B$19+1)+((C772=TRUE)*(F772-Calc!F23))))/100)*((1+(((C762=TRUE)*F762*IF(AND(Inputs!$B$39&lt;&gt;"pvp",Inputs!$B$44&gt;0),(((R762-1)*(Skills!T13*(1+Inputs!$B$35/100))+MIN((Skills!T13*(1+Inputs!$B$35/100)),MAX(0,Inputs!$B$44-((R762-1)*Skills!D13))))/Inputs!$B$44),IF(Inputs!$B$39="pvp",MIN((Skills!T13*(1+Inputs!$B$35/100)),15)/15,(Skills!T13*(1+Inputs!$B$35/100))/Skills!D13)))+((C763=TRUE)*F763*IF(AND(Inputs!$B$39&lt;&gt;"pvp",Inputs!$B$44&gt;0),(((R763-1)*(Skills!T14*(1+Inputs!$B$35/100))+MIN((Skills!T14*(1+Inputs!$B$35/100)),MAX(0,Inputs!$B$44-((R763-1)*Skills!D14))))/Inputs!$B$44),IF(Inputs!$B$39="pvp",MIN((Skills!T14*(1+Inputs!$B$35/100)),15)/15,(Skills!T14*(1+Inputs!$B$35/100))/Skills!D14)))+((C764=TRUE)*F764*IF(AND(Inputs!$B$39&lt;&gt;"pvp",Inputs!$B$44&gt;0),(((R764-1)*(Skills!T15*(1+Inputs!$B$35/100))+MIN((Skills!T15*(1+Inputs!$B$35/100)),MAX(0,Inputs!$B$44-((R764-1)*Skills!D15))))/Inputs!$B$44),IF(Inputs!$B$39="pvp",MIN((Skills!T15*(1+Inputs!$B$35/100)),15)/15,(Skills!T15*(1+Inputs!$B$35/100))/Skills!D15)))+((C765=TRUE)*F765*IF(AND(Inputs!$B$39&lt;&gt;"pvp",Inputs!$B$44&gt;0),(((R765-1)*(Skills!T16*(1+Inputs!$B$35/100))+MIN((Skills!T16*(1+Inputs!$B$35/100)),MAX(0,Inputs!$B$44-((R765-1)*Skills!D16))))/Inputs!$B$44),IF(Inputs!$B$39="pvp",MIN((Skills!T16*(1+Inputs!$B$35/100)),15)/15,(Skills!T16*(1+Inputs!$B$35/100))/Skills!D16)))+0)/100)*I751)</f>
        <v/>
      </c>
      <c r="L751">
        <f>K751*(MIN(Inputs!$B$23+((C771=TRUE)*(F771-Calc!F22)),Inputs!$B$24+((C773=TRUE)*(F773-Calc!F24)))/100+(Inputs!$B$24+((C773=TRUE)*(F773-Calc!F24)))/100)/2</f>
        <v/>
      </c>
      <c r="M751">
        <f>L751*(1+(Inputs!$B$11+0+B783)/100)</f>
        <v/>
      </c>
      <c r="N751">
        <f>L751*(1-MIN((Inputs!$B$10+0+B778),100)/100)+M751*(MIN((Inputs!$B$10+0+B778),100)/100)</f>
        <v/>
      </c>
      <c r="O751">
        <f>(1-Summary!$B$55)*T751+Summary!$B$55*V751</f>
        <v/>
      </c>
      <c r="P751">
        <f>IF(B788=0,0,O751/B788)</f>
        <v/>
      </c>
      <c r="Q751" t="n">
        <v>0</v>
      </c>
      <c r="R751" t="n">
        <v>0</v>
      </c>
      <c r="S751">
        <f>IFERROR(O751/N751,0)</f>
        <v/>
      </c>
      <c r="T751">
        <f>IF(C751,(Skills!G2*N751*B782)*IF(Inputs!$B$39="pvp",1,1+(Inputs!$B$21+0+Skills!P2+((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0)</f>
        <v/>
      </c>
      <c r="U751">
        <f>MAX(0,(Inputs!$B$3-100)*3)+Inputs!$B$29+Inputs!$B$30</f>
        <v/>
      </c>
      <c r="V751">
        <f>IF(C751,(Skills!G2*N751*B782)*IF(Inputs!$B$39="pvp",1,(1+(Inputs!$B$22+Skills!Q2+((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MIN((6+Inputs!$B$34),Inputs!$B$38))),0)</f>
        <v/>
      </c>
    </row>
    <row r="752">
      <c r="A752">
        <f>Skills!A3</f>
        <v/>
      </c>
      <c r="B752">
        <f>Skills!B3</f>
        <v/>
      </c>
      <c r="C752">
        <f>Inputs!$B$3&gt;=50</f>
        <v/>
      </c>
      <c r="D752">
        <f>IF(Skills!C3=1,60+Inputs!$B$26+Inputs!$B$30,IF(Skills!C3=2,90+Inputs!$B$27+Inputs!$B$30,IF(Skills!C3=3,120+Inputs!$B$28+Inputs!$B$30,MAX(0,(Inputs!$B$3-100)*3)+Inputs!$B$29+Inputs!$B$30)))</f>
        <v/>
      </c>
      <c r="E752">
        <f>INDEX(FactorTable!$B$2:$Y$301, MATCH(ROUND(MIN(300,MAX(1,D752)),0), FactorTable!$A$2:$A$301,0), Skills!M3+1)</f>
        <v/>
      </c>
      <c r="F752">
        <f>IF(Skills!N3=TRUE,(Skills!L3/10)*(E752/1000),Skills!L3/10)+Skills!O3</f>
        <v/>
      </c>
      <c r="G752" t="inlineStr"/>
      <c r="H752" t="inlineStr"/>
      <c r="I752" t="inlineStr">
        <is>
          <t>1</t>
        </is>
      </c>
      <c r="J752" t="inlineStr"/>
      <c r="K752" t="inlineStr"/>
      <c r="L752" t="inlineStr"/>
      <c r="M752" t="inlineStr"/>
      <c r="N752" t="inlineStr"/>
      <c r="O752" t="inlineStr"/>
      <c r="P752" t="inlineStr"/>
      <c r="Q752" t="inlineStr"/>
      <c r="R752" t="inlineStr"/>
      <c r="S752" t="inlineStr"/>
      <c r="U752">
        <f>INDEX(FactorTable!$B$2:$Y$301, MATCH(ROUND(MIN(300,MAX(1,U751)),0), FactorTable!$A$2:$A$301,0), 22)</f>
        <v/>
      </c>
    </row>
    <row r="753">
      <c r="A753">
        <f>Skills!A4</f>
        <v/>
      </c>
      <c r="B753">
        <f>Skills!B4</f>
        <v/>
      </c>
      <c r="C753">
        <f>Inputs!$B$3&gt;=105</f>
        <v/>
      </c>
      <c r="D753">
        <f>IF(Skills!C4=1,60+Inputs!$B$26+Inputs!$B$30,IF(Skills!C4=2,90+Inputs!$B$27+Inputs!$B$30,IF(Skills!C4=3,120+Inputs!$B$28+Inputs!$B$30,MAX(0,(Inputs!$B$3-100)*3)+Inputs!$B$29+Inputs!$B$30)))</f>
        <v/>
      </c>
      <c r="E753">
        <f>INDEX(FactorTable!$B$2:$Y$301, MATCH(ROUND(MIN(300,MAX(1,D753)),0), FactorTable!$A$2:$A$301,0), Skills!M4+1)</f>
        <v/>
      </c>
      <c r="F753">
        <f>IF(Skills!N4=TRUE,(Skills!L4/10)*(E753/1000),Skills!L4/10)+Skills!O4</f>
        <v/>
      </c>
      <c r="G753" t="inlineStr"/>
      <c r="H753" t="inlineStr"/>
      <c r="I753" t="inlineStr">
        <is>
          <t>1</t>
        </is>
      </c>
      <c r="J753" t="inlineStr"/>
      <c r="K753" t="inlineStr"/>
      <c r="L753" t="inlineStr"/>
      <c r="M753" t="inlineStr"/>
      <c r="N753" t="inlineStr"/>
      <c r="O753" t="inlineStr"/>
      <c r="P753" t="inlineStr"/>
      <c r="Q753" t="inlineStr"/>
      <c r="R753" t="inlineStr"/>
      <c r="S753" t="inlineStr"/>
      <c r="U753">
        <f>290*U752/1000</f>
        <v/>
      </c>
    </row>
    <row r="754">
      <c r="A754">
        <f>Skills!A5</f>
        <v/>
      </c>
      <c r="B754">
        <f>Skills!B5</f>
        <v/>
      </c>
      <c r="C754">
        <f>Inputs!$B$3&gt;=117</f>
        <v/>
      </c>
      <c r="D754">
        <f>IF(Skills!C5=1,60+Inputs!$B$26+Inputs!$B$30,IF(Skills!C5=2,90+Inputs!$B$27+Inputs!$B$30,IF(Skills!C5=3,120+Inputs!$B$28+Inputs!$B$30,MAX(0,(Inputs!$B$3-100)*3)+Inputs!$B$29+Inputs!$B$30)))</f>
        <v/>
      </c>
      <c r="E754">
        <f>INDEX(FactorTable!$B$2:$Y$301, MATCH(ROUND(MIN(300,MAX(1,D754)),0), FactorTable!$A$2:$A$301,0), Skills!M5+1)</f>
        <v/>
      </c>
      <c r="F754">
        <f>IF(Skills!N5=TRUE,(Skills!L5/10)*(E754/1000),Skills!L5/10)+Skills!O5</f>
        <v/>
      </c>
      <c r="G754">
        <f>Skills!G5*IF(Skills!H5&gt;0,Skills!I5/Skills!H5,1)</f>
        <v/>
      </c>
      <c r="H754">
        <f>1-(1-Skills!J5/100)^Skills!K5</f>
        <v/>
      </c>
      <c r="I754" t="inlineStr">
        <is>
          <t>1</t>
        </is>
      </c>
      <c r="J754">
        <f>((Inputs!$B$6*(1+Inputs!$B$7/100))+(((Inputs!$B$13*(1+Inputs!$B$14/100))-(Inputs!$B$13*(1+Inputs!$B$14/100)))+0.25*(Inputs!$B$15-Inputs!$B$15))*(1+Inputs!$B$7/100))*(F754/100)</f>
        <v/>
      </c>
      <c r="K754">
        <f>J754*(1+(((Inputs!$B$13+IF(Inputs!$B$3&gt;=38,(10*INDEX(FactorTable!$B$2:$Y$301, MATCH(ROUND(MIN(300,MAX(1,Inputs!$B$3)),0), FactorTable!$A$2:$A$301,0), 23)/1000)/100*(Inputs!$B$8*(1+Inputs!$B$9/100)),0))*(1+Inputs!$B$14/100))*0.01+Inputs!$B$15*0.0025)/100)*(1+Inputs!$B$16/100)*(1+Inputs!$B$17/100)*(5000/(6000+Inputs!$B$43*(1-(Inputs!$B$20+0)/100)))*(1+(Inputs!$B$25+((C774=TRUE)*(F774-Calc!F25))+((C775=TRUE)*(F775-Calc!F26))+B784)/100)*(1+(IF(Skills!A5="DARK_IMPALE",Inputs!$B$18+0,(Inputs!$B$19+1)+((C772=TRUE)*(F772-Calc!F23))))/100)*((1+(((C762=TRUE)*F762*IF(AND(Inputs!$B$39&lt;&gt;"pvp",Inputs!$B$44&gt;0),(((R762-1)*(Skills!T13*(1+Inputs!$B$35/100))+MIN((Skills!T13*(1+Inputs!$B$35/100)),MAX(0,Inputs!$B$44-((R762-1)*Skills!D13))))/Inputs!$B$44),IF(Inputs!$B$39="pvp",MIN((Skills!T13*(1+Inputs!$B$35/100)),15)/15,(Skills!T13*(1+Inputs!$B$35/100))/Skills!D13)))+((C763=TRUE)*F763*IF(AND(Inputs!$B$39&lt;&gt;"pvp",Inputs!$B$44&gt;0),(((R763-1)*(Skills!T14*(1+Inputs!$B$35/100))+MIN((Skills!T14*(1+Inputs!$B$35/100)),MAX(0,Inputs!$B$44-((R763-1)*Skills!D14))))/Inputs!$B$44),IF(Inputs!$B$39="pvp",MIN((Skills!T14*(1+Inputs!$B$35/100)),15)/15,(Skills!T14*(1+Inputs!$B$35/100))/Skills!D14)))+((C764=TRUE)*F764*IF(AND(Inputs!$B$39&lt;&gt;"pvp",Inputs!$B$44&gt;0),(((R764-1)*(Skills!T15*(1+Inputs!$B$35/100))+MIN((Skills!T15*(1+Inputs!$B$35/100)),MAX(0,Inputs!$B$44-((R764-1)*Skills!D15))))/Inputs!$B$44),IF(Inputs!$B$39="pvp",MIN((Skills!T15*(1+Inputs!$B$35/100)),15)/15,(Skills!T15*(1+Inputs!$B$35/100))/Skills!D15)))+((C765=TRUE)*F765*IF(AND(Inputs!$B$39&lt;&gt;"pvp",Inputs!$B$44&gt;0),(((R765-1)*(Skills!T16*(1+Inputs!$B$35/100))+MIN((Skills!T16*(1+Inputs!$B$35/100)),MAX(0,Inputs!$B$44-((R765-1)*Skills!D16))))/Inputs!$B$44),IF(Inputs!$B$39="pvp",MIN((Skills!T16*(1+Inputs!$B$35/100)),15)/15,(Skills!T16*(1+Inputs!$B$35/100))/Skills!D16)))+0)/100)*I754)</f>
        <v/>
      </c>
      <c r="L754">
        <f>K754*(MIN(Inputs!$B$23+((C771=TRUE)*(F771-Calc!F22)),Inputs!$B$24+((C773=TRUE)*(F773-Calc!F24)))/100+(Inputs!$B$24+((C773=TRUE)*(F773-Calc!F24)))/100)/2</f>
        <v/>
      </c>
      <c r="M754">
        <f>L754*(1+(Inputs!$B$11+0+B783)/100)</f>
        <v/>
      </c>
      <c r="N754">
        <f>L754*(1-MIN((Inputs!$B$10+0+B778),100)/100)+M754*(MIN((Inputs!$B$10+0+B778),100)/100)</f>
        <v/>
      </c>
      <c r="O754">
        <f>(1-Summary!$B$55)*T754+Summary!$B$55*V754</f>
        <v/>
      </c>
      <c r="P754">
        <f>IF(B788=0,0,O754/B788)</f>
        <v/>
      </c>
      <c r="Q754">
        <f>IFERROR(1/IF(Inputs!$B$39="pvp",15,MAX(0.1,Skills!D5-IF(Skills!E5=TRUE,Inputs!$B$33,0))),0)</f>
        <v/>
      </c>
      <c r="R754">
        <f>IF(AND(Inputs!$B$39&lt;&gt;"pvp",Inputs!$B$44&gt;0),IF(MAX(0,Inputs!$B$44-B785)&lt;=0,0,(INT(MAX(0,Inputs!$B$44-B785)/IF(Inputs!$B$39="pvp",15,MAX(0.1,Skills!D5-IF(Skills!E5=TRUE,Inputs!$B$33,0))))+1)),0)</f>
        <v/>
      </c>
      <c r="S754">
        <f>IFERROR(O754/N754,0)</f>
        <v/>
      </c>
      <c r="T754">
        <f>IF(C754,(H754*N754*IF(AND(Inputs!$B$39&lt;&gt;"pvp",Inputs!$B$44&gt;0),((Skills!G5*((R754-1)*IF(Skills!H5&gt;0,Skills!I5/Skills!H5,1)+IF(Skills!H5&gt;0,MIN(Skills!I5,MAX(0,MAX(0,Inputs!$B$44-B785)-((R754-1)*IF(Inputs!$B$39="pvp",15,MAX(0.1,Skills!D5-IF(Skills!E5=TRUE,Inputs!$B$33,0))))))/Skills!H5,1)))/Inputs!$B$44),G754*Q754))*IF(Inputs!$B$39="pvp",1,1+(Inputs!$B$21+0+Skills!P5+((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0)</f>
        <v/>
      </c>
      <c r="V754">
        <f>IF(C754,(H754*N754*IF(AND(Inputs!$B$39&lt;&gt;"pvp",Inputs!$B$44&gt;0),((Skills!G5*((R754-1)*IF(Skills!H5&gt;0,Skills!I5/Skills!H5,1)+IF(Skills!H5&gt;0,MIN(Skills!I5,MAX(0,MAX(0,Inputs!$B$44-B785)-((R754-1)*IF(Inputs!$B$39="pvp",15,MAX(0.1,Skills!D5-IF(Skills!E5=TRUE,Inputs!$B$33,0))))))/Skills!H5,1)))/Inputs!$B$44),G754*Q754))*IF(Inputs!$B$39="pvp",1,(1+(Inputs!$B$22+Skills!Q5+((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MIN(Skills!R5,Inputs!$B$38))),0)</f>
        <v/>
      </c>
    </row>
    <row r="755">
      <c r="A755">
        <f>Skills!A6</f>
        <v/>
      </c>
      <c r="B755">
        <f>Skills!B6</f>
        <v/>
      </c>
      <c r="C755">
        <f>Inputs!$B$3&gt;=103</f>
        <v/>
      </c>
      <c r="D755">
        <f>IF(Skills!C6=1,60+Inputs!$B$26+Inputs!$B$30,IF(Skills!C6=2,90+Inputs!$B$27+Inputs!$B$30,IF(Skills!C6=3,120+Inputs!$B$28+Inputs!$B$30,MAX(0,(Inputs!$B$3-100)*3)+Inputs!$B$29+Inputs!$B$30)))</f>
        <v/>
      </c>
      <c r="E755">
        <f>INDEX(FactorTable!$B$2:$Y$301, MATCH(ROUND(MIN(300,MAX(1,D755)),0), FactorTable!$A$2:$A$301,0), Skills!M6+1)</f>
        <v/>
      </c>
      <c r="F755">
        <f>IF(Skills!N6=TRUE,(Skills!L6/10)*(E755/1000),Skills!L6/10)+Skills!O6</f>
        <v/>
      </c>
      <c r="G755">
        <f>Skills!G6*IF(Skills!H6&gt;0,Skills!I6/Skills!H6,1)</f>
        <v/>
      </c>
      <c r="H755">
        <f>1-(1-Skills!J6/100)^Skills!K6</f>
        <v/>
      </c>
      <c r="I755" t="inlineStr">
        <is>
          <t>1</t>
        </is>
      </c>
      <c r="J755">
        <f>((Inputs!$B$6*(1+Inputs!$B$7/100))+(((Inputs!$B$13*(1+Inputs!$B$14/100))-(Inputs!$B$13*(1+Inputs!$B$14/100)))+0.25*(Inputs!$B$15-Inputs!$B$15))*(1+Inputs!$B$7/100))*(F755/100)</f>
        <v/>
      </c>
      <c r="K755">
        <f>J755*(1+(((Inputs!$B$13+IF(Inputs!$B$3&gt;=38,(10*INDEX(FactorTable!$B$2:$Y$301, MATCH(ROUND(MIN(300,MAX(1,Inputs!$B$3)),0), FactorTable!$A$2:$A$301,0), 23)/1000)/100*(Inputs!$B$8*(1+Inputs!$B$9/100)),0))*(1+Inputs!$B$14/100))*0.01+Inputs!$B$15*0.0025)/100)*(1+Inputs!$B$16/100)*(1+Inputs!$B$17/100)*(5000/(6000+Inputs!$B$43*(1-(Inputs!$B$20+0)/100)))*(1+(Inputs!$B$25+((C774=TRUE)*(F774-Calc!F25))+((C775=TRUE)*(F775-Calc!F26))+B784)/100)*(1+(IF(Skills!A6="DARK_IMPALE",Inputs!$B$18+0,(Inputs!$B$19+1)+((C772=TRUE)*(F772-Calc!F23))))/100)*((1+(((C762=TRUE)*F762*IF(AND(Inputs!$B$39&lt;&gt;"pvp",Inputs!$B$44&gt;0),(((R762-1)*(Skills!T13*(1+Inputs!$B$35/100))+MIN((Skills!T13*(1+Inputs!$B$35/100)),MAX(0,Inputs!$B$44-((R762-1)*Skills!D13))))/Inputs!$B$44),IF(Inputs!$B$39="pvp",MIN((Skills!T13*(1+Inputs!$B$35/100)),15)/15,(Skills!T13*(1+Inputs!$B$35/100))/Skills!D13)))+((C763=TRUE)*F763*IF(AND(Inputs!$B$39&lt;&gt;"pvp",Inputs!$B$44&gt;0),(((R763-1)*(Skills!T14*(1+Inputs!$B$35/100))+MIN((Skills!T14*(1+Inputs!$B$35/100)),MAX(0,Inputs!$B$44-((R763-1)*Skills!D14))))/Inputs!$B$44),IF(Inputs!$B$39="pvp",MIN((Skills!T14*(1+Inputs!$B$35/100)),15)/15,(Skills!T14*(1+Inputs!$B$35/100))/Skills!D14)))+((C764=TRUE)*F764*IF(AND(Inputs!$B$39&lt;&gt;"pvp",Inputs!$B$44&gt;0),(((R764-1)*(Skills!T15*(1+Inputs!$B$35/100))+MIN((Skills!T15*(1+Inputs!$B$35/100)),MAX(0,Inputs!$B$44-((R764-1)*Skills!D15))))/Inputs!$B$44),IF(Inputs!$B$39="pvp",MIN((Skills!T15*(1+Inputs!$B$35/100)),15)/15,(Skills!T15*(1+Inputs!$B$35/100))/Skills!D15)))+((C765=TRUE)*F765*IF(AND(Inputs!$B$39&lt;&gt;"pvp",Inputs!$B$44&gt;0),(((R765-1)*(Skills!T16*(1+Inputs!$B$35/100))+MIN((Skills!T16*(1+Inputs!$B$35/100)),MAX(0,Inputs!$B$44-((R765-1)*Skills!D16))))/Inputs!$B$44),IF(Inputs!$B$39="pvp",MIN((Skills!T16*(1+Inputs!$B$35/100)),15)/15,(Skills!T16*(1+Inputs!$B$35/100))/Skills!D16)))+0)/100)*I755)</f>
        <v/>
      </c>
      <c r="L755">
        <f>K755*(MIN(Inputs!$B$23+((C771=TRUE)*(F771-Calc!F22)),Inputs!$B$24+((C773=TRUE)*(F773-Calc!F24)))/100+(Inputs!$B$24+((C773=TRUE)*(F773-Calc!F24)))/100)/2</f>
        <v/>
      </c>
      <c r="M755">
        <f>L755*(1+(Inputs!$B$11+0+B783)/100)</f>
        <v/>
      </c>
      <c r="N755">
        <f>L755*(1-MIN((Inputs!$B$10+0+B778),100)/100)+M755*(MIN((Inputs!$B$10+0+B778),100)/100)</f>
        <v/>
      </c>
      <c r="O755">
        <f>(1-Summary!$B$55)*T755+Summary!$B$55*V755</f>
        <v/>
      </c>
      <c r="P755">
        <f>IF(B788=0,0,O755/B788)</f>
        <v/>
      </c>
      <c r="Q755">
        <f>IFERROR(1/IF(Inputs!$B$39="pvp",15,MAX(0.1,Skills!D6-IF(Skills!E6=TRUE,Inputs!$B$33,0))),0)</f>
        <v/>
      </c>
      <c r="R755">
        <f>IF(AND(Inputs!$B$39&lt;&gt;"pvp",Inputs!$B$44&gt;0),IF(MAX(0,Inputs!$B$44-B785)&lt;=0,0,(INT(MAX(0,Inputs!$B$44-B785)/IF(Inputs!$B$39="pvp",15,MAX(0.1,Skills!D6-IF(Skills!E6=TRUE,Inputs!$B$33,0))))+1)),0)</f>
        <v/>
      </c>
      <c r="S755">
        <f>IFERROR(O755/N755,0)</f>
        <v/>
      </c>
      <c r="T755">
        <f>IF(C755,(H755*N755*IF(AND(Inputs!$B$39&lt;&gt;"pvp",Inputs!$B$44&gt;0),((Skills!G6*((R755-1)*IF(Skills!H6&gt;0,Skills!I6/Skills!H6,1)+IF(Skills!H6&gt;0,MIN(Skills!I6,MAX(0,MAX(0,Inputs!$B$44-B785)-((R755-1)*IF(Inputs!$B$39="pvp",15,MAX(0.1,Skills!D6-IF(Skills!E6=TRUE,Inputs!$B$33,0))))))/Skills!H6,1)))/Inputs!$B$44),G755*Q755))*IF(Inputs!$B$39="pvp",1,1+(Inputs!$B$21+0+Skills!P6+((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0)</f>
        <v/>
      </c>
      <c r="V755">
        <f>IF(C755,(H755*N755*IF(AND(Inputs!$B$39&lt;&gt;"pvp",Inputs!$B$44&gt;0),((Skills!G6*((R755-1)*IF(Skills!H6&gt;0,Skills!I6/Skills!H6,1)+IF(Skills!H6&gt;0,MIN(Skills!I6,MAX(0,MAX(0,Inputs!$B$44-B785)-((R755-1)*IF(Inputs!$B$39="pvp",15,MAX(0.1,Skills!D6-IF(Skills!E6=TRUE,Inputs!$B$33,0))))))/Skills!H6,1)))/Inputs!$B$44),G755*Q755))*IF(Inputs!$B$39="pvp",1,(1+(Inputs!$B$22+Skills!Q6+((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MIN(Skills!R6,Inputs!$B$38))),0)</f>
        <v/>
      </c>
    </row>
    <row r="756">
      <c r="A756">
        <f>Skills!A7</f>
        <v/>
      </c>
      <c r="B756">
        <f>Skills!B7</f>
        <v/>
      </c>
      <c r="C756">
        <f>Inputs!$B$3&gt;=40</f>
        <v/>
      </c>
      <c r="D756">
        <f>IF(Skills!C7=1,60+Inputs!$B$26+Inputs!$B$30,IF(Skills!C7=2,90+Inputs!$B$27+Inputs!$B$30,IF(Skills!C7=3,120+Inputs!$B$28+Inputs!$B$30,MAX(0,(Inputs!$B$3-100)*3)+Inputs!$B$29+Inputs!$B$30)))</f>
        <v/>
      </c>
      <c r="E756">
        <f>INDEX(FactorTable!$B$2:$Y$301, MATCH(ROUND(MIN(300,MAX(1,D756)),0), FactorTable!$A$2:$A$301,0), Skills!M7+1)</f>
        <v/>
      </c>
      <c r="F756">
        <f>IF(Skills!N7=TRUE,(Skills!L7/10)*(E756/1000),Skills!L7/10)+Skills!O7</f>
        <v/>
      </c>
      <c r="G756">
        <f>Skills!G7*IF(Skills!H7&gt;0,Skills!I7/Skills!H7,1)</f>
        <v/>
      </c>
      <c r="H756">
        <f>1-(1-Skills!J7/100)^Skills!K7</f>
        <v/>
      </c>
      <c r="I756" t="inlineStr">
        <is>
          <t>1</t>
        </is>
      </c>
      <c r="J756">
        <f>((Inputs!$B$6*(1+Inputs!$B$7/100))+(((Inputs!$B$13*(1+Inputs!$B$14/100))-(Inputs!$B$13*(1+Inputs!$B$14/100)))+0.25*(Inputs!$B$15-Inputs!$B$15))*(1+Inputs!$B$7/100))*(F756/100)</f>
        <v/>
      </c>
      <c r="K756">
        <f>J756*(1+(((Inputs!$B$13+IF(Inputs!$B$3&gt;=38,(10*INDEX(FactorTable!$B$2:$Y$301, MATCH(ROUND(MIN(300,MAX(1,Inputs!$B$3)),0), FactorTable!$A$2:$A$301,0), 23)/1000)/100*(Inputs!$B$8*(1+Inputs!$B$9/100)),0))*(1+Inputs!$B$14/100))*0.01+Inputs!$B$15*0.0025)/100)*(1+Inputs!$B$16/100)*(1+Inputs!$B$17/100)*(5000/(6000+Inputs!$B$43*(1-(Inputs!$B$20+0)/100)))*(1+(Inputs!$B$25+((C774=TRUE)*(F774-Calc!F25))+((C775=TRUE)*(F775-Calc!F26))+B784)/100)*(1+0.75*IF(C760=TRUE,F760,0)/100)*(1+(IF(Skills!A7="DARK_IMPALE",Inputs!$B$18+0,(Inputs!$B$19+1)+((C772=TRUE)*(F772-Calc!F23))))/100)*((1+(((C762=TRUE)*F762*IF(AND(Inputs!$B$39&lt;&gt;"pvp",Inputs!$B$44&gt;0),(((R762-1)*(Skills!T13*(1+Inputs!$B$35/100))+MIN((Skills!T13*(1+Inputs!$B$35/100)),MAX(0,Inputs!$B$44-((R762-1)*Skills!D13))))/Inputs!$B$44),IF(Inputs!$B$39="pvp",MIN((Skills!T13*(1+Inputs!$B$35/100)),15)/15,(Skills!T13*(1+Inputs!$B$35/100))/Skills!D13)))+((C763=TRUE)*F763*IF(AND(Inputs!$B$39&lt;&gt;"pvp",Inputs!$B$44&gt;0),(((R763-1)*(Skills!T14*(1+Inputs!$B$35/100))+MIN((Skills!T14*(1+Inputs!$B$35/100)),MAX(0,Inputs!$B$44-((R763-1)*Skills!D14))))/Inputs!$B$44),IF(Inputs!$B$39="pvp",MIN((Skills!T14*(1+Inputs!$B$35/100)),15)/15,(Skills!T14*(1+Inputs!$B$35/100))/Skills!D14)))+((C764=TRUE)*F764*IF(AND(Inputs!$B$39&lt;&gt;"pvp",Inputs!$B$44&gt;0),(((R764-1)*(Skills!T15*(1+Inputs!$B$35/100))+MIN((Skills!T15*(1+Inputs!$B$35/100)),MAX(0,Inputs!$B$44-((R764-1)*Skills!D15))))/Inputs!$B$44),IF(Inputs!$B$39="pvp",MIN((Skills!T15*(1+Inputs!$B$35/100)),15)/15,(Skills!T15*(1+Inputs!$B$35/100))/Skills!D15)))+((C765=TRUE)*F765*IF(AND(Inputs!$B$39&lt;&gt;"pvp",Inputs!$B$44&gt;0),(((R765-1)*(Skills!T16*(1+Inputs!$B$35/100))+MIN((Skills!T16*(1+Inputs!$B$35/100)),MAX(0,Inputs!$B$44-((R765-1)*Skills!D16))))/Inputs!$B$44),IF(Inputs!$B$39="pvp",MIN((Skills!T16*(1+Inputs!$B$35/100)),15)/15,(Skills!T16*(1+Inputs!$B$35/100))/Skills!D16)))+0)/100)*I756)</f>
        <v/>
      </c>
      <c r="L756">
        <f>K756*(MIN(Inputs!$B$23+((C771=TRUE)*(F771-Calc!F22)),Inputs!$B$24+((C773=TRUE)*(F773-Calc!F24)))/100+(Inputs!$B$24+((C773=TRUE)*(F773-Calc!F24)))/100)/2</f>
        <v/>
      </c>
      <c r="M756">
        <f>L756*(1+(Inputs!$B$11+0+B783)/100)</f>
        <v/>
      </c>
      <c r="N756">
        <f>L756*(1-MIN((Inputs!$B$10+0+B778),100)/100)+M756*(MIN((Inputs!$B$10+0+B778),100)/100)</f>
        <v/>
      </c>
      <c r="O756">
        <f>(1-Summary!$B$55)*T756+Summary!$B$55*V756</f>
        <v/>
      </c>
      <c r="P756">
        <f>IF(B788=0,0,O756/B788)</f>
        <v/>
      </c>
      <c r="Q756">
        <f>IFERROR(1/IF(Inputs!$B$39="pvp",15,MAX(0.1,Skills!D7-IF(Skills!E7=TRUE,Inputs!$B$33,0))),0)</f>
        <v/>
      </c>
      <c r="R756">
        <f>IF(AND(Inputs!$B$39&lt;&gt;"pvp",Inputs!$B$44&gt;0),IF(MAX(0,Inputs!$B$44-B785)&lt;=0,0,(INT(MAX(0,Inputs!$B$44-B785)/IF(Inputs!$B$39="pvp",15,MAX(0.1,Skills!D7-IF(Skills!E7=TRUE,Inputs!$B$33,0))))+1)),0)</f>
        <v/>
      </c>
      <c r="S756">
        <f>IFERROR(O756/N756,0)</f>
        <v/>
      </c>
      <c r="T756">
        <f>IF(C756,(H756*N756*IF(AND(Inputs!$B$39&lt;&gt;"pvp",Inputs!$B$44&gt;0),((Skills!G7*((R756-1)*IF(Skills!H7&gt;0,Skills!I7/Skills!H7,1)+IF(Skills!H7&gt;0,MIN(Skills!I7,MAX(0,MAX(0,Inputs!$B$44-B785)-((R756-1)*IF(Inputs!$B$39="pvp",15,MAX(0.1,Skills!D7-IF(Skills!E7=TRUE,Inputs!$B$33,0))))))/Skills!H7,1)))/Inputs!$B$44),G756*Q756))*IF(Inputs!$B$39="pvp",1,1+(Inputs!$B$21+0+Skills!P7+((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0)</f>
        <v/>
      </c>
      <c r="V756">
        <f>IF(C756,(H756*N756*IF(AND(Inputs!$B$39&lt;&gt;"pvp",Inputs!$B$44&gt;0),((Skills!G7*((R756-1)*IF(Skills!H7&gt;0,Skills!I7/Skills!H7,1)+IF(Skills!H7&gt;0,MIN(Skills!I7,MAX(0,MAX(0,Inputs!$B$44-B785)-((R756-1)*IF(Inputs!$B$39="pvp",15,MAX(0.1,Skills!D7-IF(Skills!E7=TRUE,Inputs!$B$33,0))))))/Skills!H7,1)))/Inputs!$B$44),G756*Q756))*IF(Inputs!$B$39="pvp",1,(1+(Inputs!$B$22+Skills!Q7+((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MIN(Skills!R7,Inputs!$B$38))),0)</f>
        <v/>
      </c>
    </row>
    <row r="757">
      <c r="A757">
        <f>Skills!A8</f>
        <v/>
      </c>
      <c r="B757">
        <f>Skills!B8</f>
        <v/>
      </c>
      <c r="C757">
        <f>Inputs!$B$3&gt;=75</f>
        <v/>
      </c>
      <c r="D757">
        <f>IF(Skills!C8=1,60+Inputs!$B$26+Inputs!$B$30,IF(Skills!C8=2,90+Inputs!$B$27+Inputs!$B$30,IF(Skills!C8=3,120+Inputs!$B$28+Inputs!$B$30,MAX(0,(Inputs!$B$3-100)*3)+Inputs!$B$29+Inputs!$B$30)))</f>
        <v/>
      </c>
      <c r="E757">
        <f>INDEX(FactorTable!$B$2:$Y$301, MATCH(ROUND(MIN(300,MAX(1,D757)),0), FactorTable!$A$2:$A$301,0), Skills!M8+1)</f>
        <v/>
      </c>
      <c r="F757">
        <f>IF(Skills!N8=TRUE,(Skills!L8/10)*(E757/1000),Skills!L8/10)+Skills!O8</f>
        <v/>
      </c>
      <c r="G757" t="inlineStr"/>
      <c r="H757" t="inlineStr"/>
      <c r="I757" t="inlineStr">
        <is>
          <t>1</t>
        </is>
      </c>
      <c r="J757" t="inlineStr"/>
      <c r="K757" t="inlineStr"/>
      <c r="L757" t="inlineStr"/>
      <c r="M757" t="inlineStr"/>
      <c r="N757" t="inlineStr"/>
      <c r="O757" t="inlineStr"/>
      <c r="P757" t="inlineStr"/>
      <c r="Q757" t="inlineStr"/>
      <c r="R757" t="inlineStr"/>
      <c r="S757" t="inlineStr"/>
    </row>
    <row r="758">
      <c r="A758">
        <f>Skills!A9</f>
        <v/>
      </c>
      <c r="B758">
        <f>Skills!B9</f>
        <v/>
      </c>
      <c r="C758">
        <f>Inputs!$B$3&gt;=60</f>
        <v/>
      </c>
      <c r="D758">
        <f>IF(Skills!C9=1,60+Inputs!$B$26+Inputs!$B$30,IF(Skills!C9=2,90+Inputs!$B$27+Inputs!$B$30,IF(Skills!C9=3,120+Inputs!$B$28+Inputs!$B$30,MAX(0,(Inputs!$B$3-100)*3)+Inputs!$B$29+Inputs!$B$30)))</f>
        <v/>
      </c>
      <c r="E758">
        <f>INDEX(FactorTable!$B$2:$Y$301, MATCH(ROUND(MIN(300,MAX(1,D758)),0), FactorTable!$A$2:$A$301,0), Skills!M9+1)</f>
        <v/>
      </c>
      <c r="F758">
        <f>IF(Skills!N9=TRUE,(Skills!L9/10)*(E758/1000),Skills!L9/10)+Skills!O9</f>
        <v/>
      </c>
      <c r="G758">
        <f>Skills!G9*IF(Skills!H9&gt;0,Skills!I9/Skills!H9,1)</f>
        <v/>
      </c>
      <c r="H758">
        <f>1-(1-Skills!J9/100)^Skills!K9</f>
        <v/>
      </c>
      <c r="I758" t="inlineStr">
        <is>
          <t>1</t>
        </is>
      </c>
      <c r="J758">
        <f>((Inputs!$B$6*(1+Inputs!$B$7/100))+(((Inputs!$B$13*(1+Inputs!$B$14/100))-(Inputs!$B$13*(1+Inputs!$B$14/100)))+0.25*(Inputs!$B$15-Inputs!$B$15))*(1+Inputs!$B$7/100))*(F758/100)</f>
        <v/>
      </c>
      <c r="K758">
        <f>J758*(1+(((Inputs!$B$13+IF(Inputs!$B$3&gt;=38,(10*INDEX(FactorTable!$B$2:$Y$301, MATCH(ROUND(MIN(300,MAX(1,Inputs!$B$3)),0), FactorTable!$A$2:$A$301,0), 23)/1000)/100*(Inputs!$B$8*(1+Inputs!$B$9/100)),0))*(1+Inputs!$B$14/100))*0.01+Inputs!$B$15*0.0025)/100)*(1+Inputs!$B$16/100)*(1+Inputs!$B$17/100)*(5000/(6000+Inputs!$B$43*(1-(Inputs!$B$20+0)/100)))*(1+(Inputs!$B$25+((C774=TRUE)*(F774-Calc!F25))+((C775=TRUE)*(F775-Calc!F26))+B784)/100)*(1+1.0*IF(C760=TRUE,F760,0)/100)*(1+(IF(Skills!A9="DARK_IMPALE",Inputs!$B$18+0,(Inputs!$B$19+1)+((C772=TRUE)*(F772-Calc!F23))))/100)*((1+(((C762=TRUE)*F762*IF(AND(Inputs!$B$39&lt;&gt;"pvp",Inputs!$B$44&gt;0),(((R762-1)*(Skills!T13*(1+Inputs!$B$35/100))+MIN((Skills!T13*(1+Inputs!$B$35/100)),MAX(0,Inputs!$B$44-((R762-1)*Skills!D13))))/Inputs!$B$44),IF(Inputs!$B$39="pvp",MIN((Skills!T13*(1+Inputs!$B$35/100)),15)/15,(Skills!T13*(1+Inputs!$B$35/100))/Skills!D13)))+((C763=TRUE)*F763*IF(AND(Inputs!$B$39&lt;&gt;"pvp",Inputs!$B$44&gt;0),(((R763-1)*(Skills!T14*(1+Inputs!$B$35/100))+MIN((Skills!T14*(1+Inputs!$B$35/100)),MAX(0,Inputs!$B$44-((R763-1)*Skills!D14))))/Inputs!$B$44),IF(Inputs!$B$39="pvp",MIN((Skills!T14*(1+Inputs!$B$35/100)),15)/15,(Skills!T14*(1+Inputs!$B$35/100))/Skills!D14)))+((C764=TRUE)*F764*IF(AND(Inputs!$B$39&lt;&gt;"pvp",Inputs!$B$44&gt;0),(((R764-1)*(Skills!T15*(1+Inputs!$B$35/100))+MIN((Skills!T15*(1+Inputs!$B$35/100)),MAX(0,Inputs!$B$44-((R764-1)*Skills!D15))))/Inputs!$B$44),IF(Inputs!$B$39="pvp",MIN((Skills!T15*(1+Inputs!$B$35/100)),15)/15,(Skills!T15*(1+Inputs!$B$35/100))/Skills!D15)))+((C765=TRUE)*F765*IF(AND(Inputs!$B$39&lt;&gt;"pvp",Inputs!$B$44&gt;0),(((R765-1)*(Skills!T16*(1+Inputs!$B$35/100))+MIN((Skills!T16*(1+Inputs!$B$35/100)),MAX(0,Inputs!$B$44-((R765-1)*Skills!D16))))/Inputs!$B$44),IF(Inputs!$B$39="pvp",MIN((Skills!T16*(1+Inputs!$B$35/100)),15)/15,(Skills!T16*(1+Inputs!$B$35/100))/Skills!D16)))+0)/100)*I758)</f>
        <v/>
      </c>
      <c r="L758">
        <f>K758*(MIN(Inputs!$B$23+((C771=TRUE)*(F771-Calc!F22)),Inputs!$B$24+((C773=TRUE)*(F773-Calc!F24)))/100+(Inputs!$B$24+((C773=TRUE)*(F773-Calc!F24)))/100)/2</f>
        <v/>
      </c>
      <c r="M758">
        <f>L758*(1+(Inputs!$B$11+0+B783)/100)</f>
        <v/>
      </c>
      <c r="N758">
        <f>L758*(1-MIN((Inputs!$B$10+0+B778),100)/100)+M758*(MIN((Inputs!$B$10+0+B778),100)/100)</f>
        <v/>
      </c>
      <c r="O758">
        <f>(1-Summary!$B$55)*T758+Summary!$B$55*V758</f>
        <v/>
      </c>
      <c r="P758">
        <f>IF(B788=0,0,O758/B788)</f>
        <v/>
      </c>
      <c r="Q758">
        <f>IFERROR(1/IF(Inputs!$B$39="pvp",15,MAX(0.1,Skills!D9-IF(Skills!E9=TRUE,Inputs!$B$33,0))),0)</f>
        <v/>
      </c>
      <c r="R758">
        <f>IF(AND(Inputs!$B$39&lt;&gt;"pvp",Inputs!$B$44&gt;0),IF(MAX(0,Inputs!$B$44-B785)&lt;=0,0,(INT(MAX(0,Inputs!$B$44-B785)/IF(Inputs!$B$39="pvp",15,MAX(0.1,Skills!D9-IF(Skills!E9=TRUE,Inputs!$B$33,0))))+1)),0)</f>
        <v/>
      </c>
      <c r="S758">
        <f>IFERROR(O758/N758,0)</f>
        <v/>
      </c>
      <c r="T758">
        <f>IF(C758,(H758*N758*IF(AND(Inputs!$B$39&lt;&gt;"pvp",Inputs!$B$44&gt;0),((Skills!G9*((R758-1)*IF(Skills!H9&gt;0,Skills!I9/Skills!H9,1)+IF(Skills!H9&gt;0,MIN(Skills!I9,MAX(0,MAX(0,Inputs!$B$44-B785)-((R758-1)*IF(Inputs!$B$39="pvp",15,MAX(0.1,Skills!D9-IF(Skills!E9=TRUE,Inputs!$B$33,0))))))/Skills!H9,1)))/Inputs!$B$44),G758*Q758))*IF(Inputs!$B$39="pvp",1,1+(Inputs!$B$21+0+Skills!P9+((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0)</f>
        <v/>
      </c>
      <c r="V758">
        <f>IF(C758,(H758*N758*IF(AND(Inputs!$B$39&lt;&gt;"pvp",Inputs!$B$44&gt;0),((Skills!G9*((R758-1)*IF(Skills!H9&gt;0,Skills!I9/Skills!H9,1)+IF(Skills!H9&gt;0,MIN(Skills!I9,MAX(0,MAX(0,Inputs!$B$44-B785)-((R758-1)*IF(Inputs!$B$39="pvp",15,MAX(0.1,Skills!D9-IF(Skills!E9=TRUE,Inputs!$B$33,0))))))/Skills!H9,1)))/Inputs!$B$44),G758*Q758))*IF(Inputs!$B$39="pvp",1,(1+(Inputs!$B$22+Skills!Q9+((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MIN(Skills!R9,Inputs!$B$38))),0)</f>
        <v/>
      </c>
    </row>
    <row r="759">
      <c r="A759">
        <f>Skills!A10</f>
        <v/>
      </c>
      <c r="B759">
        <f>Skills!B10</f>
        <v/>
      </c>
      <c r="C759">
        <f>Inputs!$B$3&gt;=110</f>
        <v/>
      </c>
      <c r="D759">
        <f>IF(Skills!C10=1,60+Inputs!$B$26+Inputs!$B$30,IF(Skills!C10=2,90+Inputs!$B$27+Inputs!$B$30,IF(Skills!C10=3,120+Inputs!$B$28+Inputs!$B$30,MAX(0,(Inputs!$B$3-100)*3)+Inputs!$B$29+Inputs!$B$30)))</f>
        <v/>
      </c>
      <c r="E759">
        <f>INDEX(FactorTable!$B$2:$Y$301, MATCH(ROUND(MIN(300,MAX(1,D759)),0), FactorTable!$A$2:$A$301,0), Skills!M10+1)</f>
        <v/>
      </c>
      <c r="F759">
        <f>IF(Skills!N10=TRUE,(Skills!L10/10)*(E759/1000),Skills!L10/10)+Skills!O10</f>
        <v/>
      </c>
      <c r="G759">
        <f>Skills!G10*IF(Skills!H10&gt;0,Skills!I10/Skills!H10,1)</f>
        <v/>
      </c>
      <c r="H759">
        <f>1-(1-Skills!J10/100)^Skills!K10</f>
        <v/>
      </c>
      <c r="I759" t="inlineStr">
        <is>
          <t>1</t>
        </is>
      </c>
      <c r="J759">
        <f>((Inputs!$B$6*(1+Inputs!$B$7/100))+(((Inputs!$B$13*(1+Inputs!$B$14/100))-(Inputs!$B$13*(1+Inputs!$B$14/100)))+0.25*(Inputs!$B$15-Inputs!$B$15))*(1+Inputs!$B$7/100))*(F759/100)</f>
        <v/>
      </c>
      <c r="K759">
        <f>J759*(1+(((Inputs!$B$13+IF(Inputs!$B$3&gt;=38,(10*INDEX(FactorTable!$B$2:$Y$301, MATCH(ROUND(MIN(300,MAX(1,Inputs!$B$3)),0), FactorTable!$A$2:$A$301,0), 23)/1000)/100*(Inputs!$B$8*(1+Inputs!$B$9/100)),0))*(1+Inputs!$B$14/100))*0.01+Inputs!$B$15*0.0025)/100)*(1+Inputs!$B$16/100)*(1+Inputs!$B$17/100)*(5000/(6000+Inputs!$B$43*(1-(Inputs!$B$20+0)/100)))*(1+(Inputs!$B$25+((C774=TRUE)*(F774-Calc!F25))+((C775=TRUE)*(F775-Calc!F26))+B784)/100)*(1+(IF(Skills!A10="DARK_IMPALE",Inputs!$B$18+0,(Inputs!$B$19+1)+((C772=TRUE)*(F772-Calc!F23))))/100)*((1+(((C762=TRUE)*F762*IF(AND(Inputs!$B$39&lt;&gt;"pvp",Inputs!$B$44&gt;0),(((R762-1)*(Skills!T13*(1+Inputs!$B$35/100))+MIN((Skills!T13*(1+Inputs!$B$35/100)),MAX(0,Inputs!$B$44-((R762-1)*Skills!D13))))/Inputs!$B$44),IF(Inputs!$B$39="pvp",MIN((Skills!T13*(1+Inputs!$B$35/100)),15)/15,(Skills!T13*(1+Inputs!$B$35/100))/Skills!D13)))+((C763=TRUE)*F763*IF(AND(Inputs!$B$39&lt;&gt;"pvp",Inputs!$B$44&gt;0),(((R763-1)*(Skills!T14*(1+Inputs!$B$35/100))+MIN((Skills!T14*(1+Inputs!$B$35/100)),MAX(0,Inputs!$B$44-((R763-1)*Skills!D14))))/Inputs!$B$44),IF(Inputs!$B$39="pvp",MIN((Skills!T14*(1+Inputs!$B$35/100)),15)/15,(Skills!T14*(1+Inputs!$B$35/100))/Skills!D14)))+((C764=TRUE)*F764*IF(AND(Inputs!$B$39&lt;&gt;"pvp",Inputs!$B$44&gt;0),(((R764-1)*(Skills!T15*(1+Inputs!$B$35/100))+MIN((Skills!T15*(1+Inputs!$B$35/100)),MAX(0,Inputs!$B$44-((R764-1)*Skills!D15))))/Inputs!$B$44),IF(Inputs!$B$39="pvp",MIN((Skills!T15*(1+Inputs!$B$35/100)),15)/15,(Skills!T15*(1+Inputs!$B$35/100))/Skills!D15)))+((C765=TRUE)*F765*IF(AND(Inputs!$B$39&lt;&gt;"pvp",Inputs!$B$44&gt;0),(((R765-1)*(Skills!T16*(1+Inputs!$B$35/100))+MIN((Skills!T16*(1+Inputs!$B$35/100)),MAX(0,Inputs!$B$44-((R765-1)*Skills!D16))))/Inputs!$B$44),IF(Inputs!$B$39="pvp",MIN((Skills!T16*(1+Inputs!$B$35/100)),15)/15,(Skills!T16*(1+Inputs!$B$35/100))/Skills!D16)))+0)/100)*I759)</f>
        <v/>
      </c>
      <c r="L759">
        <f>K759*(MIN(Inputs!$B$23+((C771=TRUE)*(F771-Calc!F22)),Inputs!$B$24+((C773=TRUE)*(F773-Calc!F24)))/100+(Inputs!$B$24+((C773=TRUE)*(F773-Calc!F24)))/100)/2</f>
        <v/>
      </c>
      <c r="M759">
        <f>L759*(1+(Inputs!$B$11+0+B783)/100)</f>
        <v/>
      </c>
      <c r="N759">
        <f>L759*(1-MIN((Inputs!$B$10+0+B778),100)/100)+M759*(MIN((Inputs!$B$10+0+B778),100)/100)</f>
        <v/>
      </c>
      <c r="O759">
        <f>(1-Summary!$B$55)*T759+Summary!$B$55*V759</f>
        <v/>
      </c>
      <c r="P759">
        <f>IF(B788=0,0,O759/B788)</f>
        <v/>
      </c>
      <c r="Q759">
        <f>IFERROR(1/IF(Inputs!$B$39="pvp",15,MAX(0.1,Skills!D10-IF(Skills!E10=TRUE,Inputs!$B$33,0))),0)</f>
        <v/>
      </c>
      <c r="R759">
        <f>IF(AND(Inputs!$B$39&lt;&gt;"pvp",Inputs!$B$44&gt;0),IF(MAX(0,Inputs!$B$44-B785)&lt;=0,0,(INT(MAX(0,Inputs!$B$44-B785)/IF(Inputs!$B$39="pvp",15,MAX(0.1,Skills!D10-IF(Skills!E10=TRUE,Inputs!$B$33,0))))+1)),0)</f>
        <v/>
      </c>
      <c r="S759">
        <f>IFERROR(O759/N759,0)</f>
        <v/>
      </c>
      <c r="T759">
        <f>IF(C759,(H759*N759*IF(AND(Inputs!$B$39&lt;&gt;"pvp",Inputs!$B$44&gt;0),((Skills!G10*((R759-1)*IF(Skills!H10&gt;0,Skills!I10/Skills!H10,1)+IF(Skills!H10&gt;0,MIN(Skills!I10,MAX(0,MAX(0,Inputs!$B$44-B785)-((R759-1)*IF(Inputs!$B$39="pvp",15,MAX(0.1,Skills!D10-IF(Skills!E10=TRUE,Inputs!$B$33,0))))))/Skills!H10,1)))/Inputs!$B$44),G759*Q759))*IF(Inputs!$B$39="pvp",1,1+(Inputs!$B$21+0+Skills!P10+((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0)</f>
        <v/>
      </c>
      <c r="V759">
        <f>IF(C759,(H759*N759*IF(AND(Inputs!$B$39&lt;&gt;"pvp",Inputs!$B$44&gt;0),((Skills!G10*((R759-1)*IF(Skills!H10&gt;0,Skills!I10/Skills!H10,1)+IF(Skills!H10&gt;0,MIN(Skills!I10,MAX(0,MAX(0,Inputs!$B$44-B785)-((R759-1)*IF(Inputs!$B$39="pvp",15,MAX(0.1,Skills!D10-IF(Skills!E10=TRUE,Inputs!$B$33,0))))))/Skills!H10,1)))/Inputs!$B$44),G759*Q759))*IF(Inputs!$B$39="pvp",1,(1+(Inputs!$B$22+Skills!Q10+((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MIN(Skills!R10,Inputs!$B$38))),0)</f>
        <v/>
      </c>
    </row>
    <row r="760">
      <c r="A760">
        <f>Skills!A11</f>
        <v/>
      </c>
      <c r="B760">
        <f>Skills!B11</f>
        <v/>
      </c>
      <c r="C760">
        <f>Inputs!$B$3&gt;=100</f>
        <v/>
      </c>
      <c r="D760">
        <f>IF(Skills!C11=1,60+Inputs!$B$26+Inputs!$B$30,IF(Skills!C11=2,90+Inputs!$B$27+Inputs!$B$30,IF(Skills!C11=3,120+Inputs!$B$28+Inputs!$B$30,MAX(0,(Inputs!$B$3-100)*3)+Inputs!$B$29+Inputs!$B$30)))</f>
        <v/>
      </c>
      <c r="E760">
        <f>INDEX(FactorTable!$B$2:$Y$301, MATCH(ROUND(MIN(300,MAX(1,D760)),0), FactorTable!$A$2:$A$301,0), Skills!M11+1)</f>
        <v/>
      </c>
      <c r="F760">
        <f>IF(Skills!N11=TRUE,(Skills!L11/10)*(E760/1000),Skills!L11/10)+Skills!O11</f>
        <v/>
      </c>
      <c r="G760" t="inlineStr"/>
      <c r="H760" t="inlineStr"/>
      <c r="I760" t="inlineStr">
        <is>
          <t>1</t>
        </is>
      </c>
      <c r="J760" t="inlineStr"/>
      <c r="K760" t="inlineStr"/>
      <c r="L760" t="inlineStr"/>
      <c r="M760" t="inlineStr"/>
      <c r="N760" t="inlineStr"/>
      <c r="O760" t="inlineStr"/>
      <c r="P760" t="inlineStr"/>
      <c r="Q760" t="inlineStr"/>
      <c r="R760" t="inlineStr"/>
      <c r="S760" t="inlineStr"/>
    </row>
    <row r="761">
      <c r="A761">
        <f>Skills!A12</f>
        <v/>
      </c>
      <c r="B761">
        <f>Skills!B12</f>
        <v/>
      </c>
      <c r="C761">
        <f>Inputs!$B$3&gt;=63</f>
        <v/>
      </c>
      <c r="D761">
        <f>IF(Skills!C12=1,60+Inputs!$B$26+Inputs!$B$30,IF(Skills!C12=2,90+Inputs!$B$27+Inputs!$B$30,IF(Skills!C12=3,120+Inputs!$B$28+Inputs!$B$30,MAX(0,(Inputs!$B$3-100)*3)+Inputs!$B$29+Inputs!$B$30)))</f>
        <v/>
      </c>
      <c r="E761">
        <f>INDEX(FactorTable!$B$2:$Y$301, MATCH(ROUND(MIN(300,MAX(1,D761)),0), FactorTable!$A$2:$A$301,0), Skills!M12+1)</f>
        <v/>
      </c>
      <c r="F761">
        <f>IF(Skills!N12=TRUE,(Skills!L12/10)*(E761/1000),Skills!L12/10)+Skills!O12</f>
        <v/>
      </c>
      <c r="G761">
        <f>Skills!G12*IF(Skills!H12&gt;0,Skills!I12/Skills!H12,1)</f>
        <v/>
      </c>
      <c r="H761">
        <f>1-(1-Skills!J12/100)^Skills!K12</f>
        <v/>
      </c>
      <c r="I761" t="inlineStr">
        <is>
          <t>1</t>
        </is>
      </c>
      <c r="J761">
        <f>((Inputs!$B$6*(1+Inputs!$B$7/100))+(((Inputs!$B$13*(1+Inputs!$B$14/100))-(Inputs!$B$13*(1+Inputs!$B$14/100)))+0.25*(Inputs!$B$15-Inputs!$B$15))*(1+Inputs!$B$7/100))*(F761/100)</f>
        <v/>
      </c>
      <c r="K761">
        <f>J761*(1+(((Inputs!$B$13+IF(Inputs!$B$3&gt;=38,(10*INDEX(FactorTable!$B$2:$Y$301, MATCH(ROUND(MIN(300,MAX(1,Inputs!$B$3)),0), FactorTable!$A$2:$A$301,0), 23)/1000)/100*(Inputs!$B$8*(1+Inputs!$B$9/100)),0))*(1+Inputs!$B$14/100))*0.01+Inputs!$B$15*0.0025)/100)*(1+Inputs!$B$16/100)*(1+Inputs!$B$17/100)*(5000/(6000+Inputs!$B$43*(1-(Inputs!$B$20+0)/100)))*(1+(Inputs!$B$25+((C774=TRUE)*(F774-Calc!F25))+((C775=TRUE)*(F775-Calc!F26))+B784)/100)*(1+0.75*IF(C760=TRUE,F760,0)/100)*(1+(IF(Skills!A12="DARK_IMPALE",Inputs!$B$18+0,(Inputs!$B$19+1)+((C772=TRUE)*(F772-Calc!F23))))/100)*((1+(((C762=TRUE)*F762*IF(AND(Inputs!$B$39&lt;&gt;"pvp",Inputs!$B$44&gt;0),(((R762-1)*(Skills!T13*(1+Inputs!$B$35/100))+MIN((Skills!T13*(1+Inputs!$B$35/100)),MAX(0,Inputs!$B$44-((R762-1)*Skills!D13))))/Inputs!$B$44),IF(Inputs!$B$39="pvp",MIN((Skills!T13*(1+Inputs!$B$35/100)),15)/15,(Skills!T13*(1+Inputs!$B$35/100))/Skills!D13)))+((C763=TRUE)*F763*IF(AND(Inputs!$B$39&lt;&gt;"pvp",Inputs!$B$44&gt;0),(((R763-1)*(Skills!T14*(1+Inputs!$B$35/100))+MIN((Skills!T14*(1+Inputs!$B$35/100)),MAX(0,Inputs!$B$44-((R763-1)*Skills!D14))))/Inputs!$B$44),IF(Inputs!$B$39="pvp",MIN((Skills!T14*(1+Inputs!$B$35/100)),15)/15,(Skills!T14*(1+Inputs!$B$35/100))/Skills!D14)))+((C764=TRUE)*F764*IF(AND(Inputs!$B$39&lt;&gt;"pvp",Inputs!$B$44&gt;0),(((R764-1)*(Skills!T15*(1+Inputs!$B$35/100))+MIN((Skills!T15*(1+Inputs!$B$35/100)),MAX(0,Inputs!$B$44-((R764-1)*Skills!D15))))/Inputs!$B$44),IF(Inputs!$B$39="pvp",MIN((Skills!T15*(1+Inputs!$B$35/100)),15)/15,(Skills!T15*(1+Inputs!$B$35/100))/Skills!D15)))+((C765=TRUE)*F765*IF(AND(Inputs!$B$39&lt;&gt;"pvp",Inputs!$B$44&gt;0),(((R765-1)*(Skills!T16*(1+Inputs!$B$35/100))+MIN((Skills!T16*(1+Inputs!$B$35/100)),MAX(0,Inputs!$B$44-((R765-1)*Skills!D16))))/Inputs!$B$44),IF(Inputs!$B$39="pvp",MIN((Skills!T16*(1+Inputs!$B$35/100)),15)/15,(Skills!T16*(1+Inputs!$B$35/100))/Skills!D16)))+0)/100)*I761)</f>
        <v/>
      </c>
      <c r="L761">
        <f>K761*(MIN(Inputs!$B$23+((C771=TRUE)*(F771-Calc!F22)),Inputs!$B$24+((C773=TRUE)*(F773-Calc!F24)))/100+(Inputs!$B$24+((C773=TRUE)*(F773-Calc!F24)))/100)/2</f>
        <v/>
      </c>
      <c r="M761">
        <f>L761*(1+(Inputs!$B$11+0+B783)/100)</f>
        <v/>
      </c>
      <c r="N761">
        <f>L761*(1-MIN((Inputs!$B$10+0+B778),100)/100)+M761*(MIN((Inputs!$B$10+0+B778),100)/100)</f>
        <v/>
      </c>
      <c r="O761">
        <f>(1-Summary!$B$55)*T761+Summary!$B$55*V761</f>
        <v/>
      </c>
      <c r="P761">
        <f>IF(B788=0,0,O761/B788)</f>
        <v/>
      </c>
      <c r="Q761">
        <f>IFERROR(1/IF(Inputs!$B$39="pvp",15,MAX(0.1,Skills!D12-IF(Skills!E12=TRUE,Inputs!$B$33,0))),0)</f>
        <v/>
      </c>
      <c r="R761">
        <f>IF(AND(Inputs!$B$39&lt;&gt;"pvp",Inputs!$B$44&gt;0),IF(MAX(0,Inputs!$B$44-B785)&lt;=0,0,(INT(MAX(0,Inputs!$B$44-B785)/IF(Inputs!$B$39="pvp",15,MAX(0.1,Skills!D12-IF(Skills!E12=TRUE,Inputs!$B$33,0))))+1)),0)</f>
        <v/>
      </c>
      <c r="S761">
        <f>IFERROR(O761/N761,0)</f>
        <v/>
      </c>
      <c r="T761">
        <f>IF(C761,(H761*N761*IF(AND(Inputs!$B$39&lt;&gt;"pvp",Inputs!$B$44&gt;0),((Skills!G12*((R761-1)*IF(Skills!H12&gt;0,Skills!I12/Skills!H12,1)+IF(Skills!H12&gt;0,MIN(Skills!I12,MAX(0,MAX(0,Inputs!$B$44-B785)-((R761-1)*IF(Inputs!$B$39="pvp",15,MAX(0.1,Skills!D12-IF(Skills!E12=TRUE,Inputs!$B$33,0))))))/Skills!H12,1)))/Inputs!$B$44),G761*Q761))*IF(Inputs!$B$39="pvp",1,1+(Inputs!$B$21+0+Skills!P12+((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0)</f>
        <v/>
      </c>
      <c r="V761">
        <f>IF(C761,(H761*N761*IF(AND(Inputs!$B$39&lt;&gt;"pvp",Inputs!$B$44&gt;0),((Skills!G12*((R761-1)*IF(Skills!H12&gt;0,Skills!I12/Skills!H12,1)+IF(Skills!H12&gt;0,MIN(Skills!I12,MAX(0,MAX(0,Inputs!$B$44-B785)-((R761-1)*IF(Inputs!$B$39="pvp",15,MAX(0.1,Skills!D12-IF(Skills!E12=TRUE,Inputs!$B$33,0))))))/Skills!H12,1)))/Inputs!$B$44),G761*Q761))*IF(Inputs!$B$39="pvp",1,(1+(Inputs!$B$22+Skills!Q12+((C766=TRUE)*F766*IF(AND(Inputs!$B$39&lt;&gt;"pvp",Inputs!$B$44&gt;0),(((R766-1)*(Skills!T17*(1+Inputs!$B$35/100))+MIN((Skills!T17*(1+Inputs!$B$35/100)),MAX(0,Inputs!$B$44-((R766-1)*Skills!D17))))/Inputs!$B$44),IF(Inputs!$B$39="pvp",MIN((Skills!T17*(1+Inputs!$B$35/100)),15)/15,(Skills!T17*(1+Inputs!$B$35/100))/Skills!D17)))+((C763=TRUE)*IF(Inputs!$B$39="pvp",20,(1-Summary!$B$55)*(20)+Summary!$B$55*(0))*IF(AND(Inputs!$B$39&lt;&gt;"pvp",Inputs!$B$44&gt;0),(((R763-1)*(Skills!T14*(1+Inputs!$B$35/100))+MIN((Skills!T14*(1+Inputs!$B$35/100)),MAX(0,Inputs!$B$44-((R763-1)*Skills!D14))))/Inputs!$B$44),IF(Inputs!$B$39="pvp",MIN((Skills!T14*(1+Inputs!$B$35/100)),15)/15,(Skills!T14*(1+Inputs!$B$35/100))/Skills!D14))))/100)*(MIN(Skills!R12,Inputs!$B$38))),0)</f>
        <v/>
      </c>
    </row>
    <row r="762">
      <c r="A762">
        <f>Skills!A13</f>
        <v/>
      </c>
      <c r="B762">
        <f>Skills!B13</f>
        <v/>
      </c>
      <c r="C762">
        <f>Inputs!$B$3&gt;=69</f>
        <v/>
      </c>
      <c r="D762">
        <f>IF(Skills!C13=1,60+Inputs!$B$26+Inputs!$B$30,IF(Skills!C13=2,90+Inputs!$B$27+Inputs!$B$30,IF(Skills!C13=3,120+Inputs!$B$28+Inputs!$B$30,MAX(0,(Inputs!$B$3-100)*3)+Inputs!$B$29+Inputs!$B$30)))</f>
        <v/>
      </c>
      <c r="E762">
        <f>INDEX(FactorTable!$B$2:$Y$301, MATCH(ROUND(MIN(300,MAX(1,D762)),0), FactorTable!$A$2:$A$301,0), Skills!M13+1)</f>
        <v/>
      </c>
      <c r="F762">
        <f>IF(Skills!N13=TRUE,(Skills!L13/10)*(E762/1000),Skills!L13/10)+Skills!O13</f>
        <v/>
      </c>
      <c r="G762">
        <f>Skills!G13*IF(Skills!H13&gt;0,Skills!I13/Skills!H13,1)</f>
        <v/>
      </c>
      <c r="H762">
        <f>1-(1-Skills!J13/100)^Skills!K13</f>
        <v/>
      </c>
      <c r="I762" t="inlineStr">
        <is>
          <t>1</t>
        </is>
      </c>
      <c r="J762" t="inlineStr"/>
      <c r="K762" t="inlineStr"/>
      <c r="L762" t="inlineStr"/>
      <c r="M762" t="inlineStr"/>
      <c r="N762" t="inlineStr"/>
      <c r="O762">
        <f>(1-Summary!$B$55)*T762+Summary!$B$55*V762</f>
        <v/>
      </c>
      <c r="P762">
        <f>IF(B788=0,0,O762/B788)</f>
        <v/>
      </c>
      <c r="Q762">
        <f>IFERROR(1/IF(Inputs!$B$39="pvp",15,MAX(0.1,Skills!D13-IF(Skills!E13=TRUE,Inputs!$B$33,0))),0)</f>
        <v/>
      </c>
      <c r="R762">
        <f>IF(AND(Inputs!$B$39&lt;&gt;"pvp",Inputs!$B$44&gt;0),IF(Inputs!$B$44&lt;=0,0,(INT(Inputs!$B$44/IF(Inputs!$B$39="pvp",15,MAX(0.1,Skills!D13-IF(Skills!E13=TRUE,Inputs!$B$33,0))))+1)),0)</f>
        <v/>
      </c>
      <c r="S762">
        <f>IFERROR(O762/N762,0)</f>
        <v/>
      </c>
      <c r="T762" t="n">
        <v>0</v>
      </c>
      <c r="V762" t="n">
        <v>0</v>
      </c>
    </row>
    <row r="763">
      <c r="A763">
        <f>Skills!A14</f>
        <v/>
      </c>
      <c r="B763">
        <f>Skills!B14</f>
        <v/>
      </c>
      <c r="C763">
        <f>Inputs!$B$3&gt;=115</f>
        <v/>
      </c>
      <c r="D763">
        <f>IF(Skills!C14=1,60+Inputs!$B$26+Inputs!$B$30,IF(Skills!C14=2,90+Inputs!$B$27+Inputs!$B$30,IF(Skills!C14=3,120+Inputs!$B$28+Inputs!$B$30,MAX(0,(Inputs!$B$3-100)*3)+Inputs!$B$29+Inputs!$B$30)))</f>
        <v/>
      </c>
      <c r="E763">
        <f>INDEX(FactorTable!$B$2:$Y$301, MATCH(ROUND(MIN(300,MAX(1,D763)),0), FactorTable!$A$2:$A$301,0), Skills!M14+1)</f>
        <v/>
      </c>
      <c r="F763">
        <f>IF(Skills!N14=TRUE,(Skills!L14/10)*(E763/1000),Skills!L14/10)+Skills!O14</f>
        <v/>
      </c>
      <c r="G763">
        <f>Skills!G14*IF(Skills!H14&gt;0,Skills!I14/Skills!H14,1)</f>
        <v/>
      </c>
      <c r="H763">
        <f>1-(1-Skills!J14/100)^Skills!K14</f>
        <v/>
      </c>
      <c r="I763" t="inlineStr">
        <is>
          <t>1</t>
        </is>
      </c>
      <c r="J763" t="inlineStr"/>
      <c r="K763" t="inlineStr"/>
      <c r="L763" t="inlineStr"/>
      <c r="M763" t="inlineStr"/>
      <c r="N763" t="inlineStr"/>
      <c r="O763">
        <f>(1-Summary!$B$55)*T763+Summary!$B$55*V763</f>
        <v/>
      </c>
      <c r="P763">
        <f>IF(B788=0,0,O763/B788)</f>
        <v/>
      </c>
      <c r="Q763">
        <f>IFERROR(1/IF(Inputs!$B$39="pvp",15,MAX(0.1,Skills!D14-IF(Skills!E14=TRUE,Inputs!$B$33,0))),0)</f>
        <v/>
      </c>
      <c r="R763">
        <f>IF(AND(Inputs!$B$39&lt;&gt;"pvp",Inputs!$B$44&gt;0),IF(Inputs!$B$44&lt;=0,0,(INT(Inputs!$B$44/IF(Inputs!$B$39="pvp",15,MAX(0.1,Skills!D14-IF(Skills!E14=TRUE,Inputs!$B$33,0))))+1)),0)</f>
        <v/>
      </c>
      <c r="S763">
        <f>IFERROR(O763/N763,0)</f>
        <v/>
      </c>
      <c r="T763" t="n">
        <v>0</v>
      </c>
      <c r="V763" t="n">
        <v>0</v>
      </c>
    </row>
    <row r="764">
      <c r="A764">
        <f>Skills!A15</f>
        <v/>
      </c>
      <c r="B764">
        <f>Skills!B15</f>
        <v/>
      </c>
      <c r="C764">
        <f>Inputs!$B$3&gt;=66</f>
        <v/>
      </c>
      <c r="D764">
        <f>IF(Skills!C15=1,60+Inputs!$B$26+Inputs!$B$30,IF(Skills!C15=2,90+Inputs!$B$27+Inputs!$B$30,IF(Skills!C15=3,120+Inputs!$B$28+Inputs!$B$30,MAX(0,(Inputs!$B$3-100)*3)+Inputs!$B$29+Inputs!$B$30)))</f>
        <v/>
      </c>
      <c r="E764">
        <f>INDEX(FactorTable!$B$2:$Y$301, MATCH(ROUND(MIN(300,MAX(1,D764)),0), FactorTable!$A$2:$A$301,0), Skills!M15+1)</f>
        <v/>
      </c>
      <c r="F764">
        <f>IF(Skills!N15=TRUE,(Skills!L15/10)*(E764/1000),Skills!L15/10)+Skills!O15</f>
        <v/>
      </c>
      <c r="G764">
        <f>Skills!G15*IF(Skills!H15&gt;0,Skills!I15/Skills!H15,1)</f>
        <v/>
      </c>
      <c r="H764">
        <f>1-(1-Skills!J15/100)^Skills!K15</f>
        <v/>
      </c>
      <c r="I764" t="inlineStr">
        <is>
          <t>1</t>
        </is>
      </c>
      <c r="J764" t="inlineStr"/>
      <c r="K764" t="inlineStr"/>
      <c r="L764" t="inlineStr"/>
      <c r="M764" t="inlineStr"/>
      <c r="N764" t="inlineStr"/>
      <c r="O764">
        <f>(1-Summary!$B$55)*T764+Summary!$B$55*V764</f>
        <v/>
      </c>
      <c r="P764">
        <f>IF(B788=0,0,O764/B788)</f>
        <v/>
      </c>
      <c r="Q764">
        <f>IFERROR(1/IF(Inputs!$B$39="pvp",15,MAX(0.1,Skills!D15-IF(Skills!E15=TRUE,Inputs!$B$33,0))),0)</f>
        <v/>
      </c>
      <c r="R764">
        <f>IF(AND(Inputs!$B$39&lt;&gt;"pvp",Inputs!$B$44&gt;0),IF(Inputs!$B$44&lt;=0,0,(INT(Inputs!$B$44/IF(Inputs!$B$39="pvp",15,MAX(0.1,Skills!D15-IF(Skills!E15=TRUE,Inputs!$B$33,0))))+1)),0)</f>
        <v/>
      </c>
      <c r="S764">
        <f>IFERROR(O764/N764,0)</f>
        <v/>
      </c>
      <c r="T764" t="n">
        <v>0</v>
      </c>
      <c r="V764" t="n">
        <v>0</v>
      </c>
    </row>
    <row r="765">
      <c r="A765">
        <f>Skills!A16</f>
        <v/>
      </c>
      <c r="B765">
        <f>Skills!B16</f>
        <v/>
      </c>
      <c r="C765">
        <f>Inputs!$B$3&gt;=45</f>
        <v/>
      </c>
      <c r="D765">
        <f>IF(Skills!C16=1,60+Inputs!$B$26+Inputs!$B$30,IF(Skills!C16=2,90+Inputs!$B$27+Inputs!$B$30,IF(Skills!C16=3,120+Inputs!$B$28+Inputs!$B$30,MAX(0,(Inputs!$B$3-100)*3)+Inputs!$B$29+Inputs!$B$30)))</f>
        <v/>
      </c>
      <c r="E765">
        <f>INDEX(FactorTable!$B$2:$Y$301, MATCH(ROUND(MIN(300,MAX(1,D765)),0), FactorTable!$A$2:$A$301,0), Skills!M16+1)</f>
        <v/>
      </c>
      <c r="F765">
        <f>IF(Skills!N16=TRUE,(Skills!L16/10)*(E765/1000),Skills!L16/10)+Skills!O16</f>
        <v/>
      </c>
      <c r="G765">
        <f>Skills!G16*IF(Skills!H16&gt;0,Skills!I16/Skills!H16,1)</f>
        <v/>
      </c>
      <c r="H765">
        <f>1-(1-Skills!J16/100)^Skills!K16</f>
        <v/>
      </c>
      <c r="I765" t="inlineStr">
        <is>
          <t>1</t>
        </is>
      </c>
      <c r="J765" t="inlineStr"/>
      <c r="K765" t="inlineStr"/>
      <c r="L765" t="inlineStr"/>
      <c r="M765" t="inlineStr"/>
      <c r="N765" t="inlineStr"/>
      <c r="O765">
        <f>(1-Summary!$B$55)*T765+Summary!$B$55*V765</f>
        <v/>
      </c>
      <c r="P765">
        <f>IF(B788=0,0,O765/B788)</f>
        <v/>
      </c>
      <c r="Q765">
        <f>IFERROR(1/IF(Inputs!$B$39="pvp",15,MAX(0.1,Skills!D16-IF(Skills!E16=TRUE,Inputs!$B$33,0))),0)</f>
        <v/>
      </c>
      <c r="R765">
        <f>IF(AND(Inputs!$B$39&lt;&gt;"pvp",Inputs!$B$44&gt;0),IF(Inputs!$B$44&lt;=0,0,(INT(Inputs!$B$44/IF(Inputs!$B$39="pvp",15,MAX(0.1,Skills!D16-IF(Skills!E16=TRUE,Inputs!$B$33,0))))+1)),0)</f>
        <v/>
      </c>
      <c r="S765">
        <f>IFERROR(O765/N765,0)</f>
        <v/>
      </c>
      <c r="T765" t="n">
        <v>0</v>
      </c>
      <c r="V765" t="n">
        <v>0</v>
      </c>
    </row>
    <row r="766">
      <c r="A766">
        <f>Skills!A17</f>
        <v/>
      </c>
      <c r="B766">
        <f>Skills!B17</f>
        <v/>
      </c>
      <c r="C766">
        <f>Inputs!$B$3&gt;=35</f>
        <v/>
      </c>
      <c r="D766">
        <f>IF(Skills!C17=1,60+Inputs!$B$26+Inputs!$B$30,IF(Skills!C17=2,90+Inputs!$B$27+Inputs!$B$30,IF(Skills!C17=3,120+Inputs!$B$28+Inputs!$B$30,MAX(0,(Inputs!$B$3-100)*3)+Inputs!$B$29+Inputs!$B$30)))</f>
        <v/>
      </c>
      <c r="E766">
        <f>INDEX(FactorTable!$B$2:$Y$301, MATCH(ROUND(MIN(300,MAX(1,D766)),0), FactorTable!$A$2:$A$301,0), Skills!M17+1)</f>
        <v/>
      </c>
      <c r="F766">
        <f>IF(Skills!N17=TRUE,(Skills!L17/10)*(E766/1000),Skills!L17/10)+Skills!O17</f>
        <v/>
      </c>
      <c r="G766">
        <f>Skills!G17*IF(Skills!H17&gt;0,Skills!I17/Skills!H17,1)</f>
        <v/>
      </c>
      <c r="H766">
        <f>1-(1-Skills!J17/100)^Skills!K17</f>
        <v/>
      </c>
      <c r="I766" t="inlineStr">
        <is>
          <t>1</t>
        </is>
      </c>
      <c r="J766" t="inlineStr"/>
      <c r="K766" t="inlineStr"/>
      <c r="L766" t="inlineStr"/>
      <c r="M766" t="inlineStr"/>
      <c r="N766" t="inlineStr"/>
      <c r="O766">
        <f>(1-Summary!$B$55)*T766+Summary!$B$55*V766</f>
        <v/>
      </c>
      <c r="P766">
        <f>IF(B788=0,0,O766/B788)</f>
        <v/>
      </c>
      <c r="Q766">
        <f>IFERROR(1/IF(Inputs!$B$39="pvp",15,MAX(0.1,Skills!D17-IF(Skills!E17=TRUE,Inputs!$B$33,0))),0)</f>
        <v/>
      </c>
      <c r="R766">
        <f>IF(AND(Inputs!$B$39&lt;&gt;"pvp",Inputs!$B$44&gt;0),IF(Inputs!$B$44&lt;=0,0,(INT(Inputs!$B$44/IF(Inputs!$B$39="pvp",15,MAX(0.1,Skills!D17-IF(Skills!E17=TRUE,Inputs!$B$33,0))))+1)),0)</f>
        <v/>
      </c>
      <c r="S766">
        <f>IFERROR(O766/N766,0)</f>
        <v/>
      </c>
      <c r="T766" t="n">
        <v>0</v>
      </c>
      <c r="V766" t="n">
        <v>0</v>
      </c>
    </row>
    <row r="767">
      <c r="A767">
        <f>Skills!A18</f>
        <v/>
      </c>
      <c r="B767">
        <f>Skills!B18</f>
        <v/>
      </c>
      <c r="C767">
        <f>Inputs!$B$3&gt;=72</f>
        <v/>
      </c>
      <c r="D767">
        <f>IF(Skills!C18=1,60+Inputs!$B$26+Inputs!$B$30,IF(Skills!C18=2,90+Inputs!$B$27+Inputs!$B$30,IF(Skills!C18=3,120+Inputs!$B$28+Inputs!$B$30,MAX(0,(Inputs!$B$3-100)*3)+Inputs!$B$29+Inputs!$B$30)))</f>
        <v/>
      </c>
      <c r="E767">
        <f>INDEX(FactorTable!$B$2:$Y$301, MATCH(ROUND(MIN(300,MAX(1,D767)),0), FactorTable!$A$2:$A$301,0), Skills!M18+1)</f>
        <v/>
      </c>
      <c r="F767">
        <f>IF(Skills!N18=TRUE,(Skills!L18/10)*(E767/1000),Skills!L18/10)+Skills!O18</f>
        <v/>
      </c>
      <c r="G767">
        <f>Skills!G18*IF(Skills!H18&gt;0,Skills!I18/Skills!H18,1)</f>
        <v/>
      </c>
      <c r="H767">
        <f>1-(1-Skills!J18/100)^Skills!K18</f>
        <v/>
      </c>
      <c r="I767" t="inlineStr">
        <is>
          <t>1</t>
        </is>
      </c>
      <c r="J767" t="inlineStr"/>
      <c r="K767" t="inlineStr"/>
      <c r="L767" t="inlineStr"/>
      <c r="M767" t="inlineStr"/>
      <c r="N767" t="inlineStr"/>
      <c r="O767">
        <f>(1-Summary!$B$55)*T767+Summary!$B$55*V767</f>
        <v/>
      </c>
      <c r="P767">
        <f>IF(B788=0,0,O767/B788)</f>
        <v/>
      </c>
      <c r="Q767">
        <f>IFERROR(1/IF(Inputs!$B$39="pvp",15,MAX(0.1,Skills!D18-IF(Skills!E18=TRUE,Inputs!$B$33,0))),0)</f>
        <v/>
      </c>
      <c r="R767">
        <f>IF(AND(Inputs!$B$39&lt;&gt;"pvp",Inputs!$B$44&gt;0),IF(Inputs!$B$44&lt;=0,0,(INT(Inputs!$B$44/IF(Inputs!$B$39="pvp",15,MAX(0.1,Skills!D18-IF(Skills!E18=TRUE,Inputs!$B$33,0))))+1)),0)</f>
        <v/>
      </c>
      <c r="S767">
        <f>IFERROR(O767/N767,0)</f>
        <v/>
      </c>
      <c r="T767" t="n">
        <v>0</v>
      </c>
      <c r="V767" t="n">
        <v>0</v>
      </c>
    </row>
    <row r="768">
      <c r="A768">
        <f>Skills!A19</f>
        <v/>
      </c>
      <c r="B768">
        <f>Skills!B19</f>
        <v/>
      </c>
      <c r="C768">
        <f>Inputs!$B$3&gt;=72</f>
        <v/>
      </c>
      <c r="D768">
        <f>IF(Skills!C19=1,60+Inputs!$B$26+Inputs!$B$30,IF(Skills!C19=2,90+Inputs!$B$27+Inputs!$B$30,IF(Skills!C19=3,120+Inputs!$B$28+Inputs!$B$30,MAX(0,(Inputs!$B$3-100)*3)+Inputs!$B$29+Inputs!$B$30)))</f>
        <v/>
      </c>
      <c r="E768">
        <f>INDEX(FactorTable!$B$2:$Y$301, MATCH(ROUND(MIN(300,MAX(1,D768)),0), FactorTable!$A$2:$A$301,0), Skills!M19+1)</f>
        <v/>
      </c>
      <c r="F768">
        <f>IF(Skills!N19=TRUE,(Skills!L19/10)*(E768/1000),Skills!L19/10)+Skills!O19</f>
        <v/>
      </c>
      <c r="G768">
        <f>Skills!G19*IF(Skills!H19&gt;0,Skills!I19/Skills!H19,1)</f>
        <v/>
      </c>
      <c r="H768">
        <f>1-(1-Skills!J19/100)^Skills!K19</f>
        <v/>
      </c>
      <c r="I768" t="inlineStr">
        <is>
          <t>1</t>
        </is>
      </c>
      <c r="J768" t="inlineStr"/>
      <c r="K768" t="inlineStr"/>
      <c r="L768" t="inlineStr"/>
      <c r="M768" t="inlineStr"/>
      <c r="N768" t="inlineStr"/>
      <c r="O768">
        <f>(1-Summary!$B$55)*T768+Summary!$B$55*V768</f>
        <v/>
      </c>
      <c r="P768">
        <f>IF(B788=0,0,O768/B788)</f>
        <v/>
      </c>
      <c r="Q768">
        <f>IFERROR(1/IF(Inputs!$B$39="pvp",15,MAX(0.1,Skills!D19-IF(Skills!E19=TRUE,Inputs!$B$33,0))),0)</f>
        <v/>
      </c>
      <c r="R768">
        <f>IF(AND(Inputs!$B$39&lt;&gt;"pvp",Inputs!$B$44&gt;0),IF(Inputs!$B$44&lt;=0,0,(INT(Inputs!$B$44/IF(Inputs!$B$39="pvp",15,MAX(0.1,Skills!D19-IF(Skills!E19=TRUE,Inputs!$B$33,0))))+1)),0)</f>
        <v/>
      </c>
      <c r="S768">
        <f>IFERROR(O768/N768,0)</f>
        <v/>
      </c>
      <c r="T768" t="n">
        <v>0</v>
      </c>
      <c r="V768" t="n">
        <v>0</v>
      </c>
    </row>
    <row r="769">
      <c r="A769">
        <f>Skills!A20</f>
        <v/>
      </c>
      <c r="B769">
        <f>Skills!B20</f>
        <v/>
      </c>
      <c r="C769">
        <f>TRUE</f>
        <v/>
      </c>
      <c r="D769">
        <f>IF(Skills!C20=1,60+Inputs!$B$26+Inputs!$B$30,IF(Skills!C20=2,90+Inputs!$B$27+Inputs!$B$30,IF(Skills!C20=3,120+Inputs!$B$28+Inputs!$B$30,MAX(0,(Inputs!$B$3-100)*3)+Inputs!$B$29+Inputs!$B$30)))</f>
        <v/>
      </c>
      <c r="E769">
        <f>INDEX(FactorTable!$B$2:$Y$301, MATCH(ROUND(MIN(300,MAX(1,D769)),0), FactorTable!$A$2:$A$301,0), Skills!M20+1)</f>
        <v/>
      </c>
      <c r="F769">
        <f>IF(Skills!N20=TRUE,(Skills!L20/10)*(E769/1000),Skills!L20/10)+Skills!O20</f>
        <v/>
      </c>
      <c r="G769">
        <f>Skills!G20*IF(Skills!H20&gt;0,Skills!I20/Skills!H20,1)</f>
        <v/>
      </c>
      <c r="H769">
        <f>1-(1-Skills!J20/100)^Skills!K20</f>
        <v/>
      </c>
      <c r="I769" t="inlineStr">
        <is>
          <t>1</t>
        </is>
      </c>
      <c r="J769" t="inlineStr"/>
      <c r="K769" t="inlineStr"/>
      <c r="L769" t="inlineStr"/>
      <c r="M769" t="inlineStr"/>
      <c r="N769" t="inlineStr"/>
      <c r="O769">
        <f>(1-Summary!$B$55)*T769+Summary!$B$55*V769</f>
        <v/>
      </c>
      <c r="P769">
        <f>IF(B788=0,0,O769/B788)</f>
        <v/>
      </c>
      <c r="Q769">
        <f>IFERROR(1/IF(Inputs!$B$39="pvp",15,MAX(0.1,Skills!D20-IF(Skills!E20=TRUE,Inputs!$B$33,0))),0)</f>
        <v/>
      </c>
      <c r="R769">
        <f>IF(AND(Inputs!$B$39&lt;&gt;"pvp",Inputs!$B$44&gt;0),IF(Inputs!$B$44&lt;=0,0,(INT(Inputs!$B$44/IF(Inputs!$B$39="pvp",15,MAX(0.1,Skills!D20-IF(Skills!E20=TRUE,Inputs!$B$33,0))))+1)),0)</f>
        <v/>
      </c>
      <c r="S769">
        <f>IFERROR(O769/N769,0)</f>
        <v/>
      </c>
      <c r="T769" t="n">
        <v>0</v>
      </c>
      <c r="V769" t="n">
        <v>0</v>
      </c>
    </row>
    <row r="770">
      <c r="A770">
        <f>Skills!A21</f>
        <v/>
      </c>
      <c r="B770">
        <f>Skills!B21</f>
        <v/>
      </c>
      <c r="C770">
        <f>Inputs!$B$3&gt;=33</f>
        <v/>
      </c>
      <c r="D770">
        <f>IF(Skills!C21=1,60+Inputs!$B$26+Inputs!$B$30,IF(Skills!C21=2,90+Inputs!$B$27+Inputs!$B$30,IF(Skills!C21=3,120+Inputs!$B$28+Inputs!$B$30,MAX(0,(Inputs!$B$3-100)*3)+Inputs!$B$29+Inputs!$B$30)))</f>
        <v/>
      </c>
      <c r="E770">
        <f>INDEX(FactorTable!$B$2:$Y$301, MATCH(ROUND(MIN(300,MAX(1,D770)),0), FactorTable!$A$2:$A$301,0), Skills!M21+1)</f>
        <v/>
      </c>
      <c r="F770">
        <f>IF(Skills!N21=TRUE,(Skills!L21/10)*(E770/1000),Skills!L21/10)+Skills!O21</f>
        <v/>
      </c>
      <c r="G770">
        <f>Skills!G21*IF(Skills!H21&gt;0,Skills!I21/Skills!H21,1)</f>
        <v/>
      </c>
      <c r="H770">
        <f>1-(1-Skills!J21/100)^Skills!K21</f>
        <v/>
      </c>
      <c r="I770" t="inlineStr">
        <is>
          <t>1</t>
        </is>
      </c>
      <c r="J770" t="inlineStr"/>
      <c r="K770" t="inlineStr"/>
      <c r="L770" t="inlineStr"/>
      <c r="M770" t="inlineStr"/>
      <c r="N770" t="inlineStr"/>
      <c r="O770">
        <f>(1-Summary!$B$55)*T770+Summary!$B$55*V770</f>
        <v/>
      </c>
      <c r="P770">
        <f>IF(B788=0,0,O770/B788)</f>
        <v/>
      </c>
      <c r="Q770" t="n">
        <v>0</v>
      </c>
      <c r="R770" t="n">
        <v>0</v>
      </c>
      <c r="S770">
        <f>IFERROR(O770/N770,0)</f>
        <v/>
      </c>
      <c r="T770" t="n">
        <v>0</v>
      </c>
      <c r="V770" t="n">
        <v>0</v>
      </c>
    </row>
    <row r="771">
      <c r="A771">
        <f>Skills!A22</f>
        <v/>
      </c>
      <c r="B771">
        <f>Skills!B22</f>
        <v/>
      </c>
      <c r="C771">
        <f>Inputs!$B$3&gt;=43</f>
        <v/>
      </c>
      <c r="D771">
        <f>IF(Skills!C22=1,60+Inputs!$B$26+Inputs!$B$30,IF(Skills!C22=2,90+Inputs!$B$27+Inputs!$B$30,IF(Skills!C22=3,120+Inputs!$B$28+Inputs!$B$30,MAX(0,(Inputs!$B$3-100)*3)+Inputs!$B$29+Inputs!$B$30)))</f>
        <v/>
      </c>
      <c r="E771">
        <f>INDEX(FactorTable!$B$2:$Y$301, MATCH(ROUND(MIN(300,MAX(1,D771)),0), FactorTable!$A$2:$A$301,0), Skills!M22+1)</f>
        <v/>
      </c>
      <c r="F771">
        <f>IF(Skills!N22=TRUE,(Skills!L22/10)*(E771/1000),Skills!L22/10)+Skills!O22</f>
        <v/>
      </c>
      <c r="G771">
        <f>Skills!G22*IF(Skills!H22&gt;0,Skills!I22/Skills!H22,1)</f>
        <v/>
      </c>
      <c r="H771">
        <f>1-(1-Skills!J22/100)^Skills!K22</f>
        <v/>
      </c>
      <c r="I771" t="inlineStr">
        <is>
          <t>1</t>
        </is>
      </c>
      <c r="J771" t="inlineStr"/>
      <c r="K771" t="inlineStr"/>
      <c r="L771" t="inlineStr"/>
      <c r="M771" t="inlineStr"/>
      <c r="N771" t="inlineStr"/>
      <c r="O771">
        <f>(1-Summary!$B$55)*T771+Summary!$B$55*V771</f>
        <v/>
      </c>
      <c r="P771">
        <f>IF(B788=0,0,O771/B788)</f>
        <v/>
      </c>
      <c r="Q771" t="n">
        <v>0</v>
      </c>
      <c r="R771" t="n">
        <v>0</v>
      </c>
      <c r="S771">
        <f>IFERROR(O771/N771,0)</f>
        <v/>
      </c>
      <c r="T771" t="n">
        <v>0</v>
      </c>
      <c r="V771" t="n">
        <v>0</v>
      </c>
    </row>
    <row r="772">
      <c r="A772">
        <f>Skills!A23</f>
        <v/>
      </c>
      <c r="B772">
        <f>Skills!B23</f>
        <v/>
      </c>
      <c r="C772">
        <f>Inputs!$B$3&gt;=120</f>
        <v/>
      </c>
      <c r="D772">
        <f>IF(Skills!C23=1,60+Inputs!$B$26+Inputs!$B$30,IF(Skills!C23=2,90+Inputs!$B$27+Inputs!$B$30,IF(Skills!C23=3,120+Inputs!$B$28+Inputs!$B$30,MAX(0,(Inputs!$B$3-100)*3)+Inputs!$B$29+Inputs!$B$30)))</f>
        <v/>
      </c>
      <c r="E772">
        <f>INDEX(FactorTable!$B$2:$Y$301, MATCH(ROUND(MIN(300,MAX(1,D772)),0), FactorTable!$A$2:$A$301,0), Skills!M23+1)</f>
        <v/>
      </c>
      <c r="F772">
        <f>IF(Skills!N23=TRUE,(Skills!L23/10)*(E772/1000),Skills!L23/10)+Skills!O23</f>
        <v/>
      </c>
      <c r="G772">
        <f>Skills!G23*IF(Skills!H23&gt;0,Skills!I23/Skills!H23,1)</f>
        <v/>
      </c>
      <c r="H772">
        <f>1-(1-Skills!J23/100)^Skills!K23</f>
        <v/>
      </c>
      <c r="I772" t="inlineStr">
        <is>
          <t>1</t>
        </is>
      </c>
      <c r="J772" t="inlineStr"/>
      <c r="K772" t="inlineStr"/>
      <c r="L772" t="inlineStr"/>
      <c r="M772" t="inlineStr"/>
      <c r="N772" t="inlineStr"/>
      <c r="O772">
        <f>(1-Summary!$B$55)*T772+Summary!$B$55*V772</f>
        <v/>
      </c>
      <c r="P772">
        <f>IF(B788=0,0,O772/B788)</f>
        <v/>
      </c>
      <c r="Q772" t="n">
        <v>0</v>
      </c>
      <c r="R772" t="n">
        <v>0</v>
      </c>
      <c r="S772">
        <f>IFERROR(O772/N772,0)</f>
        <v/>
      </c>
      <c r="T772" t="n">
        <v>0</v>
      </c>
      <c r="V772" t="n">
        <v>0</v>
      </c>
    </row>
    <row r="773">
      <c r="A773">
        <f>Skills!A24</f>
        <v/>
      </c>
      <c r="B773">
        <f>Skills!B24</f>
        <v/>
      </c>
      <c r="C773">
        <f>Inputs!$B$3&gt;=120</f>
        <v/>
      </c>
      <c r="D773">
        <f>IF(Skills!C24=1,60+Inputs!$B$26+Inputs!$B$30,IF(Skills!C24=2,90+Inputs!$B$27+Inputs!$B$30,IF(Skills!C24=3,120+Inputs!$B$28+Inputs!$B$30,MAX(0,(Inputs!$B$3-100)*3)+Inputs!$B$29+Inputs!$B$30)))</f>
        <v/>
      </c>
      <c r="E773">
        <f>INDEX(FactorTable!$B$2:$Y$301, MATCH(ROUND(MIN(300,MAX(1,D773)),0), FactorTable!$A$2:$A$301,0), Skills!M24+1)</f>
        <v/>
      </c>
      <c r="F773">
        <f>IF(Skills!N24=TRUE,(Skills!L24/10)*(E773/1000),Skills!L24/10)+Skills!O24</f>
        <v/>
      </c>
      <c r="G773">
        <f>Skills!G24*IF(Skills!H24&gt;0,Skills!I24/Skills!H24,1)</f>
        <v/>
      </c>
      <c r="H773">
        <f>1-(1-Skills!J24/100)^Skills!K24</f>
        <v/>
      </c>
      <c r="I773" t="inlineStr">
        <is>
          <t>1</t>
        </is>
      </c>
      <c r="J773" t="inlineStr"/>
      <c r="K773" t="inlineStr"/>
      <c r="L773" t="inlineStr"/>
      <c r="M773" t="inlineStr"/>
      <c r="N773" t="inlineStr"/>
      <c r="O773">
        <f>(1-Summary!$B$55)*T773+Summary!$B$55*V773</f>
        <v/>
      </c>
      <c r="P773">
        <f>IF(B788=0,0,O773/B788)</f>
        <v/>
      </c>
      <c r="Q773" t="n">
        <v>0</v>
      </c>
      <c r="R773" t="n">
        <v>0</v>
      </c>
      <c r="S773">
        <f>IFERROR(O773/N773,0)</f>
        <v/>
      </c>
      <c r="T773" t="n">
        <v>0</v>
      </c>
      <c r="V773" t="n">
        <v>0</v>
      </c>
    </row>
    <row r="774">
      <c r="A774">
        <f>Skills!A25</f>
        <v/>
      </c>
      <c r="B774">
        <f>Skills!B25</f>
        <v/>
      </c>
      <c r="C774">
        <f>Inputs!$B$3&gt;=125</f>
        <v/>
      </c>
      <c r="D774">
        <f>IF(Skills!C25=1,60+Inputs!$B$26+Inputs!$B$30,IF(Skills!C25=2,90+Inputs!$B$27+Inputs!$B$30,IF(Skills!C25=3,120+Inputs!$B$28+Inputs!$B$30,MAX(0,(Inputs!$B$3-100)*3)+Inputs!$B$29+Inputs!$B$30)))</f>
        <v/>
      </c>
      <c r="E774">
        <f>INDEX(FactorTable!$B$2:$Y$301, MATCH(ROUND(MIN(300,MAX(1,D774)),0), FactorTable!$A$2:$A$301,0), Skills!M25+1)</f>
        <v/>
      </c>
      <c r="F774">
        <f>IF(Skills!N25=TRUE,(Skills!L25/10)*(E774/1000),Skills!L25/10)+Skills!O25</f>
        <v/>
      </c>
      <c r="G774">
        <f>Skills!G25*IF(Skills!H25&gt;0,Skills!I25/Skills!H25,1)</f>
        <v/>
      </c>
      <c r="H774">
        <f>1-(1-Skills!J25/100)^Skills!K25</f>
        <v/>
      </c>
      <c r="I774" t="inlineStr">
        <is>
          <t>1</t>
        </is>
      </c>
      <c r="J774" t="inlineStr"/>
      <c r="K774" t="inlineStr"/>
      <c r="L774" t="inlineStr"/>
      <c r="M774" t="inlineStr"/>
      <c r="N774" t="inlineStr"/>
      <c r="O774">
        <f>(1-Summary!$B$55)*T774+Summary!$B$55*V774</f>
        <v/>
      </c>
      <c r="P774">
        <f>IF(B788=0,0,O774/B788)</f>
        <v/>
      </c>
      <c r="Q774" t="n">
        <v>0</v>
      </c>
      <c r="R774" t="n">
        <v>0</v>
      </c>
      <c r="S774">
        <f>IFERROR(O774/N774,0)</f>
        <v/>
      </c>
      <c r="T774" t="n">
        <v>0</v>
      </c>
      <c r="V774" t="n">
        <v>0</v>
      </c>
    </row>
    <row r="775">
      <c r="A775">
        <f>Skills!A26</f>
        <v/>
      </c>
      <c r="B775">
        <f>Skills!B26</f>
        <v/>
      </c>
      <c r="C775">
        <f>Inputs!$B$3&gt;=107</f>
        <v/>
      </c>
      <c r="D775">
        <f>IF(Skills!C26=1,60+Inputs!$B$26+Inputs!$B$30,IF(Skills!C26=2,90+Inputs!$B$27+Inputs!$B$30,IF(Skills!C26=3,120+Inputs!$B$28+Inputs!$B$30,MAX(0,(Inputs!$B$3-100)*3)+Inputs!$B$29+Inputs!$B$30)))</f>
        <v/>
      </c>
      <c r="E775">
        <f>INDEX(FactorTable!$B$2:$Y$301, MATCH(ROUND(MIN(300,MAX(1,D775)),0), FactorTable!$A$2:$A$301,0), Skills!M26+1)</f>
        <v/>
      </c>
      <c r="F775">
        <f>IF(Skills!N26=TRUE,(Skills!L26/10)*(E775/1000),Skills!L26/10)+Skills!O26</f>
        <v/>
      </c>
      <c r="G775">
        <f>Skills!G26*IF(Skills!H26&gt;0,Skills!I26/Skills!H26,1)</f>
        <v/>
      </c>
      <c r="H775">
        <f>1-(1-Skills!J26/100)^Skills!K26</f>
        <v/>
      </c>
      <c r="I775" t="inlineStr">
        <is>
          <t>1</t>
        </is>
      </c>
      <c r="J775" t="inlineStr"/>
      <c r="K775" t="inlineStr"/>
      <c r="L775" t="inlineStr"/>
      <c r="M775" t="inlineStr"/>
      <c r="N775" t="inlineStr"/>
      <c r="O775">
        <f>(1-Summary!$B$55)*T775+Summary!$B$55*V775</f>
        <v/>
      </c>
      <c r="P775">
        <f>IF(B788=0,0,O775/B788)</f>
        <v/>
      </c>
      <c r="Q775" t="n">
        <v>0</v>
      </c>
      <c r="R775" t="n">
        <v>0</v>
      </c>
      <c r="S775">
        <f>IFERROR(O775/N775,0)</f>
        <v/>
      </c>
      <c r="T775" t="n">
        <v>0</v>
      </c>
      <c r="V775" t="n">
        <v>0</v>
      </c>
    </row>
    <row r="777">
      <c r="A777" t="inlineStr">
        <is>
          <t>Attack% Bucket Multiplier</t>
        </is>
      </c>
      <c r="B777">
        <f>(1+(((C762=TRUE)*F762*IF(AND(Inputs!$B$39&lt;&gt;"pvp",Inputs!$B$44&gt;0),(((R762-1)*(Skills!T13*(1+Inputs!$B$35/100))+MIN((Skills!T13*(1+Inputs!$B$35/100)),MAX(0,Inputs!$B$44-((R762-1)*Skills!D13))))/Inputs!$B$44),IF(Inputs!$B$39="pvp",MIN((Skills!T13*(1+Inputs!$B$35/100)),15)/15,(Skills!T13*(1+Inputs!$B$35/100))/Skills!D13)))+((C763=TRUE)*F763*IF(AND(Inputs!$B$39&lt;&gt;"pvp",Inputs!$B$44&gt;0),(((R763-1)*(Skills!T14*(1+Inputs!$B$35/100))+MIN((Skills!T14*(1+Inputs!$B$35/100)),MAX(0,Inputs!$B$44-((R763-1)*Skills!D14))))/Inputs!$B$44),IF(Inputs!$B$39="pvp",MIN((Skills!T14*(1+Inputs!$B$35/100)),15)/15,(Skills!T14*(1+Inputs!$B$35/100))/Skills!D14)))+((C764=TRUE)*F764*IF(AND(Inputs!$B$39&lt;&gt;"pvp",Inputs!$B$44&gt;0),(((R764-1)*(Skills!T15*(1+Inputs!$B$35/100))+MIN((Skills!T15*(1+Inputs!$B$35/100)),MAX(0,Inputs!$B$44-((R764-1)*Skills!D15))))/Inputs!$B$44),IF(Inputs!$B$39="pvp",MIN((Skills!T15*(1+Inputs!$B$35/100)),15)/15,(Skills!T15*(1+Inputs!$B$35/100))/Skills!D15)))+((C765=TRUE)*F765*IF(AND(Inputs!$B$39&lt;&gt;"pvp",Inputs!$B$44&gt;0),(((R765-1)*(Skills!T16*(1+Inputs!$B$35/100))+MIN((Skills!T16*(1+Inputs!$B$35/100)),MAX(0,Inputs!$B$44-((R765-1)*Skills!D16))))/Inputs!$B$44),IF(Inputs!$B$39="pvp",MIN((Skills!T16*(1+Inputs!$B$35/100)),15)/15,(Skills!T16*(1+Inputs!$B$35/100))/Skills!D16)))+0)/100)</f>
        <v/>
      </c>
    </row>
    <row r="778">
      <c r="A778" t="inlineStr">
        <is>
          <t>Global Crit Rate Bonus % (Lord of Darkness)</t>
        </is>
      </c>
      <c r="B778">
        <f>((C767=TRUE)*F767*(Skills!J18/100)*IF(AND(Inputs!$B$39&lt;&gt;"pvp",Inputs!$B$44&gt;0),(((R767-1)*(Skills!T18*(1+Inputs!$B$35/100))+MIN((Skills!T18*(1+Inputs!$B$35/100)),MAX(0,Inputs!$B$44-((R767-1)*Skills!D18))))/Inputs!$B$44),IF(Inputs!$B$39="pvp",MIN((Skills!T18*(1+Inputs!$B$35/100)),15)/15,(Skills!T18*(1+Inputs!$B$35/100))/Skills!D18)))</f>
        <v/>
      </c>
    </row>
    <row r="779">
      <c r="A779" t="inlineStr">
        <is>
          <t>Attack Speed Buff Bonus %</t>
        </is>
      </c>
      <c r="B779">
        <f>((C769=TRUE)*F769*IF(AND(Inputs!$B$39&lt;&gt;"pvp",Inputs!$B$44&gt;0),(((R769-1)*(Skills!T20*(1+Inputs!$B$35/100))+MIN((Skills!T20*(1+Inputs!$B$35/100)),MAX(0,Inputs!$B$44-((R769-1)*Skills!D20))))/Inputs!$B$44),IF(Inputs!$B$39="pvp",MIN((Skills!T20*(1+Inputs!$B$35/100)),15)/15,(Skills!T20*(1+Inputs!$B$35/100))/Skills!D20)))</f>
        <v/>
      </c>
    </row>
    <row r="780">
      <c r="A780" t="inlineStr">
        <is>
          <t>Actions Per Second</t>
        </is>
      </c>
      <c r="B780">
        <f>1+MIN(150,150*(1-(1-(Inputs!$B$12+((C770=TRUE)*(F770-Calc!F21)))/150)*(1-B779/150)))/100</f>
        <v/>
      </c>
    </row>
    <row r="781">
      <c r="A781" t="inlineStr">
        <is>
          <t>Skill + Buff Cast Rate</t>
        </is>
      </c>
      <c r="B781">
        <f>IF(AND(Inputs!$B$39&lt;&gt;"pvp",Inputs!$B$44&gt;0),SUMPRODUCT((Skills!E2:E26=TRUE)*(C751:C775=TRUE)*R751:R775*Skills!F2:F26)/Inputs!$B$44,SUMPRODUCT((Skills!E2:E26=TRUE)*(C751:C775=TRUE)*Q751:Q775*Skills!F2:F26))</f>
        <v/>
      </c>
    </row>
    <row r="782">
      <c r="A782" t="inlineStr">
        <is>
          <t>Dark Impale Casts Per Second</t>
        </is>
      </c>
      <c r="B782">
        <f>MAX(0,B780-B781)</f>
        <v/>
      </c>
    </row>
    <row r="783">
      <c r="A783" t="inlineStr">
        <is>
          <t>Global Critical Damage Bonus % (Lord of Darkness)</t>
        </is>
      </c>
      <c r="B783">
        <f>((C768=TRUE)*F768*(Skills!J19/100)*IF(AND(Inputs!$B$39&lt;&gt;"pvp",Inputs!$B$44&gt;0),(((R768-1)*(Skills!T19*(1+Inputs!$B$35/100))+MIN((Skills!T19*(1+Inputs!$B$35/100)),MAX(0,Inputs!$B$44-((R768-1)*Skills!D19))))/Inputs!$B$44),IF(Inputs!$B$39="pvp",MIN((Skills!T19*(1+Inputs!$B$35/100)),15)/15,(Skills!T19*(1+Inputs!$B$35/100))/Skills!D19)))</f>
        <v/>
      </c>
    </row>
    <row r="784">
      <c r="A784" t="inlineStr">
        <is>
          <t>Global Final Damage Bonus % (unused)</t>
        </is>
      </c>
      <c r="B784" t="n">
        <v>0</v>
      </c>
    </row>
    <row r="785">
      <c r="A785" t="inlineStr">
        <is>
          <t>Buff-Casting Startup Delay (s, fixed-duration only)</t>
        </is>
      </c>
      <c r="B785">
        <f>IF(AND(Inputs!$B$39&lt;&gt;"pvp",Inputs!$B$44&gt;0),SUMPRODUCT((Skills!T2:T26&gt;0)*(Skills!E2:E26=TRUE)*(C751:C775=TRUE))/B780,0)</f>
        <v/>
      </c>
    </row>
    <row r="786">
      <c r="A786" t="inlineStr">
        <is>
          <t>Boss-Only Total DPS (this block's swept value)</t>
        </is>
      </c>
      <c r="B786">
        <f>SUM(T751:T775)</f>
        <v/>
      </c>
    </row>
    <row r="787">
      <c r="A787" t="inlineStr">
        <is>
          <t>Normal-Only Total DPS (this block's swept value)</t>
        </is>
      </c>
      <c r="B787">
        <f>SUM(V751:V775)</f>
        <v/>
      </c>
    </row>
    <row r="788">
      <c r="A788" s="5" t="inlineStr">
        <is>
          <t>TOTAL DPS</t>
        </is>
      </c>
      <c r="B788" s="5">
        <f>SUM(O751:O775)</f>
        <v/>
      </c>
    </row>
    <row r="791">
      <c r="A791" s="5" t="inlineStr">
        <is>
          <t>Stat: Skill Level Bonus — 1st Job</t>
        </is>
      </c>
    </row>
    <row r="792">
      <c r="A792" s="9" t="inlineStr">
        <is>
          <t>Key</t>
        </is>
      </c>
      <c r="B792" s="9" t="inlineStr">
        <is>
          <t>Name</t>
        </is>
      </c>
      <c r="C792" s="9" t="inlineStr">
        <is>
          <t>Unlocked</t>
        </is>
      </c>
      <c r="D792" s="9" t="inlineStr">
        <is>
          <t>InputLevel</t>
        </is>
      </c>
      <c r="E792" s="9" t="inlineStr">
        <is>
          <t>Factor</t>
        </is>
      </c>
      <c r="F792" s="9" t="inlineStr">
        <is>
          <t>CoefficientPercent</t>
        </is>
      </c>
      <c r="G792" s="9" t="inlineStr">
        <is>
          <t>EffectiveHits</t>
        </is>
      </c>
      <c r="H792" s="9" t="inlineStr">
        <is>
          <t>ProcProbability</t>
        </is>
      </c>
      <c r="I792" s="9" t="inlineStr">
        <is>
          <t>MapleHeroMultiplier</t>
        </is>
      </c>
      <c r="J792" s="9" t="inlineStr">
        <is>
          <t>BaseDamage</t>
        </is>
      </c>
      <c r="K792" s="9" t="inlineStr">
        <is>
          <t>BaseHitDamage</t>
        </is>
      </c>
      <c r="L792" s="9" t="inlineStr">
        <is>
          <t>NonCritAvg</t>
        </is>
      </c>
      <c r="M792" s="9" t="inlineStr">
        <is>
          <t>CritAvg</t>
        </is>
      </c>
      <c r="N792" s="9" t="inlineStr">
        <is>
          <t>ExpectedDamage(perHit)</t>
        </is>
      </c>
      <c r="O792" s="9" t="inlineStr">
        <is>
          <t>DPS</t>
        </is>
      </c>
      <c r="P792" s="9" t="inlineStr">
        <is>
          <t>% of Total</t>
        </is>
      </c>
      <c r="Q792" s="9" t="inlineStr">
        <is>
          <t>InvCooldown</t>
        </is>
      </c>
      <c r="R792" s="9" t="inlineStr">
        <is>
          <t>CastsInFight</t>
        </is>
      </c>
      <c r="S792" s="9"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((Inputs!$B$6*(1+Inputs!$B$7/100))+(((Inputs!$B$13*(1+Inputs!$B$14/100))-(Inputs!$B$13*(1+Inputs!$B$14/100)))+0.25*(Inputs!$B$15-Inputs!$B$15))*(1+Inputs!$B$7/100))*(F793/100)</f>
        <v/>
      </c>
      <c r="K793">
        <f>J793*(1+(((Inputs!$B$13+IF(Inputs!$B$3&gt;=38,(10*INDEX(FactorTable!$B$2:$Y$301, MATCH(ROUND(MIN(300,MAX(1,Inputs!$B$3)),0), FactorTable!$A$2:$A$301,0), 23)/1000)/100*(Inputs!$B$8*(1+Inputs!$B$9/100)),0))*(1+Inputs!$B$14/100))*0.01+Inputs!$B$15*0.0025)/100)*(1+Inputs!$B$16/100)*(1+Inputs!$B$17/100)*(5000/(6000+Inputs!$B$43*(1-(Inputs!$B$20+0)/100)))*(1+(Inputs!$B$25+((C816=TRUE)*(F816-Calc!F25))+((C817=TRUE)*(F817-Calc!F26))+B826)/100)*(1+(IF(Skills!A2="DARK_IMPALE",Inputs!$B$18+0,Inputs!$B$19+((C814=TRUE)*(F814-Calc!F23))))/100)*((1+(((C804=TRUE)*F804*IF(AND(Inputs!$B$39&lt;&gt;"pvp",Inputs!$B$44&gt;0),(((R804-1)*(Skills!T13*(1+Inputs!$B$35/100))+MIN((Skills!T13*(1+Inputs!$B$35/100)),MAX(0,Inputs!$B$44-((R804-1)*Skills!D13))))/Inputs!$B$44),IF(Inputs!$B$39="pvp",MIN((Skills!T13*(1+Inputs!$B$35/100)),15)/15,(Skills!T13*(1+Inputs!$B$35/100))/Skills!D13)))+((C805=TRUE)*F805*IF(AND(Inputs!$B$39&lt;&gt;"pvp",Inputs!$B$44&gt;0),(((R805-1)*(Skills!T14*(1+Inputs!$B$35/100))+MIN((Skills!T14*(1+Inputs!$B$35/100)),MAX(0,Inputs!$B$44-((R805-1)*Skills!D14))))/Inputs!$B$44),IF(Inputs!$B$39="pvp",MIN((Skills!T14*(1+Inputs!$B$35/100)),15)/15,(Skills!T14*(1+Inputs!$B$35/100))/Skills!D14)))+((C806=TRUE)*F806*IF(AND(Inputs!$B$39&lt;&gt;"pvp",Inputs!$B$44&gt;0),(((R806-1)*(Skills!T15*(1+Inputs!$B$35/100))+MIN((Skills!T15*(1+Inputs!$B$35/100)),MAX(0,Inputs!$B$44-((R806-1)*Skills!D15))))/Inputs!$B$44),IF(Inputs!$B$39="pvp",MIN((Skills!T15*(1+Inputs!$B$35/100)),15)/15,(Skills!T15*(1+Inputs!$B$35/100))/Skills!D15)))+((C807=TRUE)*F807*IF(AND(Inputs!$B$39&lt;&gt;"pvp",Inputs!$B$44&gt;0),(((R807-1)*(Skills!T16*(1+Inputs!$B$35/100))+MIN((Skills!T16*(1+Inputs!$B$35/100)),MAX(0,Inputs!$B$44-((R807-1)*Skills!D16))))/Inputs!$B$44),IF(Inputs!$B$39="pvp",MIN((Skills!T16*(1+Inputs!$B$35/100)),15)/15,(Skills!T16*(1+Inputs!$B$35/100))/Skills!D16)))+0)/100)*I793)</f>
        <v/>
      </c>
      <c r="L793">
        <f>K793*(MIN(Inputs!$B$23+((C813=TRUE)*(F813-Calc!F22)),Inputs!$B$24+((C815=TRUE)*(F815-Calc!F24)))/100+(Inputs!$B$24+((C815=TRUE)*(F815-Calc!F24)))/100)/2</f>
        <v/>
      </c>
      <c r="M793">
        <f>L793*(1+(Inputs!$B$11+0+B825)/100)</f>
        <v/>
      </c>
      <c r="N793">
        <f>L793*(1-MIN((Inputs!$B$10+0+B820),100)/100)+M793*(MIN((Inputs!$B$10+0+B820),100)/100)</f>
        <v/>
      </c>
      <c r="O793">
        <f>(1-Summary!$B$55)*T793+Summary!$B$55*V793</f>
        <v/>
      </c>
      <c r="P793">
        <f>IF(B830=0,0,O793/B830)</f>
        <v/>
      </c>
      <c r="Q793" t="n">
        <v>0</v>
      </c>
      <c r="R793" t="n">
        <v>0</v>
      </c>
      <c r="S793">
        <f>IFERROR(O793/N793,0)</f>
        <v/>
      </c>
      <c r="T793">
        <f>IF(C793,(Skills!G2*N793*B824)*IF(Inputs!$B$39="pvp",1,1+(Inputs!$B$21+0+Skills!P2+((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0)</f>
        <v/>
      </c>
      <c r="U793">
        <f>MAX(0,(Inputs!$B$3-100)*3)+Inputs!$B$29+Inputs!$B$30</f>
        <v/>
      </c>
      <c r="V793">
        <f>IF(C793,(Skills!G2*N793*B824)*IF(Inputs!$B$39="pvp",1,(1+(Inputs!$B$22+Skills!Q2+((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MIN((6+Inputs!$B$34),Inputs!$B$38))),0)</f>
        <v/>
      </c>
    </row>
    <row r="794">
      <c r="A794">
        <f>Skills!A3</f>
        <v/>
      </c>
      <c r="B794">
        <f>Skills!B3</f>
        <v/>
      </c>
      <c r="C794">
        <f>Inputs!$B$3&gt;=50</f>
        <v/>
      </c>
      <c r="D794">
        <f>IF(Skills!C3=1,60+(Inputs!$B$26+1)+Inputs!$B$30,IF(Skills!C3=2,90+Inputs!$B$27+Inputs!$B$30,IF(Skills!C3=3,120+Inputs!$B$28+Inputs!$B$30,MAX(0,(Inputs!$B$3-100)*3)+Inputs!$B$29+Inputs!$B$30)))</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U794">
        <f>INDEX(FactorTable!$B$2:$Y$301, MATCH(ROUND(MIN(300,MAX(1,U793)),0), FactorTable!$A$2:$A$301,0), 22)</f>
        <v/>
      </c>
    </row>
    <row r="795">
      <c r="A795">
        <f>Skills!A4</f>
        <v/>
      </c>
      <c r="B795">
        <f>Skills!B4</f>
        <v/>
      </c>
      <c r="C795">
        <f>Inputs!$B$3&gt;=105</f>
        <v/>
      </c>
      <c r="D795">
        <f>IF(Skills!C4=1,60+(Inputs!$B$26+1)+Inputs!$B$30,IF(Skills!C4=2,90+Inputs!$B$27+Inputs!$B$30,IF(Skills!C4=3,120+Inputs!$B$28+Inputs!$B$30,MAX(0,(Inputs!$B$3-100)*3)+Inputs!$B$29+Inputs!$B$30)))</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U795">
        <f>290*U794/1000</f>
        <v/>
      </c>
    </row>
    <row r="796">
      <c r="A796">
        <f>Skills!A5</f>
        <v/>
      </c>
      <c r="B796">
        <f>Skills!B5</f>
        <v/>
      </c>
      <c r="C796">
        <f>Inputs!$B$3&gt;=117</f>
        <v/>
      </c>
      <c r="D796">
        <f>IF(Skills!C5=1,60+(Inputs!$B$26+1)+Inputs!$B$30,IF(Skills!C5=2,90+Inputs!$B$27+Inputs!$B$30,IF(Skills!C5=3,120+Inputs!$B$28+Inputs!$B$30,MAX(0,(Inputs!$B$3-100)*3)+Inputs!$B$29+Inputs!$B$30)))</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((Inputs!$B$6*(1+Inputs!$B$7/100))+(((Inputs!$B$13*(1+Inputs!$B$14/100))-(Inputs!$B$13*(1+Inputs!$B$14/100)))+0.25*(Inputs!$B$15-Inputs!$B$15))*(1+Inputs!$B$7/100))*(F796/100)</f>
        <v/>
      </c>
      <c r="K796">
        <f>J796*(1+(((Inputs!$B$13+IF(Inputs!$B$3&gt;=38,(10*INDEX(FactorTable!$B$2:$Y$301, MATCH(ROUND(MIN(300,MAX(1,Inputs!$B$3)),0), FactorTable!$A$2:$A$301,0), 23)/1000)/100*(Inputs!$B$8*(1+Inputs!$B$9/100)),0))*(1+Inputs!$B$14/100))*0.01+Inputs!$B$15*0.0025)/100)*(1+Inputs!$B$16/100)*(1+Inputs!$B$17/100)*(5000/(6000+Inputs!$B$43*(1-(Inputs!$B$20+0)/100)))*(1+(Inputs!$B$25+((C816=TRUE)*(F816-Calc!F25))+((C817=TRUE)*(F817-Calc!F26))+B826)/100)*(1+(IF(Skills!A5="DARK_IMPALE",Inputs!$B$18+0,Inputs!$B$19+((C814=TRUE)*(F814-Calc!F23))))/100)*((1+(((C804=TRUE)*F804*IF(AND(Inputs!$B$39&lt;&gt;"pvp",Inputs!$B$44&gt;0),(((R804-1)*(Skills!T13*(1+Inputs!$B$35/100))+MIN((Skills!T13*(1+Inputs!$B$35/100)),MAX(0,Inputs!$B$44-((R804-1)*Skills!D13))))/Inputs!$B$44),IF(Inputs!$B$39="pvp",MIN((Skills!T13*(1+Inputs!$B$35/100)),15)/15,(Skills!T13*(1+Inputs!$B$35/100))/Skills!D13)))+((C805=TRUE)*F805*IF(AND(Inputs!$B$39&lt;&gt;"pvp",Inputs!$B$44&gt;0),(((R805-1)*(Skills!T14*(1+Inputs!$B$35/100))+MIN((Skills!T14*(1+Inputs!$B$35/100)),MAX(0,Inputs!$B$44-((R805-1)*Skills!D14))))/Inputs!$B$44),IF(Inputs!$B$39="pvp",MIN((Skills!T14*(1+Inputs!$B$35/100)),15)/15,(Skills!T14*(1+Inputs!$B$35/100))/Skills!D14)))+((C806=TRUE)*F806*IF(AND(Inputs!$B$39&lt;&gt;"pvp",Inputs!$B$44&gt;0),(((R806-1)*(Skills!T15*(1+Inputs!$B$35/100))+MIN((Skills!T15*(1+Inputs!$B$35/100)),MAX(0,Inputs!$B$44-((R806-1)*Skills!D15))))/Inputs!$B$44),IF(Inputs!$B$39="pvp",MIN((Skills!T15*(1+Inputs!$B$35/100)),15)/15,(Skills!T15*(1+Inputs!$B$35/100))/Skills!D15)))+((C807=TRUE)*F807*IF(AND(Inputs!$B$39&lt;&gt;"pvp",Inputs!$B$44&gt;0),(((R807-1)*(Skills!T16*(1+Inputs!$B$35/100))+MIN((Skills!T16*(1+Inputs!$B$35/100)),MAX(0,Inputs!$B$44-((R807-1)*Skills!D16))))/Inputs!$B$44),IF(Inputs!$B$39="pvp",MIN((Skills!T16*(1+Inputs!$B$35/100)),15)/15,(Skills!T16*(1+Inputs!$B$35/100))/Skills!D16)))+0)/100)*I796)</f>
        <v/>
      </c>
      <c r="L796">
        <f>K796*(MIN(Inputs!$B$23+((C813=TRUE)*(F813-Calc!F22)),Inputs!$B$24+((C815=TRUE)*(F815-Calc!F24)))/100+(Inputs!$B$24+((C815=TRUE)*(F815-Calc!F24)))/100)/2</f>
        <v/>
      </c>
      <c r="M796">
        <f>L796*(1+(Inputs!$B$11+0+B825)/100)</f>
        <v/>
      </c>
      <c r="N796">
        <f>L796*(1-MIN((Inputs!$B$10+0+B820),100)/100)+M796*(MIN((Inputs!$B$10+0+B820),100)/100)</f>
        <v/>
      </c>
      <c r="O796">
        <f>(1-Summary!$B$55)*T796+Summary!$B$55*V796</f>
        <v/>
      </c>
      <c r="P796">
        <f>IF(B830=0,0,O796/B830)</f>
        <v/>
      </c>
      <c r="Q796">
        <f>IFERROR(1/IF(Inputs!$B$39="pvp",15,MAX(0.1,Skills!D5-IF(Skills!E5=TRUE,Inputs!$B$33,0))),0)</f>
        <v/>
      </c>
      <c r="R796">
        <f>IF(AND(Inputs!$B$39&lt;&gt;"pvp",Inputs!$B$44&gt;0),IF(MAX(0,Inputs!$B$44-B827)&lt;=0,0,(INT(MAX(0,Inputs!$B$44-B827)/IF(Inputs!$B$39="pvp",15,MAX(0.1,Skills!D5-IF(Skills!E5=TRUE,Inputs!$B$33,0))))+1)),0)</f>
        <v/>
      </c>
      <c r="S796">
        <f>IFERROR(O796/N796,0)</f>
        <v/>
      </c>
      <c r="T796">
        <f>IF(C796,(H796*N796*IF(AND(Inputs!$B$39&lt;&gt;"pvp",Inputs!$B$44&gt;0),((Skills!G5*((R796-1)*IF(Skills!H5&gt;0,Skills!I5/Skills!H5,1)+IF(Skills!H5&gt;0,MIN(Skills!I5,MAX(0,MAX(0,Inputs!$B$44-B827)-((R796-1)*IF(Inputs!$B$39="pvp",15,MAX(0.1,Skills!D5-IF(Skills!E5=TRUE,Inputs!$B$33,0))))))/Skills!H5,1)))/Inputs!$B$44),G796*Q796))*IF(Inputs!$B$39="pvp",1,1+(Inputs!$B$21+0+Skills!P5+((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0)</f>
        <v/>
      </c>
      <c r="V796">
        <f>IF(C796,(H796*N796*IF(AND(Inputs!$B$39&lt;&gt;"pvp",Inputs!$B$44&gt;0),((Skills!G5*((R796-1)*IF(Skills!H5&gt;0,Skills!I5/Skills!H5,1)+IF(Skills!H5&gt;0,MIN(Skills!I5,MAX(0,MAX(0,Inputs!$B$44-B827)-((R796-1)*IF(Inputs!$B$39="pvp",15,MAX(0.1,Skills!D5-IF(Skills!E5=TRUE,Inputs!$B$33,0))))))/Skills!H5,1)))/Inputs!$B$44),G796*Q796))*IF(Inputs!$B$39="pvp",1,(1+(Inputs!$B$22+Skills!Q5+((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MIN(Skills!R5,Inputs!$B$38))),0)</f>
        <v/>
      </c>
    </row>
    <row r="797">
      <c r="A797">
        <f>Skills!A6</f>
        <v/>
      </c>
      <c r="B797">
        <f>Skills!B6</f>
        <v/>
      </c>
      <c r="C797">
        <f>Inputs!$B$3&gt;=103</f>
        <v/>
      </c>
      <c r="D797">
        <f>IF(Skills!C6=1,60+(Inputs!$B$26+1)+Inputs!$B$30,IF(Skills!C6=2,90+Inputs!$B$27+Inputs!$B$30,IF(Skills!C6=3,120+Inputs!$B$28+Inputs!$B$30,MAX(0,(Inputs!$B$3-100)*3)+Inputs!$B$29+Inputs!$B$30)))</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nputs!$B$17/100)*(5000/(6000+Inputs!$B$43*(1-(Inputs!$B$20+0)/100)))*(1+(Inputs!$B$25+((C816=TRUE)*(F816-Calc!F25))+((C817=TRUE)*(F817-Calc!F26))+B826)/100)*(1+(IF(Skills!A6="DARK_IMPALE",Inputs!$B$18+0,Inputs!$B$19+((C814=TRUE)*(F814-Calc!F23))))/100)*((1+(((C804=TRUE)*F804*IF(AND(Inputs!$B$39&lt;&gt;"pvp",Inputs!$B$44&gt;0),(((R804-1)*(Skills!T13*(1+Inputs!$B$35/100))+MIN((Skills!T13*(1+Inputs!$B$35/100)),MAX(0,Inputs!$B$44-((R804-1)*Skills!D13))))/Inputs!$B$44),IF(Inputs!$B$39="pvp",MIN((Skills!T13*(1+Inputs!$B$35/100)),15)/15,(Skills!T13*(1+Inputs!$B$35/100))/Skills!D13)))+((C805=TRUE)*F805*IF(AND(Inputs!$B$39&lt;&gt;"pvp",Inputs!$B$44&gt;0),(((R805-1)*(Skills!T14*(1+Inputs!$B$35/100))+MIN((Skills!T14*(1+Inputs!$B$35/100)),MAX(0,Inputs!$B$44-((R805-1)*Skills!D14))))/Inputs!$B$44),IF(Inputs!$B$39="pvp",MIN((Skills!T14*(1+Inputs!$B$35/100)),15)/15,(Skills!T14*(1+Inputs!$B$35/100))/Skills!D14)))+((C806=TRUE)*F806*IF(AND(Inputs!$B$39&lt;&gt;"pvp",Inputs!$B$44&gt;0),(((R806-1)*(Skills!T15*(1+Inputs!$B$35/100))+MIN((Skills!T15*(1+Inputs!$B$35/100)),MAX(0,Inputs!$B$44-((R806-1)*Skills!D15))))/Inputs!$B$44),IF(Inputs!$B$39="pvp",MIN((Skills!T15*(1+Inputs!$B$35/100)),15)/15,(Skills!T15*(1+Inputs!$B$35/100))/Skills!D15)))+((C807=TRUE)*F807*IF(AND(Inputs!$B$39&lt;&gt;"pvp",Inputs!$B$44&gt;0),(((R807-1)*(Skills!T16*(1+Inputs!$B$35/100))+MIN((Skills!T16*(1+Inputs!$B$35/100)),MAX(0,Inputs!$B$44-((R807-1)*Skills!D16))))/Inputs!$B$44),IF(Inputs!$B$39="pvp",MIN((Skills!T16*(1+Inputs!$B$35/100)),15)/15,(Skills!T16*(1+Inputs!$B$35/100))/Skills!D16)))+0)/100)*I797)</f>
        <v/>
      </c>
      <c r="L797">
        <f>K797*(MIN(Inputs!$B$23+((C813=TRUE)*(F813-Calc!F22)),Inputs!$B$24+((C815=TRUE)*(F815-Calc!F24)))/100+(Inputs!$B$24+((C815=TRUE)*(F815-Calc!F24)))/100)/2</f>
        <v/>
      </c>
      <c r="M797">
        <f>L797*(1+(Inputs!$B$11+0+B825)/100)</f>
        <v/>
      </c>
      <c r="N797">
        <f>L797*(1-MIN((Inputs!$B$10+0+B820),100)/100)+M797*(MIN((Inputs!$B$10+0+B820),100)/100)</f>
        <v/>
      </c>
      <c r="O797">
        <f>(1-Summary!$B$55)*T797+Summary!$B$55*V797</f>
        <v/>
      </c>
      <c r="P797">
        <f>IF(B830=0,0,O797/B830)</f>
        <v/>
      </c>
      <c r="Q797">
        <f>IFERROR(1/IF(Inputs!$B$39="pvp",15,MAX(0.1,Skills!D6-IF(Skills!E6=TRUE,Inputs!$B$33,0))),0)</f>
        <v/>
      </c>
      <c r="R797">
        <f>IF(AND(Inputs!$B$39&lt;&gt;"pvp",Inputs!$B$44&gt;0),IF(MAX(0,Inputs!$B$44-B827)&lt;=0,0,(INT(MAX(0,Inputs!$B$44-B827)/IF(Inputs!$B$39="pvp",15,MAX(0.1,Skills!D6-IF(Skills!E6=TRUE,Inputs!$B$33,0))))+1)),0)</f>
        <v/>
      </c>
      <c r="S797">
        <f>IFERROR(O797/N797,0)</f>
        <v/>
      </c>
      <c r="T797">
        <f>IF(C797,(H797*N797*IF(AND(Inputs!$B$39&lt;&gt;"pvp",Inputs!$B$44&gt;0),((Skills!G6*((R797-1)*IF(Skills!H6&gt;0,Skills!I6/Skills!H6,1)+IF(Skills!H6&gt;0,MIN(Skills!I6,MAX(0,MAX(0,Inputs!$B$44-B827)-((R797-1)*IF(Inputs!$B$39="pvp",15,MAX(0.1,Skills!D6-IF(Skills!E6=TRUE,Inputs!$B$33,0))))))/Skills!H6,1)))/Inputs!$B$44),G797*Q797))*IF(Inputs!$B$39="pvp",1,1+(Inputs!$B$21+0+Skills!P6+((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0)</f>
        <v/>
      </c>
      <c r="V797">
        <f>IF(C797,(H797*N797*IF(AND(Inputs!$B$39&lt;&gt;"pvp",Inputs!$B$44&gt;0),((Skills!G6*((R797-1)*IF(Skills!H6&gt;0,Skills!I6/Skills!H6,1)+IF(Skills!H6&gt;0,MIN(Skills!I6,MAX(0,MAX(0,Inputs!$B$44-B827)-((R797-1)*IF(Inputs!$B$39="pvp",15,MAX(0.1,Skills!D6-IF(Skills!E6=TRUE,Inputs!$B$33,0))))))/Skills!H6,1)))/Inputs!$B$44),G797*Q797))*IF(Inputs!$B$39="pvp",1,(1+(Inputs!$B$22+Skills!Q6+((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MIN(Skills!R6,Inputs!$B$38))),0)</f>
        <v/>
      </c>
    </row>
    <row r="798">
      <c r="A798">
        <f>Skills!A7</f>
        <v/>
      </c>
      <c r="B798">
        <f>Skills!B7</f>
        <v/>
      </c>
      <c r="C798">
        <f>Inputs!$B$3&gt;=40</f>
        <v/>
      </c>
      <c r="D798">
        <f>IF(Skills!C7=1,60+(Inputs!$B$26+1)+Inputs!$B$30,IF(Skills!C7=2,90+Inputs!$B$27+Inputs!$B$30,IF(Skills!C7=3,120+Inputs!$B$28+Inputs!$B$30,MAX(0,(Inputs!$B$3-100)*3)+Inputs!$B$29+Inputs!$B$30)))</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((Inputs!$B$6*(1+Inputs!$B$7/100))+(((Inputs!$B$13*(1+Inputs!$B$14/100))-(Inputs!$B$13*(1+Inputs!$B$14/100)))+0.25*(Inputs!$B$15-Inputs!$B$15))*(1+Inputs!$B$7/100))*(F798/100)</f>
        <v/>
      </c>
      <c r="K798">
        <f>J798*(1+(((Inputs!$B$13+IF(Inputs!$B$3&gt;=38,(10*INDEX(FactorTable!$B$2:$Y$301, MATCH(ROUND(MIN(300,MAX(1,Inputs!$B$3)),0), FactorTable!$A$2:$A$301,0), 23)/1000)/100*(Inputs!$B$8*(1+Inputs!$B$9/100)),0))*(1+Inputs!$B$14/100))*0.01+Inputs!$B$15*0.0025)/100)*(1+Inputs!$B$16/100)*(1+Inputs!$B$17/100)*(5000/(6000+Inputs!$B$43*(1-(Inputs!$B$20+0)/100)))*(1+(Inputs!$B$25+((C816=TRUE)*(F816-Calc!F25))+((C817=TRUE)*(F817-Calc!F26))+B826)/100)*(1+0.75*IF(C802=TRUE,F802,0)/100)*(1+(IF(Skills!A7="DARK_IMPALE",Inputs!$B$18+0,Inputs!$B$19+((C814=TRUE)*(F814-Calc!F23))))/100)*((1+(((C804=TRUE)*F804*IF(AND(Inputs!$B$39&lt;&gt;"pvp",Inputs!$B$44&gt;0),(((R804-1)*(Skills!T13*(1+Inputs!$B$35/100))+MIN((Skills!T13*(1+Inputs!$B$35/100)),MAX(0,Inputs!$B$44-((R804-1)*Skills!D13))))/Inputs!$B$44),IF(Inputs!$B$39="pvp",MIN((Skills!T13*(1+Inputs!$B$35/100)),15)/15,(Skills!T13*(1+Inputs!$B$35/100))/Skills!D13)))+((C805=TRUE)*F805*IF(AND(Inputs!$B$39&lt;&gt;"pvp",Inputs!$B$44&gt;0),(((R805-1)*(Skills!T14*(1+Inputs!$B$35/100))+MIN((Skills!T14*(1+Inputs!$B$35/100)),MAX(0,Inputs!$B$44-((R805-1)*Skills!D14))))/Inputs!$B$44),IF(Inputs!$B$39="pvp",MIN((Skills!T14*(1+Inputs!$B$35/100)),15)/15,(Skills!T14*(1+Inputs!$B$35/100))/Skills!D14)))+((C806=TRUE)*F806*IF(AND(Inputs!$B$39&lt;&gt;"pvp",Inputs!$B$44&gt;0),(((R806-1)*(Skills!T15*(1+Inputs!$B$35/100))+MIN((Skills!T15*(1+Inputs!$B$35/100)),MAX(0,Inputs!$B$44-((R806-1)*Skills!D15))))/Inputs!$B$44),IF(Inputs!$B$39="pvp",MIN((Skills!T15*(1+Inputs!$B$35/100)),15)/15,(Skills!T15*(1+Inputs!$B$35/100))/Skills!D15)))+((C807=TRUE)*F807*IF(AND(Inputs!$B$39&lt;&gt;"pvp",Inputs!$B$44&gt;0),(((R807-1)*(Skills!T16*(1+Inputs!$B$35/100))+MIN((Skills!T16*(1+Inputs!$B$35/100)),MAX(0,Inputs!$B$44-((R807-1)*Skills!D16))))/Inputs!$B$44),IF(Inputs!$B$39="pvp",MIN((Skills!T16*(1+Inputs!$B$35/100)),15)/15,(Skills!T16*(1+Inputs!$B$35/100))/Skills!D16)))+0)/100)*I798)</f>
        <v/>
      </c>
      <c r="L798">
        <f>K798*(MIN(Inputs!$B$23+((C813=TRUE)*(F813-Calc!F22)),Inputs!$B$24+((C815=TRUE)*(F815-Calc!F24)))/100+(Inputs!$B$24+((C815=TRUE)*(F815-Calc!F24)))/100)/2</f>
        <v/>
      </c>
      <c r="M798">
        <f>L798*(1+(Inputs!$B$11+0+B825)/100)</f>
        <v/>
      </c>
      <c r="N798">
        <f>L798*(1-MIN((Inputs!$B$10+0+B820),100)/100)+M798*(MIN((Inputs!$B$10+0+B820),100)/100)</f>
        <v/>
      </c>
      <c r="O798">
        <f>(1-Summary!$B$55)*T798+Summary!$B$55*V798</f>
        <v/>
      </c>
      <c r="P798">
        <f>IF(B830=0,0,O798/B830)</f>
        <v/>
      </c>
      <c r="Q798">
        <f>IFERROR(1/IF(Inputs!$B$39="pvp",15,MAX(0.1,Skills!D7-IF(Skills!E7=TRUE,Inputs!$B$33,0))),0)</f>
        <v/>
      </c>
      <c r="R798">
        <f>IF(AND(Inputs!$B$39&lt;&gt;"pvp",Inputs!$B$44&gt;0),IF(MAX(0,Inputs!$B$44-B827)&lt;=0,0,(INT(MAX(0,Inputs!$B$44-B827)/IF(Inputs!$B$39="pvp",15,MAX(0.1,Skills!D7-IF(Skills!E7=TRUE,Inputs!$B$33,0))))+1)),0)</f>
        <v/>
      </c>
      <c r="S798">
        <f>IFERROR(O798/N798,0)</f>
        <v/>
      </c>
      <c r="T798">
        <f>IF(C798,(H798*N798*IF(AND(Inputs!$B$39&lt;&gt;"pvp",Inputs!$B$44&gt;0),((Skills!G7*((R798-1)*IF(Skills!H7&gt;0,Skills!I7/Skills!H7,1)+IF(Skills!H7&gt;0,MIN(Skills!I7,MAX(0,MAX(0,Inputs!$B$44-B827)-((R798-1)*IF(Inputs!$B$39="pvp",15,MAX(0.1,Skills!D7-IF(Skills!E7=TRUE,Inputs!$B$33,0))))))/Skills!H7,1)))/Inputs!$B$44),G798*Q798))*IF(Inputs!$B$39="pvp",1,1+(Inputs!$B$21+0+Skills!P7+((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0)</f>
        <v/>
      </c>
      <c r="V798">
        <f>IF(C798,(H798*N798*IF(AND(Inputs!$B$39&lt;&gt;"pvp",Inputs!$B$44&gt;0),((Skills!G7*((R798-1)*IF(Skills!H7&gt;0,Skills!I7/Skills!H7,1)+IF(Skills!H7&gt;0,MIN(Skills!I7,MAX(0,MAX(0,Inputs!$B$44-B827)-((R798-1)*IF(Inputs!$B$39="pvp",15,MAX(0.1,Skills!D7-IF(Skills!E7=TRUE,Inputs!$B$33,0))))))/Skills!H7,1)))/Inputs!$B$44),G798*Q798))*IF(Inputs!$B$39="pvp",1,(1+(Inputs!$B$22+Skills!Q7+((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MIN(Skills!R7,Inputs!$B$38))),0)</f>
        <v/>
      </c>
    </row>
    <row r="799">
      <c r="A799">
        <f>Skills!A8</f>
        <v/>
      </c>
      <c r="B799">
        <f>Skills!B8</f>
        <v/>
      </c>
      <c r="C799">
        <f>Inputs!$B$3&gt;=75</f>
        <v/>
      </c>
      <c r="D799">
        <f>IF(Skills!C8=1,60+(Inputs!$B$26+1)+Inputs!$B$30,IF(Skills!C8=2,90+Inputs!$B$27+Inputs!$B$30,IF(Skills!C8=3,120+Inputs!$B$28+Inputs!$B$30,MAX(0,(Inputs!$B$3-100)*3)+Inputs!$B$29+Inputs!$B$30)))</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row>
    <row r="800">
      <c r="A800">
        <f>Skills!A9</f>
        <v/>
      </c>
      <c r="B800">
        <f>Skills!B9</f>
        <v/>
      </c>
      <c r="C800">
        <f>Inputs!$B$3&gt;=60</f>
        <v/>
      </c>
      <c r="D800">
        <f>IF(Skills!C9=1,60+(Inputs!$B$26+1)+Inputs!$B$30,IF(Skills!C9=2,90+Inputs!$B$27+Inputs!$B$30,IF(Skills!C9=3,120+Inputs!$B$28+Inputs!$B$30,MAX(0,(Inputs!$B$3-100)*3)+Inputs!$B$29+Inputs!$B$30)))</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((Inputs!$B$6*(1+Inputs!$B$7/100))+(((Inputs!$B$13*(1+Inputs!$B$14/100))-(Inputs!$B$13*(1+Inputs!$B$14/100)))+0.25*(Inputs!$B$15-Inputs!$B$15))*(1+Inputs!$B$7/100))*(F800/100)</f>
        <v/>
      </c>
      <c r="K800">
        <f>J800*(1+(((Inputs!$B$13+IF(Inputs!$B$3&gt;=38,(10*INDEX(FactorTable!$B$2:$Y$301, MATCH(ROUND(MIN(300,MAX(1,Inputs!$B$3)),0), FactorTable!$A$2:$A$301,0), 23)/1000)/100*(Inputs!$B$8*(1+Inputs!$B$9/100)),0))*(1+Inputs!$B$14/100))*0.01+Inputs!$B$15*0.0025)/100)*(1+Inputs!$B$16/100)*(1+Inputs!$B$17/100)*(5000/(6000+Inputs!$B$43*(1-(Inputs!$B$20+0)/100)))*(1+(Inputs!$B$25+((C816=TRUE)*(F816-Calc!F25))+((C817=TRUE)*(F817-Calc!F26))+B826)/100)*(1+1.0*IF(C802=TRUE,F802,0)/100)*(1+(IF(Skills!A9="DARK_IMPALE",Inputs!$B$18+0,Inputs!$B$19+((C814=TRUE)*(F814-Calc!F23))))/100)*((1+(((C804=TRUE)*F804*IF(AND(Inputs!$B$39&lt;&gt;"pvp",Inputs!$B$44&gt;0),(((R804-1)*(Skills!T13*(1+Inputs!$B$35/100))+MIN((Skills!T13*(1+Inputs!$B$35/100)),MAX(0,Inputs!$B$44-((R804-1)*Skills!D13))))/Inputs!$B$44),IF(Inputs!$B$39="pvp",MIN((Skills!T13*(1+Inputs!$B$35/100)),15)/15,(Skills!T13*(1+Inputs!$B$35/100))/Skills!D13)))+((C805=TRUE)*F805*IF(AND(Inputs!$B$39&lt;&gt;"pvp",Inputs!$B$44&gt;0),(((R805-1)*(Skills!T14*(1+Inputs!$B$35/100))+MIN((Skills!T14*(1+Inputs!$B$35/100)),MAX(0,Inputs!$B$44-((R805-1)*Skills!D14))))/Inputs!$B$44),IF(Inputs!$B$39="pvp",MIN((Skills!T14*(1+Inputs!$B$35/100)),15)/15,(Skills!T14*(1+Inputs!$B$35/100))/Skills!D14)))+((C806=TRUE)*F806*IF(AND(Inputs!$B$39&lt;&gt;"pvp",Inputs!$B$44&gt;0),(((R806-1)*(Skills!T15*(1+Inputs!$B$35/100))+MIN((Skills!T15*(1+Inputs!$B$35/100)),MAX(0,Inputs!$B$44-((R806-1)*Skills!D15))))/Inputs!$B$44),IF(Inputs!$B$39="pvp",MIN((Skills!T15*(1+Inputs!$B$35/100)),15)/15,(Skills!T15*(1+Inputs!$B$35/100))/Skills!D15)))+((C807=TRUE)*F807*IF(AND(Inputs!$B$39&lt;&gt;"pvp",Inputs!$B$44&gt;0),(((R807-1)*(Skills!T16*(1+Inputs!$B$35/100))+MIN((Skills!T16*(1+Inputs!$B$35/100)),MAX(0,Inputs!$B$44-((R807-1)*Skills!D16))))/Inputs!$B$44),IF(Inputs!$B$39="pvp",MIN((Skills!T16*(1+Inputs!$B$35/100)),15)/15,(Skills!T16*(1+Inputs!$B$35/100))/Skills!D16)))+0)/100)*I800)</f>
        <v/>
      </c>
      <c r="L800">
        <f>K800*(MIN(Inputs!$B$23+((C813=TRUE)*(F813-Calc!F22)),Inputs!$B$24+((C815=TRUE)*(F815-Calc!F24)))/100+(Inputs!$B$24+((C815=TRUE)*(F815-Calc!F24)))/100)/2</f>
        <v/>
      </c>
      <c r="M800">
        <f>L800*(1+(Inputs!$B$11+0+B825)/100)</f>
        <v/>
      </c>
      <c r="N800">
        <f>L800*(1-MIN((Inputs!$B$10+0+B820),100)/100)+M800*(MIN((Inputs!$B$10+0+B820),100)/100)</f>
        <v/>
      </c>
      <c r="O800">
        <f>(1-Summary!$B$55)*T800+Summary!$B$55*V800</f>
        <v/>
      </c>
      <c r="P800">
        <f>IF(B830=0,0,O800/B830)</f>
        <v/>
      </c>
      <c r="Q800">
        <f>IFERROR(1/IF(Inputs!$B$39="pvp",15,MAX(0.1,Skills!D9-IF(Skills!E9=TRUE,Inputs!$B$33,0))),0)</f>
        <v/>
      </c>
      <c r="R800">
        <f>IF(AND(Inputs!$B$39&lt;&gt;"pvp",Inputs!$B$44&gt;0),IF(MAX(0,Inputs!$B$44-B827)&lt;=0,0,(INT(MAX(0,Inputs!$B$44-B827)/IF(Inputs!$B$39="pvp",15,MAX(0.1,Skills!D9-IF(Skills!E9=TRUE,Inputs!$B$33,0))))+1)),0)</f>
        <v/>
      </c>
      <c r="S800">
        <f>IFERROR(O800/N800,0)</f>
        <v/>
      </c>
      <c r="T800">
        <f>IF(C800,(H800*N800*IF(AND(Inputs!$B$39&lt;&gt;"pvp",Inputs!$B$44&gt;0),((Skills!G9*((R800-1)*IF(Skills!H9&gt;0,Skills!I9/Skills!H9,1)+IF(Skills!H9&gt;0,MIN(Skills!I9,MAX(0,MAX(0,Inputs!$B$44-B827)-((R800-1)*IF(Inputs!$B$39="pvp",15,MAX(0.1,Skills!D9-IF(Skills!E9=TRUE,Inputs!$B$33,0))))))/Skills!H9,1)))/Inputs!$B$44),G800*Q800))*IF(Inputs!$B$39="pvp",1,1+(Inputs!$B$21+0+Skills!P9+((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0)</f>
        <v/>
      </c>
      <c r="V800">
        <f>IF(C800,(H800*N800*IF(AND(Inputs!$B$39&lt;&gt;"pvp",Inputs!$B$44&gt;0),((Skills!G9*((R800-1)*IF(Skills!H9&gt;0,Skills!I9/Skills!H9,1)+IF(Skills!H9&gt;0,MIN(Skills!I9,MAX(0,MAX(0,Inputs!$B$44-B827)-((R800-1)*IF(Inputs!$B$39="pvp",15,MAX(0.1,Skills!D9-IF(Skills!E9=TRUE,Inputs!$B$33,0))))))/Skills!H9,1)))/Inputs!$B$44),G800*Q800))*IF(Inputs!$B$39="pvp",1,(1+(Inputs!$B$22+Skills!Q9+((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MIN(Skills!R9,Inputs!$B$38))),0)</f>
        <v/>
      </c>
    </row>
    <row r="801">
      <c r="A801">
        <f>Skills!A10</f>
        <v/>
      </c>
      <c r="B801">
        <f>Skills!B10</f>
        <v/>
      </c>
      <c r="C801">
        <f>Inputs!$B$3&gt;=110</f>
        <v/>
      </c>
      <c r="D801">
        <f>IF(Skills!C10=1,60+(Inputs!$B$26+1)+Inputs!$B$30,IF(Skills!C10=2,90+Inputs!$B$27+Inputs!$B$30,IF(Skills!C10=3,120+Inputs!$B$28+Inputs!$B$30,MAX(0,(Inputs!$B$3-100)*3)+Inputs!$B$29+Inputs!$B$30)))</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((Inputs!$B$6*(1+Inputs!$B$7/100))+(((Inputs!$B$13*(1+Inputs!$B$14/100))-(Inputs!$B$13*(1+Inputs!$B$14/100)))+0.25*(Inputs!$B$15-Inputs!$B$15))*(1+Inputs!$B$7/100))*(F801/100)</f>
        <v/>
      </c>
      <c r="K801">
        <f>J801*(1+(((Inputs!$B$13+IF(Inputs!$B$3&gt;=38,(10*INDEX(FactorTable!$B$2:$Y$301, MATCH(ROUND(MIN(300,MAX(1,Inputs!$B$3)),0), FactorTable!$A$2:$A$301,0), 23)/1000)/100*(Inputs!$B$8*(1+Inputs!$B$9/100)),0))*(1+Inputs!$B$14/100))*0.01+Inputs!$B$15*0.0025)/100)*(1+Inputs!$B$16/100)*(1+Inputs!$B$17/100)*(5000/(6000+Inputs!$B$43*(1-(Inputs!$B$20+0)/100)))*(1+(Inputs!$B$25+((C816=TRUE)*(F816-Calc!F25))+((C817=TRUE)*(F817-Calc!F26))+B826)/100)*(1+(IF(Skills!A10="DARK_IMPALE",Inputs!$B$18+0,Inputs!$B$19+((C814=TRUE)*(F814-Calc!F23))))/100)*((1+(((C804=TRUE)*F804*IF(AND(Inputs!$B$39&lt;&gt;"pvp",Inputs!$B$44&gt;0),(((R804-1)*(Skills!T13*(1+Inputs!$B$35/100))+MIN((Skills!T13*(1+Inputs!$B$35/100)),MAX(0,Inputs!$B$44-((R804-1)*Skills!D13))))/Inputs!$B$44),IF(Inputs!$B$39="pvp",MIN((Skills!T13*(1+Inputs!$B$35/100)),15)/15,(Skills!T13*(1+Inputs!$B$35/100))/Skills!D13)))+((C805=TRUE)*F805*IF(AND(Inputs!$B$39&lt;&gt;"pvp",Inputs!$B$44&gt;0),(((R805-1)*(Skills!T14*(1+Inputs!$B$35/100))+MIN((Skills!T14*(1+Inputs!$B$35/100)),MAX(0,Inputs!$B$44-((R805-1)*Skills!D14))))/Inputs!$B$44),IF(Inputs!$B$39="pvp",MIN((Skills!T14*(1+Inputs!$B$35/100)),15)/15,(Skills!T14*(1+Inputs!$B$35/100))/Skills!D14)))+((C806=TRUE)*F806*IF(AND(Inputs!$B$39&lt;&gt;"pvp",Inputs!$B$44&gt;0),(((R806-1)*(Skills!T15*(1+Inputs!$B$35/100))+MIN((Skills!T15*(1+Inputs!$B$35/100)),MAX(0,Inputs!$B$44-((R806-1)*Skills!D15))))/Inputs!$B$44),IF(Inputs!$B$39="pvp",MIN((Skills!T15*(1+Inputs!$B$35/100)),15)/15,(Skills!T15*(1+Inputs!$B$35/100))/Skills!D15)))+((C807=TRUE)*F807*IF(AND(Inputs!$B$39&lt;&gt;"pvp",Inputs!$B$44&gt;0),(((R807-1)*(Skills!T16*(1+Inputs!$B$35/100))+MIN((Skills!T16*(1+Inputs!$B$35/100)),MAX(0,Inputs!$B$44-((R807-1)*Skills!D16))))/Inputs!$B$44),IF(Inputs!$B$39="pvp",MIN((Skills!T16*(1+Inputs!$B$35/100)),15)/15,(Skills!T16*(1+Inputs!$B$35/100))/Skills!D16)))+0)/100)*I801)</f>
        <v/>
      </c>
      <c r="L801">
        <f>K801*(MIN(Inputs!$B$23+((C813=TRUE)*(F813-Calc!F22)),Inputs!$B$24+((C815=TRUE)*(F815-Calc!F24)))/100+(Inputs!$B$24+((C815=TRUE)*(F815-Calc!F24)))/100)/2</f>
        <v/>
      </c>
      <c r="M801">
        <f>L801*(1+(Inputs!$B$11+0+B825)/100)</f>
        <v/>
      </c>
      <c r="N801">
        <f>L801*(1-MIN((Inputs!$B$10+0+B820),100)/100)+M801*(MIN((Inputs!$B$10+0+B820),100)/100)</f>
        <v/>
      </c>
      <c r="O801">
        <f>(1-Summary!$B$55)*T801+Summary!$B$55*V801</f>
        <v/>
      </c>
      <c r="P801">
        <f>IF(B830=0,0,O801/B830)</f>
        <v/>
      </c>
      <c r="Q801">
        <f>IFERROR(1/IF(Inputs!$B$39="pvp",15,MAX(0.1,Skills!D10-IF(Skills!E10=TRUE,Inputs!$B$33,0))),0)</f>
        <v/>
      </c>
      <c r="R801">
        <f>IF(AND(Inputs!$B$39&lt;&gt;"pvp",Inputs!$B$44&gt;0),IF(MAX(0,Inputs!$B$44-B827)&lt;=0,0,(INT(MAX(0,Inputs!$B$44-B827)/IF(Inputs!$B$39="pvp",15,MAX(0.1,Skills!D10-IF(Skills!E10=TRUE,Inputs!$B$33,0))))+1)),0)</f>
        <v/>
      </c>
      <c r="S801">
        <f>IFERROR(O801/N801,0)</f>
        <v/>
      </c>
      <c r="T801">
        <f>IF(C801,(H801*N801*IF(AND(Inputs!$B$39&lt;&gt;"pvp",Inputs!$B$44&gt;0),((Skills!G10*((R801-1)*IF(Skills!H10&gt;0,Skills!I10/Skills!H10,1)+IF(Skills!H10&gt;0,MIN(Skills!I10,MAX(0,MAX(0,Inputs!$B$44-B827)-((R801-1)*IF(Inputs!$B$39="pvp",15,MAX(0.1,Skills!D10-IF(Skills!E10=TRUE,Inputs!$B$33,0))))))/Skills!H10,1)))/Inputs!$B$44),G801*Q801))*IF(Inputs!$B$39="pvp",1,1+(Inputs!$B$21+0+Skills!P10+((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0)</f>
        <v/>
      </c>
      <c r="V801">
        <f>IF(C801,(H801*N801*IF(AND(Inputs!$B$39&lt;&gt;"pvp",Inputs!$B$44&gt;0),((Skills!G10*((R801-1)*IF(Skills!H10&gt;0,Skills!I10/Skills!H10,1)+IF(Skills!H10&gt;0,MIN(Skills!I10,MAX(0,MAX(0,Inputs!$B$44-B827)-((R801-1)*IF(Inputs!$B$39="pvp",15,MAX(0.1,Skills!D10-IF(Skills!E10=TRUE,Inputs!$B$33,0))))))/Skills!H10,1)))/Inputs!$B$44),G801*Q801))*IF(Inputs!$B$39="pvp",1,(1+(Inputs!$B$22+Skills!Q10+((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MIN(Skills!R10,Inputs!$B$38))),0)</f>
        <v/>
      </c>
    </row>
    <row r="802">
      <c r="A802">
        <f>Skills!A11</f>
        <v/>
      </c>
      <c r="B802">
        <f>Skills!B11</f>
        <v/>
      </c>
      <c r="C802">
        <f>Inputs!$B$3&gt;=100</f>
        <v/>
      </c>
      <c r="D802">
        <f>IF(Skills!C11=1,60+(Inputs!$B$26+1)+Inputs!$B$30,IF(Skills!C11=2,90+Inputs!$B$27+Inputs!$B$30,IF(Skills!C11=3,120+Inputs!$B$28+Inputs!$B$30,MAX(0,(Inputs!$B$3-100)*3)+Inputs!$B$29+Inputs!$B$30)))</f>
        <v/>
      </c>
      <c r="E802">
        <f>INDEX(FactorTable!$B$2:$Y$301, MATCH(ROUND(MIN(300,MAX(1,D802)),0), FactorTable!$A$2:$A$301,0), Skills!M11+1)</f>
        <v/>
      </c>
      <c r="F802">
        <f>IF(Skills!N11=TRUE,(Skills!L11/10)*(E802/1000),Skills!L11/10)+Skills!O11</f>
        <v/>
      </c>
      <c r="G802" t="inlineStr"/>
      <c r="H802" t="inlineStr"/>
      <c r="I802" t="inlineStr">
        <is>
          <t>1</t>
        </is>
      </c>
      <c r="J802" t="inlineStr"/>
      <c r="K802" t="inlineStr"/>
      <c r="L802" t="inlineStr"/>
      <c r="M802" t="inlineStr"/>
      <c r="N802" t="inlineStr"/>
      <c r="O802" t="inlineStr"/>
      <c r="P802" t="inlineStr"/>
      <c r="Q802" t="inlineStr"/>
      <c r="R802" t="inlineStr"/>
      <c r="S802" t="inlineStr"/>
    </row>
    <row r="803">
      <c r="A803">
        <f>Skills!A12</f>
        <v/>
      </c>
      <c r="B803">
        <f>Skills!B12</f>
        <v/>
      </c>
      <c r="C803">
        <f>Inputs!$B$3&gt;=63</f>
        <v/>
      </c>
      <c r="D803">
        <f>IF(Skills!C12=1,60+(Inputs!$B$26+1)+Inputs!$B$30,IF(Skills!C12=2,90+Inputs!$B$27+Inputs!$B$30,IF(Skills!C12=3,120+Inputs!$B$28+Inputs!$B$30,MAX(0,(Inputs!$B$3-100)*3)+Inputs!$B$29+Inputs!$B$30)))</f>
        <v/>
      </c>
      <c r="E803">
        <f>INDEX(FactorTable!$B$2:$Y$301, MATCH(ROUND(MIN(300,MAX(1,D803)),0), FactorTable!$A$2:$A$301,0), Skills!M12+1)</f>
        <v/>
      </c>
      <c r="F803">
        <f>IF(Skills!N12=TRUE,(Skills!L12/10)*(E803/1000),Skills!L12/10)+Skills!O12</f>
        <v/>
      </c>
      <c r="G803">
        <f>Skills!G12*IF(Skills!H12&gt;0,Skills!I12/Skills!H12,1)</f>
        <v/>
      </c>
      <c r="H803">
        <f>1-(1-Skills!J12/100)^Skills!K12</f>
        <v/>
      </c>
      <c r="I803" t="inlineStr">
        <is>
          <t>1</t>
        </is>
      </c>
      <c r="J803">
        <f>((Inputs!$B$6*(1+Inputs!$B$7/100))+(((Inputs!$B$13*(1+Inputs!$B$14/100))-(Inputs!$B$13*(1+Inputs!$B$14/100)))+0.25*(Inputs!$B$15-Inputs!$B$15))*(1+Inputs!$B$7/100))*(F803/100)</f>
        <v/>
      </c>
      <c r="K803">
        <f>J803*(1+(((Inputs!$B$13+IF(Inputs!$B$3&gt;=38,(10*INDEX(FactorTable!$B$2:$Y$301, MATCH(ROUND(MIN(300,MAX(1,Inputs!$B$3)),0), FactorTable!$A$2:$A$301,0), 23)/1000)/100*(Inputs!$B$8*(1+Inputs!$B$9/100)),0))*(1+Inputs!$B$14/100))*0.01+Inputs!$B$15*0.0025)/100)*(1+Inputs!$B$16/100)*(1+Inputs!$B$17/100)*(5000/(6000+Inputs!$B$43*(1-(Inputs!$B$20+0)/100)))*(1+(Inputs!$B$25+((C816=TRUE)*(F816-Calc!F25))+((C817=TRUE)*(F817-Calc!F26))+B826)/100)*(1+0.75*IF(C802=TRUE,F802,0)/100)*(1+(IF(Skills!A12="DARK_IMPALE",Inputs!$B$18+0,Inputs!$B$19+((C814=TRUE)*(F814-Calc!F23))))/100)*((1+(((C804=TRUE)*F804*IF(AND(Inputs!$B$39&lt;&gt;"pvp",Inputs!$B$44&gt;0),(((R804-1)*(Skills!T13*(1+Inputs!$B$35/100))+MIN((Skills!T13*(1+Inputs!$B$35/100)),MAX(0,Inputs!$B$44-((R804-1)*Skills!D13))))/Inputs!$B$44),IF(Inputs!$B$39="pvp",MIN((Skills!T13*(1+Inputs!$B$35/100)),15)/15,(Skills!T13*(1+Inputs!$B$35/100))/Skills!D13)))+((C805=TRUE)*F805*IF(AND(Inputs!$B$39&lt;&gt;"pvp",Inputs!$B$44&gt;0),(((R805-1)*(Skills!T14*(1+Inputs!$B$35/100))+MIN((Skills!T14*(1+Inputs!$B$35/100)),MAX(0,Inputs!$B$44-((R805-1)*Skills!D14))))/Inputs!$B$44),IF(Inputs!$B$39="pvp",MIN((Skills!T14*(1+Inputs!$B$35/100)),15)/15,(Skills!T14*(1+Inputs!$B$35/100))/Skills!D14)))+((C806=TRUE)*F806*IF(AND(Inputs!$B$39&lt;&gt;"pvp",Inputs!$B$44&gt;0),(((R806-1)*(Skills!T15*(1+Inputs!$B$35/100))+MIN((Skills!T15*(1+Inputs!$B$35/100)),MAX(0,Inputs!$B$44-((R806-1)*Skills!D15))))/Inputs!$B$44),IF(Inputs!$B$39="pvp",MIN((Skills!T15*(1+Inputs!$B$35/100)),15)/15,(Skills!T15*(1+Inputs!$B$35/100))/Skills!D15)))+((C807=TRUE)*F807*IF(AND(Inputs!$B$39&lt;&gt;"pvp",Inputs!$B$44&gt;0),(((R807-1)*(Skills!T16*(1+Inputs!$B$35/100))+MIN((Skills!T16*(1+Inputs!$B$35/100)),MAX(0,Inputs!$B$44-((R807-1)*Skills!D16))))/Inputs!$B$44),IF(Inputs!$B$39="pvp",MIN((Skills!T16*(1+Inputs!$B$35/100)),15)/15,(Skills!T16*(1+Inputs!$B$35/100))/Skills!D16)))+0)/100)*I803)</f>
        <v/>
      </c>
      <c r="L803">
        <f>K803*(MIN(Inputs!$B$23+((C813=TRUE)*(F813-Calc!F22)),Inputs!$B$24+((C815=TRUE)*(F815-Calc!F24)))/100+(Inputs!$B$24+((C815=TRUE)*(F815-Calc!F24)))/100)/2</f>
        <v/>
      </c>
      <c r="M803">
        <f>L803*(1+(Inputs!$B$11+0+B825)/100)</f>
        <v/>
      </c>
      <c r="N803">
        <f>L803*(1-MIN((Inputs!$B$10+0+B820),100)/100)+M803*(MIN((Inputs!$B$10+0+B820),100)/100)</f>
        <v/>
      </c>
      <c r="O803">
        <f>(1-Summary!$B$55)*T803+Summary!$B$55*V803</f>
        <v/>
      </c>
      <c r="P803">
        <f>IF(B830=0,0,O803/B830)</f>
        <v/>
      </c>
      <c r="Q803">
        <f>IFERROR(1/IF(Inputs!$B$39="pvp",15,MAX(0.1,Skills!D12-IF(Skills!E12=TRUE,Inputs!$B$33,0))),0)</f>
        <v/>
      </c>
      <c r="R803">
        <f>IF(AND(Inputs!$B$39&lt;&gt;"pvp",Inputs!$B$44&gt;0),IF(MAX(0,Inputs!$B$44-B827)&lt;=0,0,(INT(MAX(0,Inputs!$B$44-B827)/IF(Inputs!$B$39="pvp",15,MAX(0.1,Skills!D12-IF(Skills!E12=TRUE,Inputs!$B$33,0))))+1)),0)</f>
        <v/>
      </c>
      <c r="S803">
        <f>IFERROR(O803/N803,0)</f>
        <v/>
      </c>
      <c r="T803">
        <f>IF(C803,(H803*N803*IF(AND(Inputs!$B$39&lt;&gt;"pvp",Inputs!$B$44&gt;0),((Skills!G12*((R803-1)*IF(Skills!H12&gt;0,Skills!I12/Skills!H12,1)+IF(Skills!H12&gt;0,MIN(Skills!I12,MAX(0,MAX(0,Inputs!$B$44-B827)-((R803-1)*IF(Inputs!$B$39="pvp",15,MAX(0.1,Skills!D12-IF(Skills!E12=TRUE,Inputs!$B$33,0))))))/Skills!H12,1)))/Inputs!$B$44),G803*Q803))*IF(Inputs!$B$39="pvp",1,1+(Inputs!$B$21+0+Skills!P12+((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0)</f>
        <v/>
      </c>
      <c r="V803">
        <f>IF(C803,(H803*N803*IF(AND(Inputs!$B$39&lt;&gt;"pvp",Inputs!$B$44&gt;0),((Skills!G12*((R803-1)*IF(Skills!H12&gt;0,Skills!I12/Skills!H12,1)+IF(Skills!H12&gt;0,MIN(Skills!I12,MAX(0,MAX(0,Inputs!$B$44-B827)-((R803-1)*IF(Inputs!$B$39="pvp",15,MAX(0.1,Skills!D12-IF(Skills!E12=TRUE,Inputs!$B$33,0))))))/Skills!H12,1)))/Inputs!$B$44),G803*Q803))*IF(Inputs!$B$39="pvp",1,(1+(Inputs!$B$22+Skills!Q12+((C808=TRUE)*F808*IF(AND(Inputs!$B$39&lt;&gt;"pvp",Inputs!$B$44&gt;0),(((R808-1)*(Skills!T17*(1+Inputs!$B$35/100))+MIN((Skills!T17*(1+Inputs!$B$35/100)),MAX(0,Inputs!$B$44-((R808-1)*Skills!D17))))/Inputs!$B$44),IF(Inputs!$B$39="pvp",MIN((Skills!T17*(1+Inputs!$B$35/100)),15)/15,(Skills!T17*(1+Inputs!$B$35/100))/Skills!D17)))+((C805=TRUE)*IF(Inputs!$B$39="pvp",20,(1-Summary!$B$55)*(20)+Summary!$B$55*(0))*IF(AND(Inputs!$B$39&lt;&gt;"pvp",Inputs!$B$44&gt;0),(((R805-1)*(Skills!T14*(1+Inputs!$B$35/100))+MIN((Skills!T14*(1+Inputs!$B$35/100)),MAX(0,Inputs!$B$44-((R805-1)*Skills!D14))))/Inputs!$B$44),IF(Inputs!$B$39="pvp",MIN((Skills!T14*(1+Inputs!$B$35/100)),15)/15,(Skills!T14*(1+Inputs!$B$35/100))/Skills!D14))))/100)*(MIN(Skills!R12,Inputs!$B$38))),0)</f>
        <v/>
      </c>
    </row>
    <row r="804">
      <c r="A804">
        <f>Skills!A13</f>
        <v/>
      </c>
      <c r="B804">
        <f>Skills!B13</f>
        <v/>
      </c>
      <c r="C804">
        <f>Inputs!$B$3&gt;=69</f>
        <v/>
      </c>
      <c r="D804">
        <f>IF(Skills!C13=1,60+(Inputs!$B$26+1)+Inputs!$B$30,IF(Skills!C13=2,90+Inputs!$B$27+Inputs!$B$30,IF(Skills!C13=3,120+Inputs!$B$28+Inputs!$B$30,MAX(0,(Inputs!$B$3-100)*3)+Inputs!$B$29+Inputs!$B$30)))</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(1-Summary!$B$55)*T804+Summary!$B$55*V804</f>
        <v/>
      </c>
      <c r="P804">
        <f>IF(B830=0,0,O804/B830)</f>
        <v/>
      </c>
      <c r="Q804">
        <f>IFERROR(1/IF(Inputs!$B$39="pvp",15,MAX(0.1,Skills!D13-IF(Skills!E13=TRUE,Inputs!$B$33,0))),0)</f>
        <v/>
      </c>
      <c r="R804">
        <f>IF(AND(Inputs!$B$39&lt;&gt;"pvp",Inputs!$B$44&gt;0),IF(Inputs!$B$44&lt;=0,0,(INT(Inputs!$B$44/IF(Inputs!$B$39="pvp",15,MAX(0.1,Skills!D13-IF(Skills!E13=TRUE,Inputs!$B$33,0))))+1)),0)</f>
        <v/>
      </c>
      <c r="S804">
        <f>IFERROR(O804/N804,0)</f>
        <v/>
      </c>
      <c r="T804" t="n">
        <v>0</v>
      </c>
      <c r="V804" t="n">
        <v>0</v>
      </c>
    </row>
    <row r="805">
      <c r="A805">
        <f>Skills!A14</f>
        <v/>
      </c>
      <c r="B805">
        <f>Skills!B14</f>
        <v/>
      </c>
      <c r="C805">
        <f>Inputs!$B$3&gt;=115</f>
        <v/>
      </c>
      <c r="D805">
        <f>IF(Skills!C14=1,60+(Inputs!$B$26+1)+Inputs!$B$30,IF(Skills!C14=2,90+Inputs!$B$27+Inputs!$B$30,IF(Skills!C14=3,120+Inputs!$B$28+Inputs!$B$30,MAX(0,(Inputs!$B$3-100)*3)+Inputs!$B$29+Inputs!$B$30)))</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(1-Summary!$B$55)*T805+Summary!$B$55*V805</f>
        <v/>
      </c>
      <c r="P805">
        <f>IF(B830=0,0,O805/B830)</f>
        <v/>
      </c>
      <c r="Q805">
        <f>IFERROR(1/IF(Inputs!$B$39="pvp",15,MAX(0.1,Skills!D14-IF(Skills!E14=TRUE,Inputs!$B$33,0))),0)</f>
        <v/>
      </c>
      <c r="R805">
        <f>IF(AND(Inputs!$B$39&lt;&gt;"pvp",Inputs!$B$44&gt;0),IF(Inputs!$B$44&lt;=0,0,(INT(Inputs!$B$44/IF(Inputs!$B$39="pvp",15,MAX(0.1,Skills!D14-IF(Skills!E14=TRUE,Inputs!$B$33,0))))+1)),0)</f>
        <v/>
      </c>
      <c r="S805">
        <f>IFERROR(O805/N805,0)</f>
        <v/>
      </c>
      <c r="T805" t="n">
        <v>0</v>
      </c>
      <c r="V805" t="n">
        <v>0</v>
      </c>
    </row>
    <row r="806">
      <c r="A806">
        <f>Skills!A15</f>
        <v/>
      </c>
      <c r="B806">
        <f>Skills!B15</f>
        <v/>
      </c>
      <c r="C806">
        <f>Inputs!$B$3&gt;=66</f>
        <v/>
      </c>
      <c r="D806">
        <f>IF(Skills!C15=1,60+(Inputs!$B$26+1)+Inputs!$B$30,IF(Skills!C15=2,90+Inputs!$B$27+Inputs!$B$30,IF(Skills!C15=3,120+Inputs!$B$28+Inputs!$B$30,MAX(0,(Inputs!$B$3-100)*3)+Inputs!$B$29+Inputs!$B$30)))</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(1-Summary!$B$55)*T806+Summary!$B$55*V806</f>
        <v/>
      </c>
      <c r="P806">
        <f>IF(B830=0,0,O806/B830)</f>
        <v/>
      </c>
      <c r="Q806">
        <f>IFERROR(1/IF(Inputs!$B$39="pvp",15,MAX(0.1,Skills!D15-IF(Skills!E15=TRUE,Inputs!$B$33,0))),0)</f>
        <v/>
      </c>
      <c r="R806">
        <f>IF(AND(Inputs!$B$39&lt;&gt;"pvp",Inputs!$B$44&gt;0),IF(Inputs!$B$44&lt;=0,0,(INT(Inputs!$B$44/IF(Inputs!$B$39="pvp",15,MAX(0.1,Skills!D15-IF(Skills!E15=TRUE,Inputs!$B$33,0))))+1)),0)</f>
        <v/>
      </c>
      <c r="S806">
        <f>IFERROR(O806/N806,0)</f>
        <v/>
      </c>
      <c r="T806" t="n">
        <v>0</v>
      </c>
      <c r="V806" t="n">
        <v>0</v>
      </c>
    </row>
    <row r="807">
      <c r="A807">
        <f>Skills!A16</f>
        <v/>
      </c>
      <c r="B807">
        <f>Skills!B16</f>
        <v/>
      </c>
      <c r="C807">
        <f>Inputs!$B$3&gt;=45</f>
        <v/>
      </c>
      <c r="D807">
        <f>IF(Skills!C16=1,60+(Inputs!$B$26+1)+Inputs!$B$30,IF(Skills!C16=2,90+Inputs!$B$27+Inputs!$B$30,IF(Skills!C16=3,120+Inputs!$B$28+Inputs!$B$30,MAX(0,(Inputs!$B$3-100)*3)+Inputs!$B$29+Inputs!$B$30)))</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(1-Summary!$B$55)*T807+Summary!$B$55*V807</f>
        <v/>
      </c>
      <c r="P807">
        <f>IF(B830=0,0,O807/B830)</f>
        <v/>
      </c>
      <c r="Q807">
        <f>IFERROR(1/IF(Inputs!$B$39="pvp",15,MAX(0.1,Skills!D16-IF(Skills!E16=TRUE,Inputs!$B$33,0))),0)</f>
        <v/>
      </c>
      <c r="R807">
        <f>IF(AND(Inputs!$B$39&lt;&gt;"pvp",Inputs!$B$44&gt;0),IF(Inputs!$B$44&lt;=0,0,(INT(Inputs!$B$44/IF(Inputs!$B$39="pvp",15,MAX(0.1,Skills!D16-IF(Skills!E16=TRUE,Inputs!$B$33,0))))+1)),0)</f>
        <v/>
      </c>
      <c r="S807">
        <f>IFERROR(O807/N807,0)</f>
        <v/>
      </c>
      <c r="T807" t="n">
        <v>0</v>
      </c>
      <c r="V807" t="n">
        <v>0</v>
      </c>
    </row>
    <row r="808">
      <c r="A808">
        <f>Skills!A17</f>
        <v/>
      </c>
      <c r="B808">
        <f>Skills!B17</f>
        <v/>
      </c>
      <c r="C808">
        <f>Inputs!$B$3&gt;=35</f>
        <v/>
      </c>
      <c r="D808">
        <f>IF(Skills!C17=1,60+(Inputs!$B$26+1)+Inputs!$B$30,IF(Skills!C17=2,90+Inputs!$B$27+Inputs!$B$30,IF(Skills!C17=3,120+Inputs!$B$28+Inputs!$B$30,MAX(0,(Inputs!$B$3-100)*3)+Inputs!$B$29+Inputs!$B$30)))</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(1-Summary!$B$55)*T808+Summary!$B$55*V808</f>
        <v/>
      </c>
      <c r="P808">
        <f>IF(B830=0,0,O808/B830)</f>
        <v/>
      </c>
      <c r="Q808">
        <f>IFERROR(1/IF(Inputs!$B$39="pvp",15,MAX(0.1,Skills!D17-IF(Skills!E17=TRUE,Inputs!$B$33,0))),0)</f>
        <v/>
      </c>
      <c r="R808">
        <f>IF(AND(Inputs!$B$39&lt;&gt;"pvp",Inputs!$B$44&gt;0),IF(Inputs!$B$44&lt;=0,0,(INT(Inputs!$B$44/IF(Inputs!$B$39="pvp",15,MAX(0.1,Skills!D17-IF(Skills!E17=TRUE,Inputs!$B$33,0))))+1)),0)</f>
        <v/>
      </c>
      <c r="S808">
        <f>IFERROR(O808/N808,0)</f>
        <v/>
      </c>
      <c r="T808" t="n">
        <v>0</v>
      </c>
      <c r="V808" t="n">
        <v>0</v>
      </c>
    </row>
    <row r="809">
      <c r="A809">
        <f>Skills!A18</f>
        <v/>
      </c>
      <c r="B809">
        <f>Skills!B18</f>
        <v/>
      </c>
      <c r="C809">
        <f>Inputs!$B$3&gt;=72</f>
        <v/>
      </c>
      <c r="D809">
        <f>IF(Skills!C18=1,60+(Inputs!$B$26+1)+Inputs!$B$30,IF(Skills!C18=2,90+Inputs!$B$27+Inputs!$B$30,IF(Skills!C18=3,120+Inputs!$B$28+Inputs!$B$30,MAX(0,(Inputs!$B$3-100)*3)+Inputs!$B$29+Inputs!$B$30)))</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(1-Summary!$B$55)*T809+Summary!$B$55*V809</f>
        <v/>
      </c>
      <c r="P809">
        <f>IF(B830=0,0,O809/B830)</f>
        <v/>
      </c>
      <c r="Q809">
        <f>IFERROR(1/IF(Inputs!$B$39="pvp",15,MAX(0.1,Skills!D18-IF(Skills!E18=TRUE,Inputs!$B$33,0))),0)</f>
        <v/>
      </c>
      <c r="R809">
        <f>IF(AND(Inputs!$B$39&lt;&gt;"pvp",Inputs!$B$44&gt;0),IF(Inputs!$B$44&lt;=0,0,(INT(Inputs!$B$44/IF(Inputs!$B$39="pvp",15,MAX(0.1,Skills!D18-IF(Skills!E18=TRUE,Inputs!$B$33,0))))+1)),0)</f>
        <v/>
      </c>
      <c r="S809">
        <f>IFERROR(O809/N809,0)</f>
        <v/>
      </c>
      <c r="T809" t="n">
        <v>0</v>
      </c>
      <c r="V809" t="n">
        <v>0</v>
      </c>
    </row>
    <row r="810">
      <c r="A810">
        <f>Skills!A19</f>
        <v/>
      </c>
      <c r="B810">
        <f>Skills!B19</f>
        <v/>
      </c>
      <c r="C810">
        <f>Inputs!$B$3&gt;=72</f>
        <v/>
      </c>
      <c r="D810">
        <f>IF(Skills!C19=1,60+(Inputs!$B$26+1)+Inputs!$B$30,IF(Skills!C19=2,90+Inputs!$B$27+Inputs!$B$30,IF(Skills!C19=3,120+Inputs!$B$28+Inputs!$B$30,MAX(0,(Inputs!$B$3-100)*3)+Inputs!$B$29+Inputs!$B$30)))</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(1-Summary!$B$55)*T810+Summary!$B$55*V810</f>
        <v/>
      </c>
      <c r="P810">
        <f>IF(B830=0,0,O810/B830)</f>
        <v/>
      </c>
      <c r="Q810">
        <f>IFERROR(1/IF(Inputs!$B$39="pvp",15,MAX(0.1,Skills!D19-IF(Skills!E19=TRUE,Inputs!$B$33,0))),0)</f>
        <v/>
      </c>
      <c r="R810">
        <f>IF(AND(Inputs!$B$39&lt;&gt;"pvp",Inputs!$B$44&gt;0),IF(Inputs!$B$44&lt;=0,0,(INT(Inputs!$B$44/IF(Inputs!$B$39="pvp",15,MAX(0.1,Skills!D19-IF(Skills!E19=TRUE,Inputs!$B$33,0))))+1)),0)</f>
        <v/>
      </c>
      <c r="S810">
        <f>IFERROR(O810/N810,0)</f>
        <v/>
      </c>
      <c r="T810" t="n">
        <v>0</v>
      </c>
      <c r="V810" t="n">
        <v>0</v>
      </c>
    </row>
    <row r="811">
      <c r="A811">
        <f>Skills!A20</f>
        <v/>
      </c>
      <c r="B811">
        <f>Skills!B20</f>
        <v/>
      </c>
      <c r="C811">
        <f>TRUE</f>
        <v/>
      </c>
      <c r="D811">
        <f>IF(Skills!C20=1,60+(Inputs!$B$26+1)+Inputs!$B$30,IF(Skills!C20=2,90+Inputs!$B$27+Inputs!$B$30,IF(Skills!C20=3,120+Inputs!$B$28+Inputs!$B$30,MAX(0,(Inputs!$B$3-100)*3)+Inputs!$B$29+Inputs!$B$30)))</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(1-Summary!$B$55)*T811+Summary!$B$55*V811</f>
        <v/>
      </c>
      <c r="P811">
        <f>IF(B830=0,0,O811/B830)</f>
        <v/>
      </c>
      <c r="Q811">
        <f>IFERROR(1/IF(Inputs!$B$39="pvp",15,MAX(0.1,Skills!D20-IF(Skills!E20=TRUE,Inputs!$B$33,0))),0)</f>
        <v/>
      </c>
      <c r="R811">
        <f>IF(AND(Inputs!$B$39&lt;&gt;"pvp",Inputs!$B$44&gt;0),IF(Inputs!$B$44&lt;=0,0,(INT(Inputs!$B$44/IF(Inputs!$B$39="pvp",15,MAX(0.1,Skills!D20-IF(Skills!E20=TRUE,Inputs!$B$33,0))))+1)),0)</f>
        <v/>
      </c>
      <c r="S811">
        <f>IFERROR(O811/N811,0)</f>
        <v/>
      </c>
      <c r="T811" t="n">
        <v>0</v>
      </c>
      <c r="V811" t="n">
        <v>0</v>
      </c>
    </row>
    <row r="812">
      <c r="A812">
        <f>Skills!A21</f>
        <v/>
      </c>
      <c r="B812">
        <f>Skills!B21</f>
        <v/>
      </c>
      <c r="C812">
        <f>Inputs!$B$3&gt;=33</f>
        <v/>
      </c>
      <c r="D812">
        <f>IF(Skills!C21=1,60+(Inputs!$B$26+1)+Inputs!$B$30,IF(Skills!C21=2,90+Inputs!$B$27+Inputs!$B$30,IF(Skills!C21=3,120+Inputs!$B$28+Inputs!$B$30,MAX(0,(Inputs!$B$3-100)*3)+Inputs!$B$29+Inputs!$B$30)))</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(1-Summary!$B$55)*T812+Summary!$B$55*V812</f>
        <v/>
      </c>
      <c r="P812">
        <f>IF(B830=0,0,O812/B830)</f>
        <v/>
      </c>
      <c r="Q812" t="n">
        <v>0</v>
      </c>
      <c r="R812" t="n">
        <v>0</v>
      </c>
      <c r="S812">
        <f>IFERROR(O812/N812,0)</f>
        <v/>
      </c>
      <c r="T812" t="n">
        <v>0</v>
      </c>
      <c r="V812" t="n">
        <v>0</v>
      </c>
    </row>
    <row r="813">
      <c r="A813">
        <f>Skills!A22</f>
        <v/>
      </c>
      <c r="B813">
        <f>Skills!B22</f>
        <v/>
      </c>
      <c r="C813">
        <f>Inputs!$B$3&gt;=43</f>
        <v/>
      </c>
      <c r="D813">
        <f>IF(Skills!C22=1,60+(Inputs!$B$26+1)+Inputs!$B$30,IF(Skills!C22=2,90+Inputs!$B$27+Inputs!$B$30,IF(Skills!C22=3,120+Inputs!$B$28+Inputs!$B$30,MAX(0,(Inputs!$B$3-100)*3)+Inputs!$B$29+Inputs!$B$30)))</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(1-Summary!$B$55)*T813+Summary!$B$55*V813</f>
        <v/>
      </c>
      <c r="P813">
        <f>IF(B830=0,0,O813/B830)</f>
        <v/>
      </c>
      <c r="Q813" t="n">
        <v>0</v>
      </c>
      <c r="R813" t="n">
        <v>0</v>
      </c>
      <c r="S813">
        <f>IFERROR(O813/N813,0)</f>
        <v/>
      </c>
      <c r="T813" t="n">
        <v>0</v>
      </c>
      <c r="V813" t="n">
        <v>0</v>
      </c>
    </row>
    <row r="814">
      <c r="A814">
        <f>Skills!A23</f>
        <v/>
      </c>
      <c r="B814">
        <f>Skills!B23</f>
        <v/>
      </c>
      <c r="C814">
        <f>Inputs!$B$3&gt;=120</f>
        <v/>
      </c>
      <c r="D814">
        <f>IF(Skills!C23=1,60+(Inputs!$B$26+1)+Inputs!$B$30,IF(Skills!C23=2,90+Inputs!$B$27+Inputs!$B$30,IF(Skills!C23=3,120+Inputs!$B$28+Inputs!$B$30,MAX(0,(Inputs!$B$3-100)*3)+Inputs!$B$29+Inputs!$B$30)))</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(1-Summary!$B$55)*T814+Summary!$B$55*V814</f>
        <v/>
      </c>
      <c r="P814">
        <f>IF(B830=0,0,O814/B830)</f>
        <v/>
      </c>
      <c r="Q814" t="n">
        <v>0</v>
      </c>
      <c r="R814" t="n">
        <v>0</v>
      </c>
      <c r="S814">
        <f>IFERROR(O814/N814,0)</f>
        <v/>
      </c>
      <c r="T814" t="n">
        <v>0</v>
      </c>
      <c r="V814" t="n">
        <v>0</v>
      </c>
    </row>
    <row r="815">
      <c r="A815">
        <f>Skills!A24</f>
        <v/>
      </c>
      <c r="B815">
        <f>Skills!B24</f>
        <v/>
      </c>
      <c r="C815">
        <f>Inputs!$B$3&gt;=120</f>
        <v/>
      </c>
      <c r="D815">
        <f>IF(Skills!C24=1,60+(Inputs!$B$26+1)+Inputs!$B$30,IF(Skills!C24=2,90+Inputs!$B$27+Inputs!$B$30,IF(Skills!C24=3,120+Inputs!$B$28+Inputs!$B$30,MAX(0,(Inputs!$B$3-100)*3)+Inputs!$B$29+Inputs!$B$30)))</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(1-Summary!$B$55)*T815+Summary!$B$55*V815</f>
        <v/>
      </c>
      <c r="P815">
        <f>IF(B830=0,0,O815/B830)</f>
        <v/>
      </c>
      <c r="Q815" t="n">
        <v>0</v>
      </c>
      <c r="R815" t="n">
        <v>0</v>
      </c>
      <c r="S815">
        <f>IFERROR(O815/N815,0)</f>
        <v/>
      </c>
      <c r="T815" t="n">
        <v>0</v>
      </c>
      <c r="V815" t="n">
        <v>0</v>
      </c>
    </row>
    <row r="816">
      <c r="A816">
        <f>Skills!A25</f>
        <v/>
      </c>
      <c r="B816">
        <f>Skills!B25</f>
        <v/>
      </c>
      <c r="C816">
        <f>Inputs!$B$3&gt;=125</f>
        <v/>
      </c>
      <c r="D816">
        <f>IF(Skills!C25=1,60+(Inputs!$B$26+1)+Inputs!$B$30,IF(Skills!C25=2,90+Inputs!$B$27+Inputs!$B$30,IF(Skills!C25=3,120+Inputs!$B$28+Inputs!$B$30,MAX(0,(Inputs!$B$3-100)*3)+Inputs!$B$29+Inputs!$B$30)))</f>
        <v/>
      </c>
      <c r="E816">
        <f>INDEX(FactorTable!$B$2:$Y$301, MATCH(ROUND(MIN(300,MAX(1,D816)),0), FactorTable!$A$2:$A$301,0), Skills!M25+1)</f>
        <v/>
      </c>
      <c r="F816">
        <f>IF(Skills!N25=TRUE,(Skills!L25/10)*(E816/1000),Skills!L25/10)+Skills!O25</f>
        <v/>
      </c>
      <c r="G816">
        <f>Skills!G25*IF(Skills!H25&gt;0,Skills!I25/Skills!H25,1)</f>
        <v/>
      </c>
      <c r="H816">
        <f>1-(1-Skills!J25/100)^Skills!K25</f>
        <v/>
      </c>
      <c r="I816" t="inlineStr">
        <is>
          <t>1</t>
        </is>
      </c>
      <c r="J816" t="inlineStr"/>
      <c r="K816" t="inlineStr"/>
      <c r="L816" t="inlineStr"/>
      <c r="M816" t="inlineStr"/>
      <c r="N816" t="inlineStr"/>
      <c r="O816">
        <f>(1-Summary!$B$55)*T816+Summary!$B$55*V816</f>
        <v/>
      </c>
      <c r="P816">
        <f>IF(B830=0,0,O816/B830)</f>
        <v/>
      </c>
      <c r="Q816" t="n">
        <v>0</v>
      </c>
      <c r="R816" t="n">
        <v>0</v>
      </c>
      <c r="S816">
        <f>IFERROR(O816/N816,0)</f>
        <v/>
      </c>
      <c r="T816" t="n">
        <v>0</v>
      </c>
      <c r="V816" t="n">
        <v>0</v>
      </c>
    </row>
    <row r="817">
      <c r="A817">
        <f>Skills!A26</f>
        <v/>
      </c>
      <c r="B817">
        <f>Skills!B26</f>
        <v/>
      </c>
      <c r="C817">
        <f>Inputs!$B$3&gt;=107</f>
        <v/>
      </c>
      <c r="D817">
        <f>IF(Skills!C26=1,60+(Inputs!$B$26+1)+Inputs!$B$30,IF(Skills!C26=2,90+Inputs!$B$27+Inputs!$B$30,IF(Skills!C26=3,120+Inputs!$B$28+Inputs!$B$30,MAX(0,(Inputs!$B$3-100)*3)+Inputs!$B$29+Inputs!$B$30)))</f>
        <v/>
      </c>
      <c r="E817">
        <f>INDEX(FactorTable!$B$2:$Y$301, MATCH(ROUND(MIN(300,MAX(1,D817)),0), FactorTable!$A$2:$A$301,0), Skills!M26+1)</f>
        <v/>
      </c>
      <c r="F817">
        <f>IF(Skills!N26=TRUE,(Skills!L26/10)*(E817/1000),Skills!L26/10)+Skills!O26</f>
        <v/>
      </c>
      <c r="G817">
        <f>Skills!G26*IF(Skills!H26&gt;0,Skills!I26/Skills!H26,1)</f>
        <v/>
      </c>
      <c r="H817">
        <f>1-(1-Skills!J26/100)^Skills!K26</f>
        <v/>
      </c>
      <c r="I817" t="inlineStr">
        <is>
          <t>1</t>
        </is>
      </c>
      <c r="J817" t="inlineStr"/>
      <c r="K817" t="inlineStr"/>
      <c r="L817" t="inlineStr"/>
      <c r="M817" t="inlineStr"/>
      <c r="N817" t="inlineStr"/>
      <c r="O817">
        <f>(1-Summary!$B$55)*T817+Summary!$B$55*V817</f>
        <v/>
      </c>
      <c r="P817">
        <f>IF(B830=0,0,O817/B830)</f>
        <v/>
      </c>
      <c r="Q817" t="n">
        <v>0</v>
      </c>
      <c r="R817" t="n">
        <v>0</v>
      </c>
      <c r="S817">
        <f>IFERROR(O817/N817,0)</f>
        <v/>
      </c>
      <c r="T817" t="n">
        <v>0</v>
      </c>
      <c r="V817" t="n">
        <v>0</v>
      </c>
    </row>
    <row r="819">
      <c r="A819" t="inlineStr">
        <is>
          <t>Attack% Bucket Multiplier</t>
        </is>
      </c>
      <c r="B819">
        <f>(1+(((C804=TRUE)*F804*IF(AND(Inputs!$B$39&lt;&gt;"pvp",Inputs!$B$44&gt;0),(((R804-1)*(Skills!T13*(1+Inputs!$B$35/100))+MIN((Skills!T13*(1+Inputs!$B$35/100)),MAX(0,Inputs!$B$44-((R804-1)*Skills!D13))))/Inputs!$B$44),IF(Inputs!$B$39="pvp",MIN((Skills!T13*(1+Inputs!$B$35/100)),15)/15,(Skills!T13*(1+Inputs!$B$35/100))/Skills!D13)))+((C805=TRUE)*F805*IF(AND(Inputs!$B$39&lt;&gt;"pvp",Inputs!$B$44&gt;0),(((R805-1)*(Skills!T14*(1+Inputs!$B$35/100))+MIN((Skills!T14*(1+Inputs!$B$35/100)),MAX(0,Inputs!$B$44-((R805-1)*Skills!D14))))/Inputs!$B$44),IF(Inputs!$B$39="pvp",MIN((Skills!T14*(1+Inputs!$B$35/100)),15)/15,(Skills!T14*(1+Inputs!$B$35/100))/Skills!D14)))+((C806=TRUE)*F806*IF(AND(Inputs!$B$39&lt;&gt;"pvp",Inputs!$B$44&gt;0),(((R806-1)*(Skills!T15*(1+Inputs!$B$35/100))+MIN((Skills!T15*(1+Inputs!$B$35/100)),MAX(0,Inputs!$B$44-((R806-1)*Skills!D15))))/Inputs!$B$44),IF(Inputs!$B$39="pvp",MIN((Skills!T15*(1+Inputs!$B$35/100)),15)/15,(Skills!T15*(1+Inputs!$B$35/100))/Skills!D15)))+((C807=TRUE)*F807*IF(AND(Inputs!$B$39&lt;&gt;"pvp",Inputs!$B$44&gt;0),(((R807-1)*(Skills!T16*(1+Inputs!$B$35/100))+MIN((Skills!T16*(1+Inputs!$B$35/100)),MAX(0,Inputs!$B$44-((R807-1)*Skills!D16))))/Inputs!$B$44),IF(Inputs!$B$39="pvp",MIN((Skills!T16*(1+Inputs!$B$35/100)),15)/15,(Skills!T16*(1+Inputs!$B$35/100))/Skills!D16)))+0)/100)</f>
        <v/>
      </c>
    </row>
    <row r="820">
      <c r="A820" t="inlineStr">
        <is>
          <t>Global Crit Rate Bonus % (Lord of Darkness)</t>
        </is>
      </c>
      <c r="B820">
        <f>((C809=TRUE)*F809*(Skills!J18/100)*IF(AND(Inputs!$B$39&lt;&gt;"pvp",Inputs!$B$44&gt;0),(((R809-1)*(Skills!T18*(1+Inputs!$B$35/100))+MIN((Skills!T18*(1+Inputs!$B$35/100)),MAX(0,Inputs!$B$44-((R809-1)*Skills!D18))))/Inputs!$B$44),IF(Inputs!$B$39="pvp",MIN((Skills!T18*(1+Inputs!$B$35/100)),15)/15,(Skills!T18*(1+Inputs!$B$35/100))/Skills!D18)))</f>
        <v/>
      </c>
    </row>
    <row r="821">
      <c r="A821" t="inlineStr">
        <is>
          <t>Attack Speed Buff Bonus %</t>
        </is>
      </c>
      <c r="B821">
        <f>((C811=TRUE)*F811*IF(AND(Inputs!$B$39&lt;&gt;"pvp",Inputs!$B$44&gt;0),(((R811-1)*(Skills!T20*(1+Inputs!$B$35/100))+MIN((Skills!T20*(1+Inputs!$B$35/100)),MAX(0,Inputs!$B$44-((R811-1)*Skills!D20))))/Inputs!$B$44),IF(Inputs!$B$39="pvp",MIN((Skills!T20*(1+Inputs!$B$35/100)),15)/15,(Skills!T20*(1+Inputs!$B$35/100))/Skills!D20)))</f>
        <v/>
      </c>
    </row>
    <row r="822">
      <c r="A822" t="inlineStr">
        <is>
          <t>Actions Per Second</t>
        </is>
      </c>
      <c r="B822">
        <f>1+MIN(150,150*(1-(1-(Inputs!$B$12+((C812=TRUE)*(F812-Calc!F21)))/150)*(1-B821/150)))/100</f>
        <v/>
      </c>
    </row>
    <row r="823">
      <c r="A823" t="inlineStr">
        <is>
          <t>Skill + Buff Cast Rate</t>
        </is>
      </c>
      <c r="B823">
        <f>IF(AND(Inputs!$B$39&lt;&gt;"pvp",Inputs!$B$44&gt;0),SUMPRODUCT((Skills!E2:E26=TRUE)*(C793:C817=TRUE)*R793:R817*Skills!F2:F26)/Inputs!$B$44,SUMPRODUCT((Skills!E2:E26=TRUE)*(C793:C817=TRUE)*Q793:Q817*Skills!F2:F26))</f>
        <v/>
      </c>
    </row>
    <row r="824">
      <c r="A824" t="inlineStr">
        <is>
          <t>Dark Impale Casts Per Second</t>
        </is>
      </c>
      <c r="B824">
        <f>MAX(0,B822-B823)</f>
        <v/>
      </c>
    </row>
    <row r="825">
      <c r="A825" t="inlineStr">
        <is>
          <t>Global Critical Damage Bonus % (Lord of Darkness)</t>
        </is>
      </c>
      <c r="B825">
        <f>((C810=TRUE)*F810*(Skills!J19/100)*IF(AND(Inputs!$B$39&lt;&gt;"pvp",Inputs!$B$44&gt;0),(((R810-1)*(Skills!T19*(1+Inputs!$B$35/100))+MIN((Skills!T19*(1+Inputs!$B$35/100)),MAX(0,Inputs!$B$44-((R810-1)*Skills!D19))))/Inputs!$B$44),IF(Inputs!$B$39="pvp",MIN((Skills!T19*(1+Inputs!$B$35/100)),15)/15,(Skills!T19*(1+Inputs!$B$35/100))/Skills!D19)))</f>
        <v/>
      </c>
    </row>
    <row r="826">
      <c r="A826" t="inlineStr">
        <is>
          <t>Global Final Damage Bonus % (unused)</t>
        </is>
      </c>
      <c r="B826" t="n">
        <v>0</v>
      </c>
    </row>
    <row r="827">
      <c r="A827" t="inlineStr">
        <is>
          <t>Buff-Casting Startup Delay (s, fixed-duration only)</t>
        </is>
      </c>
      <c r="B827">
        <f>IF(AND(Inputs!$B$39&lt;&gt;"pvp",Inputs!$B$44&gt;0),SUMPRODUCT((Skills!T2:T26&gt;0)*(Skills!E2:E26=TRUE)*(C793:C817=TRUE))/B822,0)</f>
        <v/>
      </c>
    </row>
    <row r="828">
      <c r="A828" t="inlineStr">
        <is>
          <t>Boss-Only Total DPS (this block's swept value)</t>
        </is>
      </c>
      <c r="B828">
        <f>SUM(T793:T817)</f>
        <v/>
      </c>
    </row>
    <row r="829">
      <c r="A829" t="inlineStr">
        <is>
          <t>Normal-Only Total DPS (this block's swept value)</t>
        </is>
      </c>
      <c r="B829">
        <f>SUM(V793:V817)</f>
        <v/>
      </c>
    </row>
    <row r="830">
      <c r="A830" s="5" t="inlineStr">
        <is>
          <t>TOTAL DPS</t>
        </is>
      </c>
      <c r="B830" s="5">
        <f>SUM(O793:O817)</f>
        <v/>
      </c>
    </row>
    <row r="833">
      <c r="A833" s="5" t="inlineStr">
        <is>
          <t>Stat: Skill Level Bonus — 2nd Job</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U837+Skills!O2</f>
        <v/>
      </c>
      <c r="G835">
        <f>Skills!G2*IF(Skills!H2&gt;0,Skills!I2/Skills!H2,1)</f>
        <v/>
      </c>
      <c r="H835">
        <f>1-(1-Skills!J2/100)^Skills!K2</f>
        <v/>
      </c>
      <c r="I835" t="inlineStr">
        <is>
          <t>1</t>
        </is>
      </c>
      <c r="J835">
        <f>((Inputs!$B$6*(1+Inputs!$B$7/100))+(((Inputs!$B$13*(1+Inputs!$B$14/100))-(Inputs!$B$13*(1+Inputs!$B$14/100)))+0.25*(Inputs!$B$15-Inputs!$B$15))*(1+Inputs!$B$7/100))*(F835/100)</f>
        <v/>
      </c>
      <c r="K835">
        <f>J835*(1+(((Inputs!$B$13+IF(Inputs!$B$3&gt;=38,(10*INDEX(FactorTable!$B$2:$Y$301, MATCH(ROUND(MIN(300,MAX(1,Inputs!$B$3)),0), FactorTable!$A$2:$A$301,0), 23)/1000)/100*(Inputs!$B$8*(1+Inputs!$B$9/100)),0))*(1+Inputs!$B$14/100))*0.01+Inputs!$B$15*0.0025)/100)*(1+Inputs!$B$16/100)*(1+Inputs!$B$17/100)*(5000/(6000+Inputs!$B$43*(1-(Inputs!$B$20+0)/100)))*(1+(Inputs!$B$25+((C858=TRUE)*(F858-Calc!F25))+((C859=TRUE)*(F859-Calc!F26))+B868)/100)*(1+(IF(Skills!A2="DARK_IMPALE",Inputs!$B$18+0,Inputs!$B$19+((C856=TRUE)*(F856-Calc!F23))))/100)*((1+(((C846=TRUE)*F846*IF(AND(Inputs!$B$39&lt;&gt;"pvp",Inputs!$B$44&gt;0),(((R846-1)*(Skills!T13*(1+Inputs!$B$35/100))+MIN((Skills!T13*(1+Inputs!$B$35/100)),MAX(0,Inputs!$B$44-((R846-1)*Skills!D13))))/Inputs!$B$44),IF(Inputs!$B$39="pvp",MIN((Skills!T13*(1+Inputs!$B$35/100)),15)/15,(Skills!T13*(1+Inputs!$B$35/100))/Skills!D13)))+((C847=TRUE)*F847*IF(AND(Inputs!$B$39&lt;&gt;"pvp",Inputs!$B$44&gt;0),(((R847-1)*(Skills!T14*(1+Inputs!$B$35/100))+MIN((Skills!T14*(1+Inputs!$B$35/100)),MAX(0,Inputs!$B$44-((R847-1)*Skills!D14))))/Inputs!$B$44),IF(Inputs!$B$39="pvp",MIN((Skills!T14*(1+Inputs!$B$35/100)),15)/15,(Skills!T14*(1+Inputs!$B$35/100))/Skills!D14)))+((C848=TRUE)*F848*IF(AND(Inputs!$B$39&lt;&gt;"pvp",Inputs!$B$44&gt;0),(((R848-1)*(Skills!T15*(1+Inputs!$B$35/100))+MIN((Skills!T15*(1+Inputs!$B$35/100)),MAX(0,Inputs!$B$44-((R848-1)*Skills!D15))))/Inputs!$B$44),IF(Inputs!$B$39="pvp",MIN((Skills!T15*(1+Inputs!$B$35/100)),15)/15,(Skills!T15*(1+Inputs!$B$35/100))/Skills!D15)))+((C849=TRUE)*F849*IF(AND(Inputs!$B$39&lt;&gt;"pvp",Inputs!$B$44&gt;0),(((R849-1)*(Skills!T16*(1+Inputs!$B$35/100))+MIN((Skills!T16*(1+Inputs!$B$35/100)),MAX(0,Inputs!$B$44-((R849-1)*Skills!D16))))/Inputs!$B$44),IF(Inputs!$B$39="pvp",MIN((Skills!T16*(1+Inputs!$B$35/100)),15)/15,(Skills!T16*(1+Inputs!$B$35/100))/Skills!D16)))+0)/100)*I835)</f>
        <v/>
      </c>
      <c r="L835">
        <f>K835*(MIN(Inputs!$B$23+((C855=TRUE)*(F855-Calc!F22)),Inputs!$B$24+((C857=TRUE)*(F857-Calc!F24)))/100+(Inputs!$B$24+((C857=TRUE)*(F857-Calc!F24)))/100)/2</f>
        <v/>
      </c>
      <c r="M835">
        <f>L835*(1+(Inputs!$B$11+0+B867)/100)</f>
        <v/>
      </c>
      <c r="N835">
        <f>L835*(1-MIN((Inputs!$B$10+0+B862),100)/100)+M835*(MIN((Inputs!$B$10+0+B862),100)/100)</f>
        <v/>
      </c>
      <c r="O835">
        <f>(1-Summary!$B$55)*T835+Summary!$B$55*V835</f>
        <v/>
      </c>
      <c r="P835">
        <f>IF(B872=0,0,O835/B872)</f>
        <v/>
      </c>
      <c r="Q835" t="n">
        <v>0</v>
      </c>
      <c r="R835" t="n">
        <v>0</v>
      </c>
      <c r="S835">
        <f>IFERROR(O835/N835,0)</f>
        <v/>
      </c>
      <c r="T835">
        <f>IF(C835,(Skills!G2*N835*B866)*IF(Inputs!$B$39="pvp",1,1+(Inputs!$B$21+0+Skills!P2+((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0)</f>
        <v/>
      </c>
      <c r="U835">
        <f>MAX(0,(Inputs!$B$3-100)*3)+Inputs!$B$29+Inputs!$B$30</f>
        <v/>
      </c>
      <c r="V835">
        <f>IF(C835,(Skills!G2*N835*B866)*IF(Inputs!$B$39="pvp",1,(1+(Inputs!$B$22+Skills!Q2+((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MIN((6+Inputs!$B$34),Inputs!$B$38))),0)</f>
        <v/>
      </c>
    </row>
    <row r="836">
      <c r="A836">
        <f>Skills!A3</f>
        <v/>
      </c>
      <c r="B836">
        <f>Skills!B3</f>
        <v/>
      </c>
      <c r="C836">
        <f>Inputs!$B$3&gt;=50</f>
        <v/>
      </c>
      <c r="D836">
        <f>IF(Skills!C3=1,60+Inputs!$B$26+Inputs!$B$30,IF(Skills!C3=2,90+(Inputs!$B$27+1)+Inputs!$B$30,IF(Skills!C3=3,120+Inputs!$B$28+Inputs!$B$30,MAX(0,(Inputs!$B$3-100)*3)+Inputs!$B$29+Inputs!$B$30)))</f>
        <v/>
      </c>
      <c r="E836">
        <f>INDEX(FactorTable!$B$2:$Y$301, MATCH(ROUND(MIN(300,MAX(1,D836)),0), FactorTable!$A$2:$A$301,0), Skills!M3+1)</f>
        <v/>
      </c>
      <c r="F836">
        <f>IF(Skills!N3=TRUE,(Skills!L3/10)*(E836/1000),Skills!L3/10)+Skills!O3</f>
        <v/>
      </c>
      <c r="G836" t="inlineStr"/>
      <c r="H836" t="inlineStr"/>
      <c r="I836" t="inlineStr">
        <is>
          <t>1</t>
        </is>
      </c>
      <c r="J836" t="inlineStr"/>
      <c r="K836" t="inlineStr"/>
      <c r="L836" t="inlineStr"/>
      <c r="M836" t="inlineStr"/>
      <c r="N836" t="inlineStr"/>
      <c r="O836" t="inlineStr"/>
      <c r="P836" t="inlineStr"/>
      <c r="Q836" t="inlineStr"/>
      <c r="R836" t="inlineStr"/>
      <c r="S836" t="inlineStr"/>
      <c r="U836">
        <f>INDEX(FactorTable!$B$2:$Y$301, MATCH(ROUND(MIN(300,MAX(1,U835)),0), FactorTable!$A$2:$A$301,0), 22)</f>
        <v/>
      </c>
    </row>
    <row r="837">
      <c r="A837">
        <f>Skills!A4</f>
        <v/>
      </c>
      <c r="B837">
        <f>Skills!B4</f>
        <v/>
      </c>
      <c r="C837">
        <f>Inputs!$B$3&gt;=105</f>
        <v/>
      </c>
      <c r="D837">
        <f>IF(Skills!C4=1,60+Inputs!$B$26+Inputs!$B$30,IF(Skills!C4=2,90+(Inputs!$B$27+1)+Inputs!$B$30,IF(Skills!C4=3,120+Inputs!$B$28+Inputs!$B$30,MAX(0,(Inputs!$B$3-100)*3)+Inputs!$B$29+Inputs!$B$30)))</f>
        <v/>
      </c>
      <c r="E837">
        <f>INDEX(FactorTable!$B$2:$Y$301, MATCH(ROUND(MIN(300,MAX(1,D837)),0), FactorTable!$A$2:$A$301,0), Skills!M4+1)</f>
        <v/>
      </c>
      <c r="F837">
        <f>IF(Skills!N4=TRUE,(Skills!L4/10)*(E837/1000),Skills!L4/10)+Skills!O4</f>
        <v/>
      </c>
      <c r="G837" t="inlineStr"/>
      <c r="H837" t="inlineStr"/>
      <c r="I837" t="inlineStr">
        <is>
          <t>1</t>
        </is>
      </c>
      <c r="J837" t="inlineStr"/>
      <c r="K837" t="inlineStr"/>
      <c r="L837" t="inlineStr"/>
      <c r="M837" t="inlineStr"/>
      <c r="N837" t="inlineStr"/>
      <c r="O837" t="inlineStr"/>
      <c r="P837" t="inlineStr"/>
      <c r="Q837" t="inlineStr"/>
      <c r="R837" t="inlineStr"/>
      <c r="S837" t="inlineStr"/>
      <c r="U837">
        <f>290*U836/1000</f>
        <v/>
      </c>
    </row>
    <row r="838">
      <c r="A838">
        <f>Skills!A5</f>
        <v/>
      </c>
      <c r="B838">
        <f>Skills!B5</f>
        <v/>
      </c>
      <c r="C838">
        <f>Inputs!$B$3&gt;=117</f>
        <v/>
      </c>
      <c r="D838">
        <f>IF(Skills!C5=1,60+Inputs!$B$26+Inputs!$B$30,IF(Skills!C5=2,90+(Inputs!$B$27+1)+Inputs!$B$30,IF(Skills!C5=3,120+Inputs!$B$28+Inputs!$B$30,MAX(0,(Inputs!$B$3-100)*3)+Inputs!$B$29+Inputs!$B$30)))</f>
        <v/>
      </c>
      <c r="E838">
        <f>INDEX(FactorTable!$B$2:$Y$301, MATCH(ROUND(MIN(300,MAX(1,D838)),0), FactorTable!$A$2:$A$301,0), Skills!M5+1)</f>
        <v/>
      </c>
      <c r="F838">
        <f>IF(Skills!N5=TRUE,(Skills!L5/10)*(E838/1000),Skills!L5/10)+Skills!O5</f>
        <v/>
      </c>
      <c r="G838">
        <f>Skills!G5*IF(Skills!H5&gt;0,Skills!I5/Skills!H5,1)</f>
        <v/>
      </c>
      <c r="H838">
        <f>1-(1-Skills!J5/100)^Skills!K5</f>
        <v/>
      </c>
      <c r="I838" t="inlineStr">
        <is>
          <t>1</t>
        </is>
      </c>
      <c r="J838">
        <f>((Inputs!$B$6*(1+Inputs!$B$7/100))+(((Inputs!$B$13*(1+Inputs!$B$14/100))-(Inputs!$B$13*(1+Inputs!$B$14/100)))+0.25*(Inputs!$B$15-Inputs!$B$15))*(1+Inputs!$B$7/100))*(F838/100)</f>
        <v/>
      </c>
      <c r="K838">
        <f>J838*(1+(((Inputs!$B$13+IF(Inputs!$B$3&gt;=38,(10*INDEX(FactorTable!$B$2:$Y$301, MATCH(ROUND(MIN(300,MAX(1,Inputs!$B$3)),0), FactorTable!$A$2:$A$301,0), 23)/1000)/100*(Inputs!$B$8*(1+Inputs!$B$9/100)),0))*(1+Inputs!$B$14/100))*0.01+Inputs!$B$15*0.0025)/100)*(1+Inputs!$B$16/100)*(1+Inputs!$B$17/100)*(5000/(6000+Inputs!$B$43*(1-(Inputs!$B$20+0)/100)))*(1+(Inputs!$B$25+((C858=TRUE)*(F858-Calc!F25))+((C859=TRUE)*(F859-Calc!F26))+B868)/100)*(1+(IF(Skills!A5="DARK_IMPALE",Inputs!$B$18+0,Inputs!$B$19+((C856=TRUE)*(F856-Calc!F23))))/100)*((1+(((C846=TRUE)*F846*IF(AND(Inputs!$B$39&lt;&gt;"pvp",Inputs!$B$44&gt;0),(((R846-1)*(Skills!T13*(1+Inputs!$B$35/100))+MIN((Skills!T13*(1+Inputs!$B$35/100)),MAX(0,Inputs!$B$44-((R846-1)*Skills!D13))))/Inputs!$B$44),IF(Inputs!$B$39="pvp",MIN((Skills!T13*(1+Inputs!$B$35/100)),15)/15,(Skills!T13*(1+Inputs!$B$35/100))/Skills!D13)))+((C847=TRUE)*F847*IF(AND(Inputs!$B$39&lt;&gt;"pvp",Inputs!$B$44&gt;0),(((R847-1)*(Skills!T14*(1+Inputs!$B$35/100))+MIN((Skills!T14*(1+Inputs!$B$35/100)),MAX(0,Inputs!$B$44-((R847-1)*Skills!D14))))/Inputs!$B$44),IF(Inputs!$B$39="pvp",MIN((Skills!T14*(1+Inputs!$B$35/100)),15)/15,(Skills!T14*(1+Inputs!$B$35/100))/Skills!D14)))+((C848=TRUE)*F848*IF(AND(Inputs!$B$39&lt;&gt;"pvp",Inputs!$B$44&gt;0),(((R848-1)*(Skills!T15*(1+Inputs!$B$35/100))+MIN((Skills!T15*(1+Inputs!$B$35/100)),MAX(0,Inputs!$B$44-((R848-1)*Skills!D15))))/Inputs!$B$44),IF(Inputs!$B$39="pvp",MIN((Skills!T15*(1+Inputs!$B$35/100)),15)/15,(Skills!T15*(1+Inputs!$B$35/100))/Skills!D15)))+((C849=TRUE)*F849*IF(AND(Inputs!$B$39&lt;&gt;"pvp",Inputs!$B$44&gt;0),(((R849-1)*(Skills!T16*(1+Inputs!$B$35/100))+MIN((Skills!T16*(1+Inputs!$B$35/100)),MAX(0,Inputs!$B$44-((R849-1)*Skills!D16))))/Inputs!$B$44),IF(Inputs!$B$39="pvp",MIN((Skills!T16*(1+Inputs!$B$35/100)),15)/15,(Skills!T16*(1+Inputs!$B$35/100))/Skills!D16)))+0)/100)*I838)</f>
        <v/>
      </c>
      <c r="L838">
        <f>K838*(MIN(Inputs!$B$23+((C855=TRUE)*(F855-Calc!F22)),Inputs!$B$24+((C857=TRUE)*(F857-Calc!F24)))/100+(Inputs!$B$24+((C857=TRUE)*(F857-Calc!F24)))/100)/2</f>
        <v/>
      </c>
      <c r="M838">
        <f>L838*(1+(Inputs!$B$11+0+B867)/100)</f>
        <v/>
      </c>
      <c r="N838">
        <f>L838*(1-MIN((Inputs!$B$10+0+B862),100)/100)+M838*(MIN((Inputs!$B$10+0+B862),100)/100)</f>
        <v/>
      </c>
      <c r="O838">
        <f>(1-Summary!$B$55)*T838+Summary!$B$55*V838</f>
        <v/>
      </c>
      <c r="P838">
        <f>IF(B872=0,0,O838/B872)</f>
        <v/>
      </c>
      <c r="Q838">
        <f>IFERROR(1/IF(Inputs!$B$39="pvp",15,MAX(0.1,Skills!D5-IF(Skills!E5=TRUE,Inputs!$B$33,0))),0)</f>
        <v/>
      </c>
      <c r="R838">
        <f>IF(AND(Inputs!$B$39&lt;&gt;"pvp",Inputs!$B$44&gt;0),IF(MAX(0,Inputs!$B$44-B869)&lt;=0,0,(INT(MAX(0,Inputs!$B$44-B869)/IF(Inputs!$B$39="pvp",15,MAX(0.1,Skills!D5-IF(Skills!E5=TRUE,Inputs!$B$33,0))))+1)),0)</f>
        <v/>
      </c>
      <c r="S838">
        <f>IFERROR(O838/N838,0)</f>
        <v/>
      </c>
      <c r="T838">
        <f>IF(C838,(H838*N838*IF(AND(Inputs!$B$39&lt;&gt;"pvp",Inputs!$B$44&gt;0),((Skills!G5*((R838-1)*IF(Skills!H5&gt;0,Skills!I5/Skills!H5,1)+IF(Skills!H5&gt;0,MIN(Skills!I5,MAX(0,MAX(0,Inputs!$B$44-B869)-((R838-1)*IF(Inputs!$B$39="pvp",15,MAX(0.1,Skills!D5-IF(Skills!E5=TRUE,Inputs!$B$33,0))))))/Skills!H5,1)))/Inputs!$B$44),G838*Q838))*IF(Inputs!$B$39="pvp",1,1+(Inputs!$B$21+0+Skills!P5+((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0)</f>
        <v/>
      </c>
      <c r="V838">
        <f>IF(C838,(H838*N838*IF(AND(Inputs!$B$39&lt;&gt;"pvp",Inputs!$B$44&gt;0),((Skills!G5*((R838-1)*IF(Skills!H5&gt;0,Skills!I5/Skills!H5,1)+IF(Skills!H5&gt;0,MIN(Skills!I5,MAX(0,MAX(0,Inputs!$B$44-B869)-((R838-1)*IF(Inputs!$B$39="pvp",15,MAX(0.1,Skills!D5-IF(Skills!E5=TRUE,Inputs!$B$33,0))))))/Skills!H5,1)))/Inputs!$B$44),G838*Q838))*IF(Inputs!$B$39="pvp",1,(1+(Inputs!$B$22+Skills!Q5+((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MIN(Skills!R5,Inputs!$B$38))),0)</f>
        <v/>
      </c>
    </row>
    <row r="839">
      <c r="A839">
        <f>Skills!A6</f>
        <v/>
      </c>
      <c r="B839">
        <f>Skills!B6</f>
        <v/>
      </c>
      <c r="C839">
        <f>Inputs!$B$3&gt;=103</f>
        <v/>
      </c>
      <c r="D839">
        <f>IF(Skills!C6=1,60+Inputs!$B$26+Inputs!$B$30,IF(Skills!C6=2,90+(Inputs!$B$27+1)+Inputs!$B$30,IF(Skills!C6=3,120+Inputs!$B$28+Inputs!$B$30,MAX(0,(Inputs!$B$3-100)*3)+Inputs!$B$29+Inputs!$B$30)))</f>
        <v/>
      </c>
      <c r="E839">
        <f>INDEX(FactorTable!$B$2:$Y$301, MATCH(ROUND(MIN(300,MAX(1,D839)),0), FactorTable!$A$2:$A$301,0), Skills!M6+1)</f>
        <v/>
      </c>
      <c r="F839">
        <f>IF(Skills!N6=TRUE,(Skills!L6/10)*(E839/1000),Skills!L6/10)+Skills!O6</f>
        <v/>
      </c>
      <c r="G839">
        <f>Skills!G6*IF(Skills!H6&gt;0,Skills!I6/Skills!H6,1)</f>
        <v/>
      </c>
      <c r="H839">
        <f>1-(1-Skills!J6/100)^Skills!K6</f>
        <v/>
      </c>
      <c r="I839" t="inlineStr">
        <is>
          <t>1</t>
        </is>
      </c>
      <c r="J839">
        <f>((Inputs!$B$6*(1+Inputs!$B$7/100))+(((Inputs!$B$13*(1+Inputs!$B$14/100))-(Inputs!$B$13*(1+Inputs!$B$14/100)))+0.25*(Inputs!$B$15-Inputs!$B$15))*(1+Inputs!$B$7/100))*(F839/100)</f>
        <v/>
      </c>
      <c r="K839">
        <f>J839*(1+(((Inputs!$B$13+IF(Inputs!$B$3&gt;=38,(10*INDEX(FactorTable!$B$2:$Y$301, MATCH(ROUND(MIN(300,MAX(1,Inputs!$B$3)),0), FactorTable!$A$2:$A$301,0), 23)/1000)/100*(Inputs!$B$8*(1+Inputs!$B$9/100)),0))*(1+Inputs!$B$14/100))*0.01+Inputs!$B$15*0.0025)/100)*(1+Inputs!$B$16/100)*(1+Inputs!$B$17/100)*(5000/(6000+Inputs!$B$43*(1-(Inputs!$B$20+0)/100)))*(1+(Inputs!$B$25+((C858=TRUE)*(F858-Calc!F25))+((C859=TRUE)*(F859-Calc!F26))+B868)/100)*(1+(IF(Skills!A6="DARK_IMPALE",Inputs!$B$18+0,Inputs!$B$19+((C856=TRUE)*(F856-Calc!F23))))/100)*((1+(((C846=TRUE)*F846*IF(AND(Inputs!$B$39&lt;&gt;"pvp",Inputs!$B$44&gt;0),(((R846-1)*(Skills!T13*(1+Inputs!$B$35/100))+MIN((Skills!T13*(1+Inputs!$B$35/100)),MAX(0,Inputs!$B$44-((R846-1)*Skills!D13))))/Inputs!$B$44),IF(Inputs!$B$39="pvp",MIN((Skills!T13*(1+Inputs!$B$35/100)),15)/15,(Skills!T13*(1+Inputs!$B$35/100))/Skills!D13)))+((C847=TRUE)*F847*IF(AND(Inputs!$B$39&lt;&gt;"pvp",Inputs!$B$44&gt;0),(((R847-1)*(Skills!T14*(1+Inputs!$B$35/100))+MIN((Skills!T14*(1+Inputs!$B$35/100)),MAX(0,Inputs!$B$44-((R847-1)*Skills!D14))))/Inputs!$B$44),IF(Inputs!$B$39="pvp",MIN((Skills!T14*(1+Inputs!$B$35/100)),15)/15,(Skills!T14*(1+Inputs!$B$35/100))/Skills!D14)))+((C848=TRUE)*F848*IF(AND(Inputs!$B$39&lt;&gt;"pvp",Inputs!$B$44&gt;0),(((R848-1)*(Skills!T15*(1+Inputs!$B$35/100))+MIN((Skills!T15*(1+Inputs!$B$35/100)),MAX(0,Inputs!$B$44-((R848-1)*Skills!D15))))/Inputs!$B$44),IF(Inputs!$B$39="pvp",MIN((Skills!T15*(1+Inputs!$B$35/100)),15)/15,(Skills!T15*(1+Inputs!$B$35/100))/Skills!D15)))+((C849=TRUE)*F849*IF(AND(Inputs!$B$39&lt;&gt;"pvp",Inputs!$B$44&gt;0),(((R849-1)*(Skills!T16*(1+Inputs!$B$35/100))+MIN((Skills!T16*(1+Inputs!$B$35/100)),MAX(0,Inputs!$B$44-((R849-1)*Skills!D16))))/Inputs!$B$44),IF(Inputs!$B$39="pvp",MIN((Skills!T16*(1+Inputs!$B$35/100)),15)/15,(Skills!T16*(1+Inputs!$B$35/100))/Skills!D16)))+0)/100)*I839)</f>
        <v/>
      </c>
      <c r="L839">
        <f>K839*(MIN(Inputs!$B$23+((C855=TRUE)*(F855-Calc!F22)),Inputs!$B$24+((C857=TRUE)*(F857-Calc!F24)))/100+(Inputs!$B$24+((C857=TRUE)*(F857-Calc!F24)))/100)/2</f>
        <v/>
      </c>
      <c r="M839">
        <f>L839*(1+(Inputs!$B$11+0+B867)/100)</f>
        <v/>
      </c>
      <c r="N839">
        <f>L839*(1-MIN((Inputs!$B$10+0+B862),100)/100)+M839*(MIN((Inputs!$B$10+0+B862),100)/100)</f>
        <v/>
      </c>
      <c r="O839">
        <f>(1-Summary!$B$55)*T839+Summary!$B$55*V839</f>
        <v/>
      </c>
      <c r="P839">
        <f>IF(B872=0,0,O839/B872)</f>
        <v/>
      </c>
      <c r="Q839">
        <f>IFERROR(1/IF(Inputs!$B$39="pvp",15,MAX(0.1,Skills!D6-IF(Skills!E6=TRUE,Inputs!$B$33,0))),0)</f>
        <v/>
      </c>
      <c r="R839">
        <f>IF(AND(Inputs!$B$39&lt;&gt;"pvp",Inputs!$B$44&gt;0),IF(MAX(0,Inputs!$B$44-B869)&lt;=0,0,(INT(MAX(0,Inputs!$B$44-B869)/IF(Inputs!$B$39="pvp",15,MAX(0.1,Skills!D6-IF(Skills!E6=TRUE,Inputs!$B$33,0))))+1)),0)</f>
        <v/>
      </c>
      <c r="S839">
        <f>IFERROR(O839/N839,0)</f>
        <v/>
      </c>
      <c r="T839">
        <f>IF(C839,(H839*N839*IF(AND(Inputs!$B$39&lt;&gt;"pvp",Inputs!$B$44&gt;0),((Skills!G6*((R839-1)*IF(Skills!H6&gt;0,Skills!I6/Skills!H6,1)+IF(Skills!H6&gt;0,MIN(Skills!I6,MAX(0,MAX(0,Inputs!$B$44-B869)-((R839-1)*IF(Inputs!$B$39="pvp",15,MAX(0.1,Skills!D6-IF(Skills!E6=TRUE,Inputs!$B$33,0))))))/Skills!H6,1)))/Inputs!$B$44),G839*Q839))*IF(Inputs!$B$39="pvp",1,1+(Inputs!$B$21+0+Skills!P6+((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0)</f>
        <v/>
      </c>
      <c r="V839">
        <f>IF(C839,(H839*N839*IF(AND(Inputs!$B$39&lt;&gt;"pvp",Inputs!$B$44&gt;0),((Skills!G6*((R839-1)*IF(Skills!H6&gt;0,Skills!I6/Skills!H6,1)+IF(Skills!H6&gt;0,MIN(Skills!I6,MAX(0,MAX(0,Inputs!$B$44-B869)-((R839-1)*IF(Inputs!$B$39="pvp",15,MAX(0.1,Skills!D6-IF(Skills!E6=TRUE,Inputs!$B$33,0))))))/Skills!H6,1)))/Inputs!$B$44),G839*Q839))*IF(Inputs!$B$39="pvp",1,(1+(Inputs!$B$22+Skills!Q6+((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MIN(Skills!R6,Inputs!$B$38))),0)</f>
        <v/>
      </c>
    </row>
    <row r="840">
      <c r="A840">
        <f>Skills!A7</f>
        <v/>
      </c>
      <c r="B840">
        <f>Skills!B7</f>
        <v/>
      </c>
      <c r="C840">
        <f>Inputs!$B$3&gt;=40</f>
        <v/>
      </c>
      <c r="D840">
        <f>IF(Skills!C7=1,60+Inputs!$B$26+Inputs!$B$30,IF(Skills!C7=2,90+(Inputs!$B$27+1)+Inputs!$B$30,IF(Skills!C7=3,120+Inputs!$B$28+Inputs!$B$30,MAX(0,(Inputs!$B$3-100)*3)+Inputs!$B$29+Inputs!$B$30)))</f>
        <v/>
      </c>
      <c r="E840">
        <f>INDEX(FactorTable!$B$2:$Y$301, MATCH(ROUND(MIN(300,MAX(1,D840)),0), FactorTable!$A$2:$A$301,0), Skills!M7+1)</f>
        <v/>
      </c>
      <c r="F840">
        <f>IF(Skills!N7=TRUE,(Skills!L7/10)*(E840/1000),Skills!L7/10)+Skills!O7</f>
        <v/>
      </c>
      <c r="G840">
        <f>Skills!G7*IF(Skills!H7&gt;0,Skills!I7/Skills!H7,1)</f>
        <v/>
      </c>
      <c r="H840">
        <f>1-(1-Skills!J7/100)^Skills!K7</f>
        <v/>
      </c>
      <c r="I840" t="inlineStr">
        <is>
          <t>1</t>
        </is>
      </c>
      <c r="J840">
        <f>((Inputs!$B$6*(1+Inputs!$B$7/100))+(((Inputs!$B$13*(1+Inputs!$B$14/100))-(Inputs!$B$13*(1+Inputs!$B$14/100)))+0.25*(Inputs!$B$15-Inputs!$B$15))*(1+Inputs!$B$7/100))*(F840/100)</f>
        <v/>
      </c>
      <c r="K840">
        <f>J840*(1+(((Inputs!$B$13+IF(Inputs!$B$3&gt;=38,(10*INDEX(FactorTable!$B$2:$Y$301, MATCH(ROUND(MIN(300,MAX(1,Inputs!$B$3)),0), FactorTable!$A$2:$A$301,0), 23)/1000)/100*(Inputs!$B$8*(1+Inputs!$B$9/100)),0))*(1+Inputs!$B$14/100))*0.01+Inputs!$B$15*0.0025)/100)*(1+Inputs!$B$16/100)*(1+Inputs!$B$17/100)*(5000/(6000+Inputs!$B$43*(1-(Inputs!$B$20+0)/100)))*(1+(Inputs!$B$25+((C858=TRUE)*(F858-Calc!F25))+((C859=TRUE)*(F859-Calc!F26))+B868)/100)*(1+0.75*IF(C844=TRUE,F844,0)/100)*(1+(IF(Skills!A7="DARK_IMPALE",Inputs!$B$18+0,Inputs!$B$19+((C856=TRUE)*(F856-Calc!F23))))/100)*((1+(((C846=TRUE)*F846*IF(AND(Inputs!$B$39&lt;&gt;"pvp",Inputs!$B$44&gt;0),(((R846-1)*(Skills!T13*(1+Inputs!$B$35/100))+MIN((Skills!T13*(1+Inputs!$B$35/100)),MAX(0,Inputs!$B$44-((R846-1)*Skills!D13))))/Inputs!$B$44),IF(Inputs!$B$39="pvp",MIN((Skills!T13*(1+Inputs!$B$35/100)),15)/15,(Skills!T13*(1+Inputs!$B$35/100))/Skills!D13)))+((C847=TRUE)*F847*IF(AND(Inputs!$B$39&lt;&gt;"pvp",Inputs!$B$44&gt;0),(((R847-1)*(Skills!T14*(1+Inputs!$B$35/100))+MIN((Skills!T14*(1+Inputs!$B$35/100)),MAX(0,Inputs!$B$44-((R847-1)*Skills!D14))))/Inputs!$B$44),IF(Inputs!$B$39="pvp",MIN((Skills!T14*(1+Inputs!$B$35/100)),15)/15,(Skills!T14*(1+Inputs!$B$35/100))/Skills!D14)))+((C848=TRUE)*F848*IF(AND(Inputs!$B$39&lt;&gt;"pvp",Inputs!$B$44&gt;0),(((R848-1)*(Skills!T15*(1+Inputs!$B$35/100))+MIN((Skills!T15*(1+Inputs!$B$35/100)),MAX(0,Inputs!$B$44-((R848-1)*Skills!D15))))/Inputs!$B$44),IF(Inputs!$B$39="pvp",MIN((Skills!T15*(1+Inputs!$B$35/100)),15)/15,(Skills!T15*(1+Inputs!$B$35/100))/Skills!D15)))+((C849=TRUE)*F849*IF(AND(Inputs!$B$39&lt;&gt;"pvp",Inputs!$B$44&gt;0),(((R849-1)*(Skills!T16*(1+Inputs!$B$35/100))+MIN((Skills!T16*(1+Inputs!$B$35/100)),MAX(0,Inputs!$B$44-((R849-1)*Skills!D16))))/Inputs!$B$44),IF(Inputs!$B$39="pvp",MIN((Skills!T16*(1+Inputs!$B$35/100)),15)/15,(Skills!T16*(1+Inputs!$B$35/100))/Skills!D16)))+0)/100)*I840)</f>
        <v/>
      </c>
      <c r="L840">
        <f>K840*(MIN(Inputs!$B$23+((C855=TRUE)*(F855-Calc!F22)),Inputs!$B$24+((C857=TRUE)*(F857-Calc!F24)))/100+(Inputs!$B$24+((C857=TRUE)*(F857-Calc!F24)))/100)/2</f>
        <v/>
      </c>
      <c r="M840">
        <f>L840*(1+(Inputs!$B$11+0+B867)/100)</f>
        <v/>
      </c>
      <c r="N840">
        <f>L840*(1-MIN((Inputs!$B$10+0+B862),100)/100)+M840*(MIN((Inputs!$B$10+0+B862),100)/100)</f>
        <v/>
      </c>
      <c r="O840">
        <f>(1-Summary!$B$55)*T840+Summary!$B$55*V840</f>
        <v/>
      </c>
      <c r="P840">
        <f>IF(B872=0,0,O840/B872)</f>
        <v/>
      </c>
      <c r="Q840">
        <f>IFERROR(1/IF(Inputs!$B$39="pvp",15,MAX(0.1,Skills!D7-IF(Skills!E7=TRUE,Inputs!$B$33,0))),0)</f>
        <v/>
      </c>
      <c r="R840">
        <f>IF(AND(Inputs!$B$39&lt;&gt;"pvp",Inputs!$B$44&gt;0),IF(MAX(0,Inputs!$B$44-B869)&lt;=0,0,(INT(MAX(0,Inputs!$B$44-B869)/IF(Inputs!$B$39="pvp",15,MAX(0.1,Skills!D7-IF(Skills!E7=TRUE,Inputs!$B$33,0))))+1)),0)</f>
        <v/>
      </c>
      <c r="S840">
        <f>IFERROR(O840/N840,0)</f>
        <v/>
      </c>
      <c r="T840">
        <f>IF(C840,(H840*N840*IF(AND(Inputs!$B$39&lt;&gt;"pvp",Inputs!$B$44&gt;0),((Skills!G7*((R840-1)*IF(Skills!H7&gt;0,Skills!I7/Skills!H7,1)+IF(Skills!H7&gt;0,MIN(Skills!I7,MAX(0,MAX(0,Inputs!$B$44-B869)-((R840-1)*IF(Inputs!$B$39="pvp",15,MAX(0.1,Skills!D7-IF(Skills!E7=TRUE,Inputs!$B$33,0))))))/Skills!H7,1)))/Inputs!$B$44),G840*Q840))*IF(Inputs!$B$39="pvp",1,1+(Inputs!$B$21+0+Skills!P7+((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0)</f>
        <v/>
      </c>
      <c r="V840">
        <f>IF(C840,(H840*N840*IF(AND(Inputs!$B$39&lt;&gt;"pvp",Inputs!$B$44&gt;0),((Skills!G7*((R840-1)*IF(Skills!H7&gt;0,Skills!I7/Skills!H7,1)+IF(Skills!H7&gt;0,MIN(Skills!I7,MAX(0,MAX(0,Inputs!$B$44-B869)-((R840-1)*IF(Inputs!$B$39="pvp",15,MAX(0.1,Skills!D7-IF(Skills!E7=TRUE,Inputs!$B$33,0))))))/Skills!H7,1)))/Inputs!$B$44),G840*Q840))*IF(Inputs!$B$39="pvp",1,(1+(Inputs!$B$22+Skills!Q7+((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MIN(Skills!R7,Inputs!$B$38))),0)</f>
        <v/>
      </c>
    </row>
    <row r="841">
      <c r="A841">
        <f>Skills!A8</f>
        <v/>
      </c>
      <c r="B841">
        <f>Skills!B8</f>
        <v/>
      </c>
      <c r="C841">
        <f>Inputs!$B$3&gt;=75</f>
        <v/>
      </c>
      <c r="D841">
        <f>IF(Skills!C8=1,60+Inputs!$B$26+Inputs!$B$30,IF(Skills!C8=2,90+(Inputs!$B$27+1)+Inputs!$B$30,IF(Skills!C8=3,120+Inputs!$B$28+Inputs!$B$30,MAX(0,(Inputs!$B$3-100)*3)+Inputs!$B$29+Inputs!$B$30)))</f>
        <v/>
      </c>
      <c r="E841">
        <f>INDEX(FactorTable!$B$2:$Y$301, MATCH(ROUND(MIN(300,MAX(1,D841)),0), FactorTable!$A$2:$A$301,0), Skills!M8+1)</f>
        <v/>
      </c>
      <c r="F841">
        <f>IF(Skills!N8=TRUE,(Skills!L8/10)*(E841/1000),Skills!L8/10)+Skills!O8</f>
        <v/>
      </c>
      <c r="G841" t="inlineStr"/>
      <c r="H841" t="inlineStr"/>
      <c r="I841" t="inlineStr">
        <is>
          <t>1</t>
        </is>
      </c>
      <c r="J841" t="inlineStr"/>
      <c r="K841" t="inlineStr"/>
      <c r="L841" t="inlineStr"/>
      <c r="M841" t="inlineStr"/>
      <c r="N841" t="inlineStr"/>
      <c r="O841" t="inlineStr"/>
      <c r="P841" t="inlineStr"/>
      <c r="Q841" t="inlineStr"/>
      <c r="R841" t="inlineStr"/>
      <c r="S841" t="inlineStr"/>
    </row>
    <row r="842">
      <c r="A842">
        <f>Skills!A9</f>
        <v/>
      </c>
      <c r="B842">
        <f>Skills!B9</f>
        <v/>
      </c>
      <c r="C842">
        <f>Inputs!$B$3&gt;=60</f>
        <v/>
      </c>
      <c r="D842">
        <f>IF(Skills!C9=1,60+Inputs!$B$26+Inputs!$B$30,IF(Skills!C9=2,90+(Inputs!$B$27+1)+Inputs!$B$30,IF(Skills!C9=3,120+Inputs!$B$28+Inputs!$B$30,MAX(0,(Inputs!$B$3-100)*3)+Inputs!$B$29+Inputs!$B$30)))</f>
        <v/>
      </c>
      <c r="E842">
        <f>INDEX(FactorTable!$B$2:$Y$301, MATCH(ROUND(MIN(300,MAX(1,D842)),0), FactorTable!$A$2:$A$301,0), Skills!M9+1)</f>
        <v/>
      </c>
      <c r="F842">
        <f>IF(Skills!N9=TRUE,(Skills!L9/10)*(E842/1000),Skills!L9/10)+Skills!O9</f>
        <v/>
      </c>
      <c r="G842">
        <f>Skills!G9*IF(Skills!H9&gt;0,Skills!I9/Skills!H9,1)</f>
        <v/>
      </c>
      <c r="H842">
        <f>1-(1-Skills!J9/100)^Skills!K9</f>
        <v/>
      </c>
      <c r="I842" t="inlineStr">
        <is>
          <t>1</t>
        </is>
      </c>
      <c r="J842">
        <f>((Inputs!$B$6*(1+Inputs!$B$7/100))+(((Inputs!$B$13*(1+Inputs!$B$14/100))-(Inputs!$B$13*(1+Inputs!$B$14/100)))+0.25*(Inputs!$B$15-Inputs!$B$15))*(1+Inputs!$B$7/100))*(F842/100)</f>
        <v/>
      </c>
      <c r="K842">
        <f>J842*(1+(((Inputs!$B$13+IF(Inputs!$B$3&gt;=38,(10*INDEX(FactorTable!$B$2:$Y$301, MATCH(ROUND(MIN(300,MAX(1,Inputs!$B$3)),0), FactorTable!$A$2:$A$301,0), 23)/1000)/100*(Inputs!$B$8*(1+Inputs!$B$9/100)),0))*(1+Inputs!$B$14/100))*0.01+Inputs!$B$15*0.0025)/100)*(1+Inputs!$B$16/100)*(1+Inputs!$B$17/100)*(5000/(6000+Inputs!$B$43*(1-(Inputs!$B$20+0)/100)))*(1+(Inputs!$B$25+((C858=TRUE)*(F858-Calc!F25))+((C859=TRUE)*(F859-Calc!F26))+B868)/100)*(1+1.0*IF(C844=TRUE,F844,0)/100)*(1+(IF(Skills!A9="DARK_IMPALE",Inputs!$B$18+0,Inputs!$B$19+((C856=TRUE)*(F856-Calc!F23))))/100)*((1+(((C846=TRUE)*F846*IF(AND(Inputs!$B$39&lt;&gt;"pvp",Inputs!$B$44&gt;0),(((R846-1)*(Skills!T13*(1+Inputs!$B$35/100))+MIN((Skills!T13*(1+Inputs!$B$35/100)),MAX(0,Inputs!$B$44-((R846-1)*Skills!D13))))/Inputs!$B$44),IF(Inputs!$B$39="pvp",MIN((Skills!T13*(1+Inputs!$B$35/100)),15)/15,(Skills!T13*(1+Inputs!$B$35/100))/Skills!D13)))+((C847=TRUE)*F847*IF(AND(Inputs!$B$39&lt;&gt;"pvp",Inputs!$B$44&gt;0),(((R847-1)*(Skills!T14*(1+Inputs!$B$35/100))+MIN((Skills!T14*(1+Inputs!$B$35/100)),MAX(0,Inputs!$B$44-((R847-1)*Skills!D14))))/Inputs!$B$44),IF(Inputs!$B$39="pvp",MIN((Skills!T14*(1+Inputs!$B$35/100)),15)/15,(Skills!T14*(1+Inputs!$B$35/100))/Skills!D14)))+((C848=TRUE)*F848*IF(AND(Inputs!$B$39&lt;&gt;"pvp",Inputs!$B$44&gt;0),(((R848-1)*(Skills!T15*(1+Inputs!$B$35/100))+MIN((Skills!T15*(1+Inputs!$B$35/100)),MAX(0,Inputs!$B$44-((R848-1)*Skills!D15))))/Inputs!$B$44),IF(Inputs!$B$39="pvp",MIN((Skills!T15*(1+Inputs!$B$35/100)),15)/15,(Skills!T15*(1+Inputs!$B$35/100))/Skills!D15)))+((C849=TRUE)*F849*IF(AND(Inputs!$B$39&lt;&gt;"pvp",Inputs!$B$44&gt;0),(((R849-1)*(Skills!T16*(1+Inputs!$B$35/100))+MIN((Skills!T16*(1+Inputs!$B$35/100)),MAX(0,Inputs!$B$44-((R849-1)*Skills!D16))))/Inputs!$B$44),IF(Inputs!$B$39="pvp",MIN((Skills!T16*(1+Inputs!$B$35/100)),15)/15,(Skills!T16*(1+Inputs!$B$35/100))/Skills!D16)))+0)/100)*I842)</f>
        <v/>
      </c>
      <c r="L842">
        <f>K842*(MIN(Inputs!$B$23+((C855=TRUE)*(F855-Calc!F22)),Inputs!$B$24+((C857=TRUE)*(F857-Calc!F24)))/100+(Inputs!$B$24+((C857=TRUE)*(F857-Calc!F24)))/100)/2</f>
        <v/>
      </c>
      <c r="M842">
        <f>L842*(1+(Inputs!$B$11+0+B867)/100)</f>
        <v/>
      </c>
      <c r="N842">
        <f>L842*(1-MIN((Inputs!$B$10+0+B862),100)/100)+M842*(MIN((Inputs!$B$10+0+B862),100)/100)</f>
        <v/>
      </c>
      <c r="O842">
        <f>(1-Summary!$B$55)*T842+Summary!$B$55*V842</f>
        <v/>
      </c>
      <c r="P842">
        <f>IF(B872=0,0,O842/B872)</f>
        <v/>
      </c>
      <c r="Q842">
        <f>IFERROR(1/IF(Inputs!$B$39="pvp",15,MAX(0.1,Skills!D9-IF(Skills!E9=TRUE,Inputs!$B$33,0))),0)</f>
        <v/>
      </c>
      <c r="R842">
        <f>IF(AND(Inputs!$B$39&lt;&gt;"pvp",Inputs!$B$44&gt;0),IF(MAX(0,Inputs!$B$44-B869)&lt;=0,0,(INT(MAX(0,Inputs!$B$44-B869)/IF(Inputs!$B$39="pvp",15,MAX(0.1,Skills!D9-IF(Skills!E9=TRUE,Inputs!$B$33,0))))+1)),0)</f>
        <v/>
      </c>
      <c r="S842">
        <f>IFERROR(O842/N842,0)</f>
        <v/>
      </c>
      <c r="T842">
        <f>IF(C842,(H842*N842*IF(AND(Inputs!$B$39&lt;&gt;"pvp",Inputs!$B$44&gt;0),((Skills!G9*((R842-1)*IF(Skills!H9&gt;0,Skills!I9/Skills!H9,1)+IF(Skills!H9&gt;0,MIN(Skills!I9,MAX(0,MAX(0,Inputs!$B$44-B869)-((R842-1)*IF(Inputs!$B$39="pvp",15,MAX(0.1,Skills!D9-IF(Skills!E9=TRUE,Inputs!$B$33,0))))))/Skills!H9,1)))/Inputs!$B$44),G842*Q842))*IF(Inputs!$B$39="pvp",1,1+(Inputs!$B$21+0+Skills!P9+((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0)</f>
        <v/>
      </c>
      <c r="V842">
        <f>IF(C842,(H842*N842*IF(AND(Inputs!$B$39&lt;&gt;"pvp",Inputs!$B$44&gt;0),((Skills!G9*((R842-1)*IF(Skills!H9&gt;0,Skills!I9/Skills!H9,1)+IF(Skills!H9&gt;0,MIN(Skills!I9,MAX(0,MAX(0,Inputs!$B$44-B869)-((R842-1)*IF(Inputs!$B$39="pvp",15,MAX(0.1,Skills!D9-IF(Skills!E9=TRUE,Inputs!$B$33,0))))))/Skills!H9,1)))/Inputs!$B$44),G842*Q842))*IF(Inputs!$B$39="pvp",1,(1+(Inputs!$B$22+Skills!Q9+((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MIN(Skills!R9,Inputs!$B$38))),0)</f>
        <v/>
      </c>
    </row>
    <row r="843">
      <c r="A843">
        <f>Skills!A10</f>
        <v/>
      </c>
      <c r="B843">
        <f>Skills!B10</f>
        <v/>
      </c>
      <c r="C843">
        <f>Inputs!$B$3&gt;=110</f>
        <v/>
      </c>
      <c r="D843">
        <f>IF(Skills!C10=1,60+Inputs!$B$26+Inputs!$B$30,IF(Skills!C10=2,90+(Inputs!$B$27+1)+Inputs!$B$30,IF(Skills!C10=3,120+Inputs!$B$28+Inputs!$B$30,MAX(0,(Inputs!$B$3-100)*3)+Inputs!$B$29+Inputs!$B$30)))</f>
        <v/>
      </c>
      <c r="E843">
        <f>INDEX(FactorTable!$B$2:$Y$301, MATCH(ROUND(MIN(300,MAX(1,D843)),0), FactorTable!$A$2:$A$301,0), Skills!M10+1)</f>
        <v/>
      </c>
      <c r="F843">
        <f>IF(Skills!N10=TRUE,(Skills!L10/10)*(E843/1000),Skills!L10/10)+Skills!O10</f>
        <v/>
      </c>
      <c r="G843">
        <f>Skills!G10*IF(Skills!H10&gt;0,Skills!I10/Skills!H10,1)</f>
        <v/>
      </c>
      <c r="H843">
        <f>1-(1-Skills!J10/100)^Skills!K10</f>
        <v/>
      </c>
      <c r="I843" t="inlineStr">
        <is>
          <t>1</t>
        </is>
      </c>
      <c r="J843">
        <f>((Inputs!$B$6*(1+Inputs!$B$7/100))+(((Inputs!$B$13*(1+Inputs!$B$14/100))-(Inputs!$B$13*(1+Inputs!$B$14/100)))+0.25*(Inputs!$B$15-Inputs!$B$15))*(1+Inputs!$B$7/100))*(F843/100)</f>
        <v/>
      </c>
      <c r="K843">
        <f>J843*(1+(((Inputs!$B$13+IF(Inputs!$B$3&gt;=38,(10*INDEX(FactorTable!$B$2:$Y$301, MATCH(ROUND(MIN(300,MAX(1,Inputs!$B$3)),0), FactorTable!$A$2:$A$301,0), 23)/1000)/100*(Inputs!$B$8*(1+Inputs!$B$9/100)),0))*(1+Inputs!$B$14/100))*0.01+Inputs!$B$15*0.0025)/100)*(1+Inputs!$B$16/100)*(1+Inputs!$B$17/100)*(5000/(6000+Inputs!$B$43*(1-(Inputs!$B$20+0)/100)))*(1+(Inputs!$B$25+((C858=TRUE)*(F858-Calc!F25))+((C859=TRUE)*(F859-Calc!F26))+B868)/100)*(1+(IF(Skills!A10="DARK_IMPALE",Inputs!$B$18+0,Inputs!$B$19+((C856=TRUE)*(F856-Calc!F23))))/100)*((1+(((C846=TRUE)*F846*IF(AND(Inputs!$B$39&lt;&gt;"pvp",Inputs!$B$44&gt;0),(((R846-1)*(Skills!T13*(1+Inputs!$B$35/100))+MIN((Skills!T13*(1+Inputs!$B$35/100)),MAX(0,Inputs!$B$44-((R846-1)*Skills!D13))))/Inputs!$B$44),IF(Inputs!$B$39="pvp",MIN((Skills!T13*(1+Inputs!$B$35/100)),15)/15,(Skills!T13*(1+Inputs!$B$35/100))/Skills!D13)))+((C847=TRUE)*F847*IF(AND(Inputs!$B$39&lt;&gt;"pvp",Inputs!$B$44&gt;0),(((R847-1)*(Skills!T14*(1+Inputs!$B$35/100))+MIN((Skills!T14*(1+Inputs!$B$35/100)),MAX(0,Inputs!$B$44-((R847-1)*Skills!D14))))/Inputs!$B$44),IF(Inputs!$B$39="pvp",MIN((Skills!T14*(1+Inputs!$B$35/100)),15)/15,(Skills!T14*(1+Inputs!$B$35/100))/Skills!D14)))+((C848=TRUE)*F848*IF(AND(Inputs!$B$39&lt;&gt;"pvp",Inputs!$B$44&gt;0),(((R848-1)*(Skills!T15*(1+Inputs!$B$35/100))+MIN((Skills!T15*(1+Inputs!$B$35/100)),MAX(0,Inputs!$B$44-((R848-1)*Skills!D15))))/Inputs!$B$44),IF(Inputs!$B$39="pvp",MIN((Skills!T15*(1+Inputs!$B$35/100)),15)/15,(Skills!T15*(1+Inputs!$B$35/100))/Skills!D15)))+((C849=TRUE)*F849*IF(AND(Inputs!$B$39&lt;&gt;"pvp",Inputs!$B$44&gt;0),(((R849-1)*(Skills!T16*(1+Inputs!$B$35/100))+MIN((Skills!T16*(1+Inputs!$B$35/100)),MAX(0,Inputs!$B$44-((R849-1)*Skills!D16))))/Inputs!$B$44),IF(Inputs!$B$39="pvp",MIN((Skills!T16*(1+Inputs!$B$35/100)),15)/15,(Skills!T16*(1+Inputs!$B$35/100))/Skills!D16)))+0)/100)*I843)</f>
        <v/>
      </c>
      <c r="L843">
        <f>K843*(MIN(Inputs!$B$23+((C855=TRUE)*(F855-Calc!F22)),Inputs!$B$24+((C857=TRUE)*(F857-Calc!F24)))/100+(Inputs!$B$24+((C857=TRUE)*(F857-Calc!F24)))/100)/2</f>
        <v/>
      </c>
      <c r="M843">
        <f>L843*(1+(Inputs!$B$11+0+B867)/100)</f>
        <v/>
      </c>
      <c r="N843">
        <f>L843*(1-MIN((Inputs!$B$10+0+B862),100)/100)+M843*(MIN((Inputs!$B$10+0+B862),100)/100)</f>
        <v/>
      </c>
      <c r="O843">
        <f>(1-Summary!$B$55)*T843+Summary!$B$55*V843</f>
        <v/>
      </c>
      <c r="P843">
        <f>IF(B872=0,0,O843/B872)</f>
        <v/>
      </c>
      <c r="Q843">
        <f>IFERROR(1/IF(Inputs!$B$39="pvp",15,MAX(0.1,Skills!D10-IF(Skills!E10=TRUE,Inputs!$B$33,0))),0)</f>
        <v/>
      </c>
      <c r="R843">
        <f>IF(AND(Inputs!$B$39&lt;&gt;"pvp",Inputs!$B$44&gt;0),IF(MAX(0,Inputs!$B$44-B869)&lt;=0,0,(INT(MAX(0,Inputs!$B$44-B869)/IF(Inputs!$B$39="pvp",15,MAX(0.1,Skills!D10-IF(Skills!E10=TRUE,Inputs!$B$33,0))))+1)),0)</f>
        <v/>
      </c>
      <c r="S843">
        <f>IFERROR(O843/N843,0)</f>
        <v/>
      </c>
      <c r="T843">
        <f>IF(C843,(H843*N843*IF(AND(Inputs!$B$39&lt;&gt;"pvp",Inputs!$B$44&gt;0),((Skills!G10*((R843-1)*IF(Skills!H10&gt;0,Skills!I10/Skills!H10,1)+IF(Skills!H10&gt;0,MIN(Skills!I10,MAX(0,MAX(0,Inputs!$B$44-B869)-((R843-1)*IF(Inputs!$B$39="pvp",15,MAX(0.1,Skills!D10-IF(Skills!E10=TRUE,Inputs!$B$33,0))))))/Skills!H10,1)))/Inputs!$B$44),G843*Q843))*IF(Inputs!$B$39="pvp",1,1+(Inputs!$B$21+0+Skills!P10+((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0)</f>
        <v/>
      </c>
      <c r="V843">
        <f>IF(C843,(H843*N843*IF(AND(Inputs!$B$39&lt;&gt;"pvp",Inputs!$B$44&gt;0),((Skills!G10*((R843-1)*IF(Skills!H10&gt;0,Skills!I10/Skills!H10,1)+IF(Skills!H10&gt;0,MIN(Skills!I10,MAX(0,MAX(0,Inputs!$B$44-B869)-((R843-1)*IF(Inputs!$B$39="pvp",15,MAX(0.1,Skills!D10-IF(Skills!E10=TRUE,Inputs!$B$33,0))))))/Skills!H10,1)))/Inputs!$B$44),G843*Q843))*IF(Inputs!$B$39="pvp",1,(1+(Inputs!$B$22+Skills!Q10+((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MIN(Skills!R10,Inputs!$B$38))),0)</f>
        <v/>
      </c>
    </row>
    <row r="844">
      <c r="A844">
        <f>Skills!A11</f>
        <v/>
      </c>
      <c r="B844">
        <f>Skills!B11</f>
        <v/>
      </c>
      <c r="C844">
        <f>Inputs!$B$3&gt;=100</f>
        <v/>
      </c>
      <c r="D844">
        <f>IF(Skills!C11=1,60+Inputs!$B$26+Inputs!$B$30,IF(Skills!C11=2,90+(Inputs!$B$27+1)+Inputs!$B$30,IF(Skills!C11=3,120+Inputs!$B$28+Inputs!$B$30,MAX(0,(Inputs!$B$3-100)*3)+Inputs!$B$29+Inputs!$B$30)))</f>
        <v/>
      </c>
      <c r="E844">
        <f>INDEX(FactorTable!$B$2:$Y$301, MATCH(ROUND(MIN(300,MAX(1,D844)),0), FactorTable!$A$2:$A$301,0), Skills!M11+1)</f>
        <v/>
      </c>
      <c r="F844">
        <f>IF(Skills!N11=TRUE,(Skills!L11/10)*(E844/1000),Skills!L11/10)+Skills!O11</f>
        <v/>
      </c>
      <c r="G844" t="inlineStr"/>
      <c r="H844" t="inlineStr"/>
      <c r="I844" t="inlineStr">
        <is>
          <t>1</t>
        </is>
      </c>
      <c r="J844" t="inlineStr"/>
      <c r="K844" t="inlineStr"/>
      <c r="L844" t="inlineStr"/>
      <c r="M844" t="inlineStr"/>
      <c r="N844" t="inlineStr"/>
      <c r="O844" t="inlineStr"/>
      <c r="P844" t="inlineStr"/>
      <c r="Q844" t="inlineStr"/>
      <c r="R844" t="inlineStr"/>
      <c r="S844" t="inlineStr"/>
    </row>
    <row r="845">
      <c r="A845">
        <f>Skills!A12</f>
        <v/>
      </c>
      <c r="B845">
        <f>Skills!B12</f>
        <v/>
      </c>
      <c r="C845">
        <f>Inputs!$B$3&gt;=63</f>
        <v/>
      </c>
      <c r="D845">
        <f>IF(Skills!C12=1,60+Inputs!$B$26+Inputs!$B$30,IF(Skills!C12=2,90+(Inputs!$B$27+1)+Inputs!$B$30,IF(Skills!C12=3,120+Inputs!$B$28+Inputs!$B$30,MAX(0,(Inputs!$B$3-100)*3)+Inputs!$B$29+Inputs!$B$30)))</f>
        <v/>
      </c>
      <c r="E845">
        <f>INDEX(FactorTable!$B$2:$Y$301, MATCH(ROUND(MIN(300,MAX(1,D845)),0), FactorTable!$A$2:$A$301,0), Skills!M12+1)</f>
        <v/>
      </c>
      <c r="F845">
        <f>IF(Skills!N12=TRUE,(Skills!L12/10)*(E845/1000),Skills!L12/10)+Skills!O12</f>
        <v/>
      </c>
      <c r="G845">
        <f>Skills!G12*IF(Skills!H12&gt;0,Skills!I12/Skills!H12,1)</f>
        <v/>
      </c>
      <c r="H845">
        <f>1-(1-Skills!J12/100)^Skills!K12</f>
        <v/>
      </c>
      <c r="I845" t="inlineStr">
        <is>
          <t>1</t>
        </is>
      </c>
      <c r="J845">
        <f>((Inputs!$B$6*(1+Inputs!$B$7/100))+(((Inputs!$B$13*(1+Inputs!$B$14/100))-(Inputs!$B$13*(1+Inputs!$B$14/100)))+0.25*(Inputs!$B$15-Inputs!$B$15))*(1+Inputs!$B$7/100))*(F845/100)</f>
        <v/>
      </c>
      <c r="K845">
        <f>J845*(1+(((Inputs!$B$13+IF(Inputs!$B$3&gt;=38,(10*INDEX(FactorTable!$B$2:$Y$301, MATCH(ROUND(MIN(300,MAX(1,Inputs!$B$3)),0), FactorTable!$A$2:$A$301,0), 23)/1000)/100*(Inputs!$B$8*(1+Inputs!$B$9/100)),0))*(1+Inputs!$B$14/100))*0.01+Inputs!$B$15*0.0025)/100)*(1+Inputs!$B$16/100)*(1+Inputs!$B$17/100)*(5000/(6000+Inputs!$B$43*(1-(Inputs!$B$20+0)/100)))*(1+(Inputs!$B$25+((C858=TRUE)*(F858-Calc!F25))+((C859=TRUE)*(F859-Calc!F26))+B868)/100)*(1+0.75*IF(C844=TRUE,F844,0)/100)*(1+(IF(Skills!A12="DARK_IMPALE",Inputs!$B$18+0,Inputs!$B$19+((C856=TRUE)*(F856-Calc!F23))))/100)*((1+(((C846=TRUE)*F846*IF(AND(Inputs!$B$39&lt;&gt;"pvp",Inputs!$B$44&gt;0),(((R846-1)*(Skills!T13*(1+Inputs!$B$35/100))+MIN((Skills!T13*(1+Inputs!$B$35/100)),MAX(0,Inputs!$B$44-((R846-1)*Skills!D13))))/Inputs!$B$44),IF(Inputs!$B$39="pvp",MIN((Skills!T13*(1+Inputs!$B$35/100)),15)/15,(Skills!T13*(1+Inputs!$B$35/100))/Skills!D13)))+((C847=TRUE)*F847*IF(AND(Inputs!$B$39&lt;&gt;"pvp",Inputs!$B$44&gt;0),(((R847-1)*(Skills!T14*(1+Inputs!$B$35/100))+MIN((Skills!T14*(1+Inputs!$B$35/100)),MAX(0,Inputs!$B$44-((R847-1)*Skills!D14))))/Inputs!$B$44),IF(Inputs!$B$39="pvp",MIN((Skills!T14*(1+Inputs!$B$35/100)),15)/15,(Skills!T14*(1+Inputs!$B$35/100))/Skills!D14)))+((C848=TRUE)*F848*IF(AND(Inputs!$B$39&lt;&gt;"pvp",Inputs!$B$44&gt;0),(((R848-1)*(Skills!T15*(1+Inputs!$B$35/100))+MIN((Skills!T15*(1+Inputs!$B$35/100)),MAX(0,Inputs!$B$44-((R848-1)*Skills!D15))))/Inputs!$B$44),IF(Inputs!$B$39="pvp",MIN((Skills!T15*(1+Inputs!$B$35/100)),15)/15,(Skills!T15*(1+Inputs!$B$35/100))/Skills!D15)))+((C849=TRUE)*F849*IF(AND(Inputs!$B$39&lt;&gt;"pvp",Inputs!$B$44&gt;0),(((R849-1)*(Skills!T16*(1+Inputs!$B$35/100))+MIN((Skills!T16*(1+Inputs!$B$35/100)),MAX(0,Inputs!$B$44-((R849-1)*Skills!D16))))/Inputs!$B$44),IF(Inputs!$B$39="pvp",MIN((Skills!T16*(1+Inputs!$B$35/100)),15)/15,(Skills!T16*(1+Inputs!$B$35/100))/Skills!D16)))+0)/100)*I845)</f>
        <v/>
      </c>
      <c r="L845">
        <f>K845*(MIN(Inputs!$B$23+((C855=TRUE)*(F855-Calc!F22)),Inputs!$B$24+((C857=TRUE)*(F857-Calc!F24)))/100+(Inputs!$B$24+((C857=TRUE)*(F857-Calc!F24)))/100)/2</f>
        <v/>
      </c>
      <c r="M845">
        <f>L845*(1+(Inputs!$B$11+0+B867)/100)</f>
        <v/>
      </c>
      <c r="N845">
        <f>L845*(1-MIN((Inputs!$B$10+0+B862),100)/100)+M845*(MIN((Inputs!$B$10+0+B862),100)/100)</f>
        <v/>
      </c>
      <c r="O845">
        <f>(1-Summary!$B$55)*T845+Summary!$B$55*V845</f>
        <v/>
      </c>
      <c r="P845">
        <f>IF(B872=0,0,O845/B872)</f>
        <v/>
      </c>
      <c r="Q845">
        <f>IFERROR(1/IF(Inputs!$B$39="pvp",15,MAX(0.1,Skills!D12-IF(Skills!E12=TRUE,Inputs!$B$33,0))),0)</f>
        <v/>
      </c>
      <c r="R845">
        <f>IF(AND(Inputs!$B$39&lt;&gt;"pvp",Inputs!$B$44&gt;0),IF(MAX(0,Inputs!$B$44-B869)&lt;=0,0,(INT(MAX(0,Inputs!$B$44-B869)/IF(Inputs!$B$39="pvp",15,MAX(0.1,Skills!D12-IF(Skills!E12=TRUE,Inputs!$B$33,0))))+1)),0)</f>
        <v/>
      </c>
      <c r="S845">
        <f>IFERROR(O845/N845,0)</f>
        <v/>
      </c>
      <c r="T845">
        <f>IF(C845,(H845*N845*IF(AND(Inputs!$B$39&lt;&gt;"pvp",Inputs!$B$44&gt;0),((Skills!G12*((R845-1)*IF(Skills!H12&gt;0,Skills!I12/Skills!H12,1)+IF(Skills!H12&gt;0,MIN(Skills!I12,MAX(0,MAX(0,Inputs!$B$44-B869)-((R845-1)*IF(Inputs!$B$39="pvp",15,MAX(0.1,Skills!D12-IF(Skills!E12=TRUE,Inputs!$B$33,0))))))/Skills!H12,1)))/Inputs!$B$44),G845*Q845))*IF(Inputs!$B$39="pvp",1,1+(Inputs!$B$21+0+Skills!P12+((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0)</f>
        <v/>
      </c>
      <c r="V845">
        <f>IF(C845,(H845*N845*IF(AND(Inputs!$B$39&lt;&gt;"pvp",Inputs!$B$44&gt;0),((Skills!G12*((R845-1)*IF(Skills!H12&gt;0,Skills!I12/Skills!H12,1)+IF(Skills!H12&gt;0,MIN(Skills!I12,MAX(0,MAX(0,Inputs!$B$44-B869)-((R845-1)*IF(Inputs!$B$39="pvp",15,MAX(0.1,Skills!D12-IF(Skills!E12=TRUE,Inputs!$B$33,0))))))/Skills!H12,1)))/Inputs!$B$44),G845*Q845))*IF(Inputs!$B$39="pvp",1,(1+(Inputs!$B$22+Skills!Q12+((C850=TRUE)*F850*IF(AND(Inputs!$B$39&lt;&gt;"pvp",Inputs!$B$44&gt;0),(((R850-1)*(Skills!T17*(1+Inputs!$B$35/100))+MIN((Skills!T17*(1+Inputs!$B$35/100)),MAX(0,Inputs!$B$44-((R850-1)*Skills!D17))))/Inputs!$B$44),IF(Inputs!$B$39="pvp",MIN((Skills!T17*(1+Inputs!$B$35/100)),15)/15,(Skills!T17*(1+Inputs!$B$35/100))/Skills!D17)))+((C847=TRUE)*IF(Inputs!$B$39="pvp",20,(1-Summary!$B$55)*(20)+Summary!$B$55*(0))*IF(AND(Inputs!$B$39&lt;&gt;"pvp",Inputs!$B$44&gt;0),(((R847-1)*(Skills!T14*(1+Inputs!$B$35/100))+MIN((Skills!T14*(1+Inputs!$B$35/100)),MAX(0,Inputs!$B$44-((R847-1)*Skills!D14))))/Inputs!$B$44),IF(Inputs!$B$39="pvp",MIN((Skills!T14*(1+Inputs!$B$35/100)),15)/15,(Skills!T14*(1+Inputs!$B$35/100))/Skills!D14))))/100)*(MIN(Skills!R12,Inputs!$B$38))),0)</f>
        <v/>
      </c>
    </row>
    <row r="846">
      <c r="A846">
        <f>Skills!A13</f>
        <v/>
      </c>
      <c r="B846">
        <f>Skills!B13</f>
        <v/>
      </c>
      <c r="C846">
        <f>Inputs!$B$3&gt;=69</f>
        <v/>
      </c>
      <c r="D846">
        <f>IF(Skills!C13=1,60+Inputs!$B$26+Inputs!$B$30,IF(Skills!C13=2,90+(Inputs!$B$27+1)+Inputs!$B$30,IF(Skills!C13=3,120+Inputs!$B$28+Inputs!$B$30,MAX(0,(Inputs!$B$3-100)*3)+Inputs!$B$29+Inputs!$B$30)))</f>
        <v/>
      </c>
      <c r="E846">
        <f>INDEX(FactorTable!$B$2:$Y$301, MATCH(ROUND(MIN(300,MAX(1,D846)),0), FactorTable!$A$2:$A$301,0), Skills!M13+1)</f>
        <v/>
      </c>
      <c r="F846">
        <f>IF(Skills!N13=TRUE,(Skills!L13/10)*(E846/1000),Skills!L13/10)+Skills!O13</f>
        <v/>
      </c>
      <c r="G846">
        <f>Skills!G13*IF(Skills!H13&gt;0,Skills!I13/Skills!H13,1)</f>
        <v/>
      </c>
      <c r="H846">
        <f>1-(1-Skills!J13/100)^Skills!K13</f>
        <v/>
      </c>
      <c r="I846" t="inlineStr">
        <is>
          <t>1</t>
        </is>
      </c>
      <c r="J846" t="inlineStr"/>
      <c r="K846" t="inlineStr"/>
      <c r="L846" t="inlineStr"/>
      <c r="M846" t="inlineStr"/>
      <c r="N846" t="inlineStr"/>
      <c r="O846">
        <f>(1-Summary!$B$55)*T846+Summary!$B$55*V846</f>
        <v/>
      </c>
      <c r="P846">
        <f>IF(B872=0,0,O846/B872)</f>
        <v/>
      </c>
      <c r="Q846">
        <f>IFERROR(1/IF(Inputs!$B$39="pvp",15,MAX(0.1,Skills!D13-IF(Skills!E13=TRUE,Inputs!$B$33,0))),0)</f>
        <v/>
      </c>
      <c r="R846">
        <f>IF(AND(Inputs!$B$39&lt;&gt;"pvp",Inputs!$B$44&gt;0),IF(Inputs!$B$44&lt;=0,0,(INT(Inputs!$B$44/IF(Inputs!$B$39="pvp",15,MAX(0.1,Skills!D13-IF(Skills!E13=TRUE,Inputs!$B$33,0))))+1)),0)</f>
        <v/>
      </c>
      <c r="S846">
        <f>IFERROR(O846/N846,0)</f>
        <v/>
      </c>
      <c r="T846" t="n">
        <v>0</v>
      </c>
      <c r="V846" t="n">
        <v>0</v>
      </c>
    </row>
    <row r="847">
      <c r="A847">
        <f>Skills!A14</f>
        <v/>
      </c>
      <c r="B847">
        <f>Skills!B14</f>
        <v/>
      </c>
      <c r="C847">
        <f>Inputs!$B$3&gt;=115</f>
        <v/>
      </c>
      <c r="D847">
        <f>IF(Skills!C14=1,60+Inputs!$B$26+Inputs!$B$30,IF(Skills!C14=2,90+(Inputs!$B$27+1)+Inputs!$B$30,IF(Skills!C14=3,120+Inputs!$B$28+Inputs!$B$30,MAX(0,(Inputs!$B$3-100)*3)+Inputs!$B$29+Inputs!$B$30)))</f>
        <v/>
      </c>
      <c r="E847">
        <f>INDEX(FactorTable!$B$2:$Y$301, MATCH(ROUND(MIN(300,MAX(1,D847)),0), FactorTable!$A$2:$A$301,0), Skills!M14+1)</f>
        <v/>
      </c>
      <c r="F847">
        <f>IF(Skills!N14=TRUE,(Skills!L14/10)*(E847/1000),Skills!L14/10)+Skills!O14</f>
        <v/>
      </c>
      <c r="G847">
        <f>Skills!G14*IF(Skills!H14&gt;0,Skills!I14/Skills!H14,1)</f>
        <v/>
      </c>
      <c r="H847">
        <f>1-(1-Skills!J14/100)^Skills!K14</f>
        <v/>
      </c>
      <c r="I847" t="inlineStr">
        <is>
          <t>1</t>
        </is>
      </c>
      <c r="J847" t="inlineStr"/>
      <c r="K847" t="inlineStr"/>
      <c r="L847" t="inlineStr"/>
      <c r="M847" t="inlineStr"/>
      <c r="N847" t="inlineStr"/>
      <c r="O847">
        <f>(1-Summary!$B$55)*T847+Summary!$B$55*V847</f>
        <v/>
      </c>
      <c r="P847">
        <f>IF(B872=0,0,O847/B872)</f>
        <v/>
      </c>
      <c r="Q847">
        <f>IFERROR(1/IF(Inputs!$B$39="pvp",15,MAX(0.1,Skills!D14-IF(Skills!E14=TRUE,Inputs!$B$33,0))),0)</f>
        <v/>
      </c>
      <c r="R847">
        <f>IF(AND(Inputs!$B$39&lt;&gt;"pvp",Inputs!$B$44&gt;0),IF(Inputs!$B$44&lt;=0,0,(INT(Inputs!$B$44/IF(Inputs!$B$39="pvp",15,MAX(0.1,Skills!D14-IF(Skills!E14=TRUE,Inputs!$B$33,0))))+1)),0)</f>
        <v/>
      </c>
      <c r="S847">
        <f>IFERROR(O847/N847,0)</f>
        <v/>
      </c>
      <c r="T847" t="n">
        <v>0</v>
      </c>
      <c r="V847" t="n">
        <v>0</v>
      </c>
    </row>
    <row r="848">
      <c r="A848">
        <f>Skills!A15</f>
        <v/>
      </c>
      <c r="B848">
        <f>Skills!B15</f>
        <v/>
      </c>
      <c r="C848">
        <f>Inputs!$B$3&gt;=66</f>
        <v/>
      </c>
      <c r="D848">
        <f>IF(Skills!C15=1,60+Inputs!$B$26+Inputs!$B$30,IF(Skills!C15=2,90+(Inputs!$B$27+1)+Inputs!$B$30,IF(Skills!C15=3,120+Inputs!$B$28+Inputs!$B$30,MAX(0,(Inputs!$B$3-100)*3)+Inputs!$B$29+Inputs!$B$30)))</f>
        <v/>
      </c>
      <c r="E848">
        <f>INDEX(FactorTable!$B$2:$Y$301, MATCH(ROUND(MIN(300,MAX(1,D848)),0), FactorTable!$A$2:$A$301,0), Skills!M15+1)</f>
        <v/>
      </c>
      <c r="F848">
        <f>IF(Skills!N15=TRUE,(Skills!L15/10)*(E848/1000),Skills!L15/10)+Skills!O15</f>
        <v/>
      </c>
      <c r="G848">
        <f>Skills!G15*IF(Skills!H15&gt;0,Skills!I15/Skills!H15,1)</f>
        <v/>
      </c>
      <c r="H848">
        <f>1-(1-Skills!J15/100)^Skills!K15</f>
        <v/>
      </c>
      <c r="I848" t="inlineStr">
        <is>
          <t>1</t>
        </is>
      </c>
      <c r="J848" t="inlineStr"/>
      <c r="K848" t="inlineStr"/>
      <c r="L848" t="inlineStr"/>
      <c r="M848" t="inlineStr"/>
      <c r="N848" t="inlineStr"/>
      <c r="O848">
        <f>(1-Summary!$B$55)*T848+Summary!$B$55*V848</f>
        <v/>
      </c>
      <c r="P848">
        <f>IF(B872=0,0,O848/B872)</f>
        <v/>
      </c>
      <c r="Q848">
        <f>IFERROR(1/IF(Inputs!$B$39="pvp",15,MAX(0.1,Skills!D15-IF(Skills!E15=TRUE,Inputs!$B$33,0))),0)</f>
        <v/>
      </c>
      <c r="R848">
        <f>IF(AND(Inputs!$B$39&lt;&gt;"pvp",Inputs!$B$44&gt;0),IF(Inputs!$B$44&lt;=0,0,(INT(Inputs!$B$44/IF(Inputs!$B$39="pvp",15,MAX(0.1,Skills!D15-IF(Skills!E15=TRUE,Inputs!$B$33,0))))+1)),0)</f>
        <v/>
      </c>
      <c r="S848">
        <f>IFERROR(O848/N848,0)</f>
        <v/>
      </c>
      <c r="T848" t="n">
        <v>0</v>
      </c>
      <c r="V848" t="n">
        <v>0</v>
      </c>
    </row>
    <row r="849">
      <c r="A849">
        <f>Skills!A16</f>
        <v/>
      </c>
      <c r="B849">
        <f>Skills!B16</f>
        <v/>
      </c>
      <c r="C849">
        <f>Inputs!$B$3&gt;=45</f>
        <v/>
      </c>
      <c r="D849">
        <f>IF(Skills!C16=1,60+Inputs!$B$26+Inputs!$B$30,IF(Skills!C16=2,90+(Inputs!$B$27+1)+Inputs!$B$30,IF(Skills!C16=3,120+Inputs!$B$28+Inputs!$B$30,MAX(0,(Inputs!$B$3-100)*3)+Inputs!$B$29+Inputs!$B$30)))</f>
        <v/>
      </c>
      <c r="E849">
        <f>INDEX(FactorTable!$B$2:$Y$301, MATCH(ROUND(MIN(300,MAX(1,D849)),0), FactorTable!$A$2:$A$301,0), Skills!M16+1)</f>
        <v/>
      </c>
      <c r="F849">
        <f>IF(Skills!N16=TRUE,(Skills!L16/10)*(E849/1000),Skills!L16/10)+Skills!O16</f>
        <v/>
      </c>
      <c r="G849">
        <f>Skills!G16*IF(Skills!H16&gt;0,Skills!I16/Skills!H16,1)</f>
        <v/>
      </c>
      <c r="H849">
        <f>1-(1-Skills!J16/100)^Skills!K16</f>
        <v/>
      </c>
      <c r="I849" t="inlineStr">
        <is>
          <t>1</t>
        </is>
      </c>
      <c r="J849" t="inlineStr"/>
      <c r="K849" t="inlineStr"/>
      <c r="L849" t="inlineStr"/>
      <c r="M849" t="inlineStr"/>
      <c r="N849" t="inlineStr"/>
      <c r="O849">
        <f>(1-Summary!$B$55)*T849+Summary!$B$55*V849</f>
        <v/>
      </c>
      <c r="P849">
        <f>IF(B872=0,0,O849/B872)</f>
        <v/>
      </c>
      <c r="Q849">
        <f>IFERROR(1/IF(Inputs!$B$39="pvp",15,MAX(0.1,Skills!D16-IF(Skills!E16=TRUE,Inputs!$B$33,0))),0)</f>
        <v/>
      </c>
      <c r="R849">
        <f>IF(AND(Inputs!$B$39&lt;&gt;"pvp",Inputs!$B$44&gt;0),IF(Inputs!$B$44&lt;=0,0,(INT(Inputs!$B$44/IF(Inputs!$B$39="pvp",15,MAX(0.1,Skills!D16-IF(Skills!E16=TRUE,Inputs!$B$33,0))))+1)),0)</f>
        <v/>
      </c>
      <c r="S849">
        <f>IFERROR(O849/N849,0)</f>
        <v/>
      </c>
      <c r="T849" t="n">
        <v>0</v>
      </c>
      <c r="V849" t="n">
        <v>0</v>
      </c>
    </row>
    <row r="850">
      <c r="A850">
        <f>Skills!A17</f>
        <v/>
      </c>
      <c r="B850">
        <f>Skills!B17</f>
        <v/>
      </c>
      <c r="C850">
        <f>Inputs!$B$3&gt;=35</f>
        <v/>
      </c>
      <c r="D850">
        <f>IF(Skills!C17=1,60+Inputs!$B$26+Inputs!$B$30,IF(Skills!C17=2,90+(Inputs!$B$27+1)+Inputs!$B$30,IF(Skills!C17=3,120+Inputs!$B$28+Inputs!$B$30,MAX(0,(Inputs!$B$3-100)*3)+Inputs!$B$29+Inputs!$B$30)))</f>
        <v/>
      </c>
      <c r="E850">
        <f>INDEX(FactorTable!$B$2:$Y$301, MATCH(ROUND(MIN(300,MAX(1,D850)),0), FactorTable!$A$2:$A$301,0), Skills!M17+1)</f>
        <v/>
      </c>
      <c r="F850">
        <f>IF(Skills!N17=TRUE,(Skills!L17/10)*(E850/1000),Skills!L17/10)+Skills!O17</f>
        <v/>
      </c>
      <c r="G850">
        <f>Skills!G17*IF(Skills!H17&gt;0,Skills!I17/Skills!H17,1)</f>
        <v/>
      </c>
      <c r="H850">
        <f>1-(1-Skills!J17/100)^Skills!K17</f>
        <v/>
      </c>
      <c r="I850" t="inlineStr">
        <is>
          <t>1</t>
        </is>
      </c>
      <c r="J850" t="inlineStr"/>
      <c r="K850" t="inlineStr"/>
      <c r="L850" t="inlineStr"/>
      <c r="M850" t="inlineStr"/>
      <c r="N850" t="inlineStr"/>
      <c r="O850">
        <f>(1-Summary!$B$55)*T850+Summary!$B$55*V850</f>
        <v/>
      </c>
      <c r="P850">
        <f>IF(B872=0,0,O850/B872)</f>
        <v/>
      </c>
      <c r="Q850">
        <f>IFERROR(1/IF(Inputs!$B$39="pvp",15,MAX(0.1,Skills!D17-IF(Skills!E17=TRUE,Inputs!$B$33,0))),0)</f>
        <v/>
      </c>
      <c r="R850">
        <f>IF(AND(Inputs!$B$39&lt;&gt;"pvp",Inputs!$B$44&gt;0),IF(Inputs!$B$44&lt;=0,0,(INT(Inputs!$B$44/IF(Inputs!$B$39="pvp",15,MAX(0.1,Skills!D17-IF(Skills!E17=TRUE,Inputs!$B$33,0))))+1)),0)</f>
        <v/>
      </c>
      <c r="S850">
        <f>IFERROR(O850/N850,0)</f>
        <v/>
      </c>
      <c r="T850" t="n">
        <v>0</v>
      </c>
      <c r="V850" t="n">
        <v>0</v>
      </c>
    </row>
    <row r="851">
      <c r="A851">
        <f>Skills!A18</f>
        <v/>
      </c>
      <c r="B851">
        <f>Skills!B18</f>
        <v/>
      </c>
      <c r="C851">
        <f>Inputs!$B$3&gt;=72</f>
        <v/>
      </c>
      <c r="D851">
        <f>IF(Skills!C18=1,60+Inputs!$B$26+Inputs!$B$30,IF(Skills!C18=2,90+(Inputs!$B$27+1)+Inputs!$B$30,IF(Skills!C18=3,120+Inputs!$B$28+Inputs!$B$30,MAX(0,(Inputs!$B$3-100)*3)+Inputs!$B$29+Inputs!$B$30)))</f>
        <v/>
      </c>
      <c r="E851">
        <f>INDEX(FactorTable!$B$2:$Y$301, MATCH(ROUND(MIN(300,MAX(1,D851)),0), FactorTable!$A$2:$A$301,0), Skills!M18+1)</f>
        <v/>
      </c>
      <c r="F851">
        <f>IF(Skills!N18=TRUE,(Skills!L18/10)*(E851/1000),Skills!L18/10)+Skills!O18</f>
        <v/>
      </c>
      <c r="G851">
        <f>Skills!G18*IF(Skills!H18&gt;0,Skills!I18/Skills!H18,1)</f>
        <v/>
      </c>
      <c r="H851">
        <f>1-(1-Skills!J18/100)^Skills!K18</f>
        <v/>
      </c>
      <c r="I851" t="inlineStr">
        <is>
          <t>1</t>
        </is>
      </c>
      <c r="J851" t="inlineStr"/>
      <c r="K851" t="inlineStr"/>
      <c r="L851" t="inlineStr"/>
      <c r="M851" t="inlineStr"/>
      <c r="N851" t="inlineStr"/>
      <c r="O851">
        <f>(1-Summary!$B$55)*T851+Summary!$B$55*V851</f>
        <v/>
      </c>
      <c r="P851">
        <f>IF(B872=0,0,O851/B872)</f>
        <v/>
      </c>
      <c r="Q851">
        <f>IFERROR(1/IF(Inputs!$B$39="pvp",15,MAX(0.1,Skills!D18-IF(Skills!E18=TRUE,Inputs!$B$33,0))),0)</f>
        <v/>
      </c>
      <c r="R851">
        <f>IF(AND(Inputs!$B$39&lt;&gt;"pvp",Inputs!$B$44&gt;0),IF(Inputs!$B$44&lt;=0,0,(INT(Inputs!$B$44/IF(Inputs!$B$39="pvp",15,MAX(0.1,Skills!D18-IF(Skills!E18=TRUE,Inputs!$B$33,0))))+1)),0)</f>
        <v/>
      </c>
      <c r="S851">
        <f>IFERROR(O851/N851,0)</f>
        <v/>
      </c>
      <c r="T851" t="n">
        <v>0</v>
      </c>
      <c r="V851" t="n">
        <v>0</v>
      </c>
    </row>
    <row r="852">
      <c r="A852">
        <f>Skills!A19</f>
        <v/>
      </c>
      <c r="B852">
        <f>Skills!B19</f>
        <v/>
      </c>
      <c r="C852">
        <f>Inputs!$B$3&gt;=72</f>
        <v/>
      </c>
      <c r="D852">
        <f>IF(Skills!C19=1,60+Inputs!$B$26+Inputs!$B$30,IF(Skills!C19=2,90+(Inputs!$B$27+1)+Inputs!$B$30,IF(Skills!C19=3,120+Inputs!$B$28+Inputs!$B$30,MAX(0,(Inputs!$B$3-100)*3)+Inputs!$B$29+Inputs!$B$30)))</f>
        <v/>
      </c>
      <c r="E852">
        <f>INDEX(FactorTable!$B$2:$Y$301, MATCH(ROUND(MIN(300,MAX(1,D852)),0), FactorTable!$A$2:$A$301,0), Skills!M19+1)</f>
        <v/>
      </c>
      <c r="F852">
        <f>IF(Skills!N19=TRUE,(Skills!L19/10)*(E852/1000),Skills!L19/10)+Skills!O19</f>
        <v/>
      </c>
      <c r="G852">
        <f>Skills!G19*IF(Skills!H19&gt;0,Skills!I19/Skills!H19,1)</f>
        <v/>
      </c>
      <c r="H852">
        <f>1-(1-Skills!J19/100)^Skills!K19</f>
        <v/>
      </c>
      <c r="I852" t="inlineStr">
        <is>
          <t>1</t>
        </is>
      </c>
      <c r="J852" t="inlineStr"/>
      <c r="K852" t="inlineStr"/>
      <c r="L852" t="inlineStr"/>
      <c r="M852" t="inlineStr"/>
      <c r="N852" t="inlineStr"/>
      <c r="O852">
        <f>(1-Summary!$B$55)*T852+Summary!$B$55*V852</f>
        <v/>
      </c>
      <c r="P852">
        <f>IF(B872=0,0,O852/B872)</f>
        <v/>
      </c>
      <c r="Q852">
        <f>IFERROR(1/IF(Inputs!$B$39="pvp",15,MAX(0.1,Skills!D19-IF(Skills!E19=TRUE,Inputs!$B$33,0))),0)</f>
        <v/>
      </c>
      <c r="R852">
        <f>IF(AND(Inputs!$B$39&lt;&gt;"pvp",Inputs!$B$44&gt;0),IF(Inputs!$B$44&lt;=0,0,(INT(Inputs!$B$44/IF(Inputs!$B$39="pvp",15,MAX(0.1,Skills!D19-IF(Skills!E19=TRUE,Inputs!$B$33,0))))+1)),0)</f>
        <v/>
      </c>
      <c r="S852">
        <f>IFERROR(O852/N852,0)</f>
        <v/>
      </c>
      <c r="T852" t="n">
        <v>0</v>
      </c>
      <c r="V852" t="n">
        <v>0</v>
      </c>
    </row>
    <row r="853">
      <c r="A853">
        <f>Skills!A20</f>
        <v/>
      </c>
      <c r="B853">
        <f>Skills!B20</f>
        <v/>
      </c>
      <c r="C853">
        <f>TRUE</f>
        <v/>
      </c>
      <c r="D853">
        <f>IF(Skills!C20=1,60+Inputs!$B$26+Inputs!$B$30,IF(Skills!C20=2,90+(Inputs!$B$27+1)+Inputs!$B$30,IF(Skills!C20=3,120+Inputs!$B$28+Inputs!$B$30,MAX(0,(Inputs!$B$3-100)*3)+Inputs!$B$29+Inputs!$B$30)))</f>
        <v/>
      </c>
      <c r="E853">
        <f>INDEX(FactorTable!$B$2:$Y$301, MATCH(ROUND(MIN(300,MAX(1,D853)),0), FactorTable!$A$2:$A$301,0), Skills!M20+1)</f>
        <v/>
      </c>
      <c r="F853">
        <f>IF(Skills!N20=TRUE,(Skills!L20/10)*(E853/1000),Skills!L20/10)+Skills!O20</f>
        <v/>
      </c>
      <c r="G853">
        <f>Skills!G20*IF(Skills!H20&gt;0,Skills!I20/Skills!H20,1)</f>
        <v/>
      </c>
      <c r="H853">
        <f>1-(1-Skills!J20/100)^Skills!K20</f>
        <v/>
      </c>
      <c r="I853" t="inlineStr">
        <is>
          <t>1</t>
        </is>
      </c>
      <c r="J853" t="inlineStr"/>
      <c r="K853" t="inlineStr"/>
      <c r="L853" t="inlineStr"/>
      <c r="M853" t="inlineStr"/>
      <c r="N853" t="inlineStr"/>
      <c r="O853">
        <f>(1-Summary!$B$55)*T853+Summary!$B$55*V853</f>
        <v/>
      </c>
      <c r="P853">
        <f>IF(B872=0,0,O853/B872)</f>
        <v/>
      </c>
      <c r="Q853">
        <f>IFERROR(1/IF(Inputs!$B$39="pvp",15,MAX(0.1,Skills!D20-IF(Skills!E20=TRUE,Inputs!$B$33,0))),0)</f>
        <v/>
      </c>
      <c r="R853">
        <f>IF(AND(Inputs!$B$39&lt;&gt;"pvp",Inputs!$B$44&gt;0),IF(Inputs!$B$44&lt;=0,0,(INT(Inputs!$B$44/IF(Inputs!$B$39="pvp",15,MAX(0.1,Skills!D20-IF(Skills!E20=TRUE,Inputs!$B$33,0))))+1)),0)</f>
        <v/>
      </c>
      <c r="S853">
        <f>IFERROR(O853/N853,0)</f>
        <v/>
      </c>
      <c r="T853" t="n">
        <v>0</v>
      </c>
      <c r="V853" t="n">
        <v>0</v>
      </c>
    </row>
    <row r="854">
      <c r="A854">
        <f>Skills!A21</f>
        <v/>
      </c>
      <c r="B854">
        <f>Skills!B21</f>
        <v/>
      </c>
      <c r="C854">
        <f>Inputs!$B$3&gt;=33</f>
        <v/>
      </c>
      <c r="D854">
        <f>IF(Skills!C21=1,60+Inputs!$B$26+Inputs!$B$30,IF(Skills!C21=2,90+(Inputs!$B$27+1)+Inputs!$B$30,IF(Skills!C21=3,120+Inputs!$B$28+Inputs!$B$30,MAX(0,(Inputs!$B$3-100)*3)+Inputs!$B$29+Inputs!$B$30)))</f>
        <v/>
      </c>
      <c r="E854">
        <f>INDEX(FactorTable!$B$2:$Y$301, MATCH(ROUND(MIN(300,MAX(1,D854)),0), FactorTable!$A$2:$A$301,0), Skills!M21+1)</f>
        <v/>
      </c>
      <c r="F854">
        <f>IF(Skills!N21=TRUE,(Skills!L21/10)*(E854/1000),Skills!L21/10)+Skills!O21</f>
        <v/>
      </c>
      <c r="G854">
        <f>Skills!G21*IF(Skills!H21&gt;0,Skills!I21/Skills!H21,1)</f>
        <v/>
      </c>
      <c r="H854">
        <f>1-(1-Skills!J21/100)^Skills!K21</f>
        <v/>
      </c>
      <c r="I854" t="inlineStr">
        <is>
          <t>1</t>
        </is>
      </c>
      <c r="J854" t="inlineStr"/>
      <c r="K854" t="inlineStr"/>
      <c r="L854" t="inlineStr"/>
      <c r="M854" t="inlineStr"/>
      <c r="N854" t="inlineStr"/>
      <c r="O854">
        <f>(1-Summary!$B$55)*T854+Summary!$B$55*V854</f>
        <v/>
      </c>
      <c r="P854">
        <f>IF(B872=0,0,O854/B872)</f>
        <v/>
      </c>
      <c r="Q854" t="n">
        <v>0</v>
      </c>
      <c r="R854" t="n">
        <v>0</v>
      </c>
      <c r="S854">
        <f>IFERROR(O854/N854,0)</f>
        <v/>
      </c>
      <c r="T854" t="n">
        <v>0</v>
      </c>
      <c r="V854" t="n">
        <v>0</v>
      </c>
    </row>
    <row r="855">
      <c r="A855">
        <f>Skills!A22</f>
        <v/>
      </c>
      <c r="B855">
        <f>Skills!B22</f>
        <v/>
      </c>
      <c r="C855">
        <f>Inputs!$B$3&gt;=43</f>
        <v/>
      </c>
      <c r="D855">
        <f>IF(Skills!C22=1,60+Inputs!$B$26+Inputs!$B$30,IF(Skills!C22=2,90+(Inputs!$B$27+1)+Inputs!$B$30,IF(Skills!C22=3,120+Inputs!$B$28+Inputs!$B$30,MAX(0,(Inputs!$B$3-100)*3)+Inputs!$B$29+Inputs!$B$30)))</f>
        <v/>
      </c>
      <c r="E855">
        <f>INDEX(FactorTable!$B$2:$Y$301, MATCH(ROUND(MIN(300,MAX(1,D855)),0), FactorTable!$A$2:$A$301,0), Skills!M22+1)</f>
        <v/>
      </c>
      <c r="F855">
        <f>IF(Skills!N22=TRUE,(Skills!L22/10)*(E855/1000),Skills!L22/10)+Skills!O22</f>
        <v/>
      </c>
      <c r="G855">
        <f>Skills!G22*IF(Skills!H22&gt;0,Skills!I22/Skills!H22,1)</f>
        <v/>
      </c>
      <c r="H855">
        <f>1-(1-Skills!J22/100)^Skills!K22</f>
        <v/>
      </c>
      <c r="I855" t="inlineStr">
        <is>
          <t>1</t>
        </is>
      </c>
      <c r="J855" t="inlineStr"/>
      <c r="K855" t="inlineStr"/>
      <c r="L855" t="inlineStr"/>
      <c r="M855" t="inlineStr"/>
      <c r="N855" t="inlineStr"/>
      <c r="O855">
        <f>(1-Summary!$B$55)*T855+Summary!$B$55*V855</f>
        <v/>
      </c>
      <c r="P855">
        <f>IF(B872=0,0,O855/B872)</f>
        <v/>
      </c>
      <c r="Q855" t="n">
        <v>0</v>
      </c>
      <c r="R855" t="n">
        <v>0</v>
      </c>
      <c r="S855">
        <f>IFERROR(O855/N855,0)</f>
        <v/>
      </c>
      <c r="T855" t="n">
        <v>0</v>
      </c>
      <c r="V855" t="n">
        <v>0</v>
      </c>
    </row>
    <row r="856">
      <c r="A856">
        <f>Skills!A23</f>
        <v/>
      </c>
      <c r="B856">
        <f>Skills!B23</f>
        <v/>
      </c>
      <c r="C856">
        <f>Inputs!$B$3&gt;=120</f>
        <v/>
      </c>
      <c r="D856">
        <f>IF(Skills!C23=1,60+Inputs!$B$26+Inputs!$B$30,IF(Skills!C23=2,90+(Inputs!$B$27+1)+Inputs!$B$30,IF(Skills!C23=3,120+Inputs!$B$28+Inputs!$B$30,MAX(0,(Inputs!$B$3-100)*3)+Inputs!$B$29+Inputs!$B$30)))</f>
        <v/>
      </c>
      <c r="E856">
        <f>INDEX(FactorTable!$B$2:$Y$301, MATCH(ROUND(MIN(300,MAX(1,D856)),0), FactorTable!$A$2:$A$301,0), Skills!M23+1)</f>
        <v/>
      </c>
      <c r="F856">
        <f>IF(Skills!N23=TRUE,(Skills!L23/10)*(E856/1000),Skills!L23/10)+Skills!O23</f>
        <v/>
      </c>
      <c r="G856">
        <f>Skills!G23*IF(Skills!H23&gt;0,Skills!I23/Skills!H23,1)</f>
        <v/>
      </c>
      <c r="H856">
        <f>1-(1-Skills!J23/100)^Skills!K23</f>
        <v/>
      </c>
      <c r="I856" t="inlineStr">
        <is>
          <t>1</t>
        </is>
      </c>
      <c r="J856" t="inlineStr"/>
      <c r="K856" t="inlineStr"/>
      <c r="L856" t="inlineStr"/>
      <c r="M856" t="inlineStr"/>
      <c r="N856" t="inlineStr"/>
      <c r="O856">
        <f>(1-Summary!$B$55)*T856+Summary!$B$55*V856</f>
        <v/>
      </c>
      <c r="P856">
        <f>IF(B872=0,0,O856/B872)</f>
        <v/>
      </c>
      <c r="Q856" t="n">
        <v>0</v>
      </c>
      <c r="R856" t="n">
        <v>0</v>
      </c>
      <c r="S856">
        <f>IFERROR(O856/N856,0)</f>
        <v/>
      </c>
      <c r="T856" t="n">
        <v>0</v>
      </c>
      <c r="V856" t="n">
        <v>0</v>
      </c>
    </row>
    <row r="857">
      <c r="A857">
        <f>Skills!A24</f>
        <v/>
      </c>
      <c r="B857">
        <f>Skills!B24</f>
        <v/>
      </c>
      <c r="C857">
        <f>Inputs!$B$3&gt;=120</f>
        <v/>
      </c>
      <c r="D857">
        <f>IF(Skills!C24=1,60+Inputs!$B$26+Inputs!$B$30,IF(Skills!C24=2,90+(Inputs!$B$27+1)+Inputs!$B$30,IF(Skills!C24=3,120+Inputs!$B$28+Inputs!$B$30,MAX(0,(Inputs!$B$3-100)*3)+Inputs!$B$29+Inputs!$B$30)))</f>
        <v/>
      </c>
      <c r="E857">
        <f>INDEX(FactorTable!$B$2:$Y$301, MATCH(ROUND(MIN(300,MAX(1,D857)),0), FactorTable!$A$2:$A$301,0), Skills!M24+1)</f>
        <v/>
      </c>
      <c r="F857">
        <f>IF(Skills!N24=TRUE,(Skills!L24/10)*(E857/1000),Skills!L24/10)+Skills!O24</f>
        <v/>
      </c>
      <c r="G857">
        <f>Skills!G24*IF(Skills!H24&gt;0,Skills!I24/Skills!H24,1)</f>
        <v/>
      </c>
      <c r="H857">
        <f>1-(1-Skills!J24/100)^Skills!K24</f>
        <v/>
      </c>
      <c r="I857" t="inlineStr">
        <is>
          <t>1</t>
        </is>
      </c>
      <c r="J857" t="inlineStr"/>
      <c r="K857" t="inlineStr"/>
      <c r="L857" t="inlineStr"/>
      <c r="M857" t="inlineStr"/>
      <c r="N857" t="inlineStr"/>
      <c r="O857">
        <f>(1-Summary!$B$55)*T857+Summary!$B$55*V857</f>
        <v/>
      </c>
      <c r="P857">
        <f>IF(B872=0,0,O857/B872)</f>
        <v/>
      </c>
      <c r="Q857" t="n">
        <v>0</v>
      </c>
      <c r="R857" t="n">
        <v>0</v>
      </c>
      <c r="S857">
        <f>IFERROR(O857/N857,0)</f>
        <v/>
      </c>
      <c r="T857" t="n">
        <v>0</v>
      </c>
      <c r="V857" t="n">
        <v>0</v>
      </c>
    </row>
    <row r="858">
      <c r="A858">
        <f>Skills!A25</f>
        <v/>
      </c>
      <c r="B858">
        <f>Skills!B25</f>
        <v/>
      </c>
      <c r="C858">
        <f>Inputs!$B$3&gt;=125</f>
        <v/>
      </c>
      <c r="D858">
        <f>IF(Skills!C25=1,60+Inputs!$B$26+Inputs!$B$30,IF(Skills!C25=2,90+(Inputs!$B$27+1)+Inputs!$B$30,IF(Skills!C25=3,120+Inputs!$B$28+Inputs!$B$30,MAX(0,(Inputs!$B$3-100)*3)+Inputs!$B$29+Inputs!$B$30)))</f>
        <v/>
      </c>
      <c r="E858">
        <f>INDEX(FactorTable!$B$2:$Y$301, MATCH(ROUND(MIN(300,MAX(1,D858)),0), FactorTable!$A$2:$A$301,0), Skills!M25+1)</f>
        <v/>
      </c>
      <c r="F858">
        <f>IF(Skills!N25=TRUE,(Skills!L25/10)*(E858/1000),Skills!L25/10)+Skills!O25</f>
        <v/>
      </c>
      <c r="G858">
        <f>Skills!G25*IF(Skills!H25&gt;0,Skills!I25/Skills!H25,1)</f>
        <v/>
      </c>
      <c r="H858">
        <f>1-(1-Skills!J25/100)^Skills!K25</f>
        <v/>
      </c>
      <c r="I858" t="inlineStr">
        <is>
          <t>1</t>
        </is>
      </c>
      <c r="J858" t="inlineStr"/>
      <c r="K858" t="inlineStr"/>
      <c r="L858" t="inlineStr"/>
      <c r="M858" t="inlineStr"/>
      <c r="N858" t="inlineStr"/>
      <c r="O858">
        <f>(1-Summary!$B$55)*T858+Summary!$B$55*V858</f>
        <v/>
      </c>
      <c r="P858">
        <f>IF(B872=0,0,O858/B872)</f>
        <v/>
      </c>
      <c r="Q858" t="n">
        <v>0</v>
      </c>
      <c r="R858" t="n">
        <v>0</v>
      </c>
      <c r="S858">
        <f>IFERROR(O858/N858,0)</f>
        <v/>
      </c>
      <c r="T858" t="n">
        <v>0</v>
      </c>
      <c r="V858" t="n">
        <v>0</v>
      </c>
    </row>
    <row r="859">
      <c r="A859">
        <f>Skills!A26</f>
        <v/>
      </c>
      <c r="B859">
        <f>Skills!B26</f>
        <v/>
      </c>
      <c r="C859">
        <f>Inputs!$B$3&gt;=107</f>
        <v/>
      </c>
      <c r="D859">
        <f>IF(Skills!C26=1,60+Inputs!$B$26+Inputs!$B$30,IF(Skills!C26=2,90+(Inputs!$B$27+1)+Inputs!$B$30,IF(Skills!C26=3,120+Inputs!$B$28+Inputs!$B$30,MAX(0,(Inputs!$B$3-100)*3)+Inputs!$B$29+Inputs!$B$30)))</f>
        <v/>
      </c>
      <c r="E859">
        <f>INDEX(FactorTable!$B$2:$Y$301, MATCH(ROUND(MIN(300,MAX(1,D859)),0), FactorTable!$A$2:$A$301,0), Skills!M26+1)</f>
        <v/>
      </c>
      <c r="F859">
        <f>IF(Skills!N26=TRUE,(Skills!L26/10)*(E859/1000),Skills!L26/10)+Skills!O26</f>
        <v/>
      </c>
      <c r="G859">
        <f>Skills!G26*IF(Skills!H26&gt;0,Skills!I26/Skills!H26,1)</f>
        <v/>
      </c>
      <c r="H859">
        <f>1-(1-Skills!J26/100)^Skills!K26</f>
        <v/>
      </c>
      <c r="I859" t="inlineStr">
        <is>
          <t>1</t>
        </is>
      </c>
      <c r="J859" t="inlineStr"/>
      <c r="K859" t="inlineStr"/>
      <c r="L859" t="inlineStr"/>
      <c r="M859" t="inlineStr"/>
      <c r="N859" t="inlineStr"/>
      <c r="O859">
        <f>(1-Summary!$B$55)*T859+Summary!$B$55*V859</f>
        <v/>
      </c>
      <c r="P859">
        <f>IF(B872=0,0,O859/B872)</f>
        <v/>
      </c>
      <c r="Q859" t="n">
        <v>0</v>
      </c>
      <c r="R859" t="n">
        <v>0</v>
      </c>
      <c r="S859">
        <f>IFERROR(O859/N859,0)</f>
        <v/>
      </c>
      <c r="T859" t="n">
        <v>0</v>
      </c>
      <c r="V859" t="n">
        <v>0</v>
      </c>
    </row>
    <row r="861">
      <c r="A861" t="inlineStr">
        <is>
          <t>Attack% Bucket Multiplier</t>
        </is>
      </c>
      <c r="B861">
        <f>(1+(((C846=TRUE)*F846*IF(AND(Inputs!$B$39&lt;&gt;"pvp",Inputs!$B$44&gt;0),(((R846-1)*(Skills!T13*(1+Inputs!$B$35/100))+MIN((Skills!T13*(1+Inputs!$B$35/100)),MAX(0,Inputs!$B$44-((R846-1)*Skills!D13))))/Inputs!$B$44),IF(Inputs!$B$39="pvp",MIN((Skills!T13*(1+Inputs!$B$35/100)),15)/15,(Skills!T13*(1+Inputs!$B$35/100))/Skills!D13)))+((C847=TRUE)*F847*IF(AND(Inputs!$B$39&lt;&gt;"pvp",Inputs!$B$44&gt;0),(((R847-1)*(Skills!T14*(1+Inputs!$B$35/100))+MIN((Skills!T14*(1+Inputs!$B$35/100)),MAX(0,Inputs!$B$44-((R847-1)*Skills!D14))))/Inputs!$B$44),IF(Inputs!$B$39="pvp",MIN((Skills!T14*(1+Inputs!$B$35/100)),15)/15,(Skills!T14*(1+Inputs!$B$35/100))/Skills!D14)))+((C848=TRUE)*F848*IF(AND(Inputs!$B$39&lt;&gt;"pvp",Inputs!$B$44&gt;0),(((R848-1)*(Skills!T15*(1+Inputs!$B$35/100))+MIN((Skills!T15*(1+Inputs!$B$35/100)),MAX(0,Inputs!$B$44-((R848-1)*Skills!D15))))/Inputs!$B$44),IF(Inputs!$B$39="pvp",MIN((Skills!T15*(1+Inputs!$B$35/100)),15)/15,(Skills!T15*(1+Inputs!$B$35/100))/Skills!D15)))+((C849=TRUE)*F849*IF(AND(Inputs!$B$39&lt;&gt;"pvp",Inputs!$B$44&gt;0),(((R849-1)*(Skills!T16*(1+Inputs!$B$35/100))+MIN((Skills!T16*(1+Inputs!$B$35/100)),MAX(0,Inputs!$B$44-((R849-1)*Skills!D16))))/Inputs!$B$44),IF(Inputs!$B$39="pvp",MIN((Skills!T16*(1+Inputs!$B$35/100)),15)/15,(Skills!T16*(1+Inputs!$B$35/100))/Skills!D16)))+0)/100)</f>
        <v/>
      </c>
    </row>
    <row r="862">
      <c r="A862" t="inlineStr">
        <is>
          <t>Global Crit Rate Bonus % (Lord of Darkness)</t>
        </is>
      </c>
      <c r="B862">
        <f>((C851=TRUE)*F851*(Skills!J18/100)*IF(AND(Inputs!$B$39&lt;&gt;"pvp",Inputs!$B$44&gt;0),(((R851-1)*(Skills!T18*(1+Inputs!$B$35/100))+MIN((Skills!T18*(1+Inputs!$B$35/100)),MAX(0,Inputs!$B$44-((R851-1)*Skills!D18))))/Inputs!$B$44),IF(Inputs!$B$39="pvp",MIN((Skills!T18*(1+Inputs!$B$35/100)),15)/15,(Skills!T18*(1+Inputs!$B$35/100))/Skills!D18)))</f>
        <v/>
      </c>
    </row>
    <row r="863">
      <c r="A863" t="inlineStr">
        <is>
          <t>Attack Speed Buff Bonus %</t>
        </is>
      </c>
      <c r="B863">
        <f>((C853=TRUE)*F853*IF(AND(Inputs!$B$39&lt;&gt;"pvp",Inputs!$B$44&gt;0),(((R853-1)*(Skills!T20*(1+Inputs!$B$35/100))+MIN((Skills!T20*(1+Inputs!$B$35/100)),MAX(0,Inputs!$B$44-((R853-1)*Skills!D20))))/Inputs!$B$44),IF(Inputs!$B$39="pvp",MIN((Skills!T20*(1+Inputs!$B$35/100)),15)/15,(Skills!T20*(1+Inputs!$B$35/100))/Skills!D20)))</f>
        <v/>
      </c>
    </row>
    <row r="864">
      <c r="A864" t="inlineStr">
        <is>
          <t>Actions Per Second</t>
        </is>
      </c>
      <c r="B864">
        <f>1+MIN(150,150*(1-(1-(Inputs!$B$12+((C854=TRUE)*(F854-Calc!F21)))/150)*(1-B863/150)))/100</f>
        <v/>
      </c>
    </row>
    <row r="865">
      <c r="A865" t="inlineStr">
        <is>
          <t>Skill + Buff Cast Rate</t>
        </is>
      </c>
      <c r="B865">
        <f>IF(AND(Inputs!$B$39&lt;&gt;"pvp",Inputs!$B$44&gt;0),SUMPRODUCT((Skills!E2:E26=TRUE)*(C835:C859=TRUE)*R835:R859*Skills!F2:F26)/Inputs!$B$44,SUMPRODUCT((Skills!E2:E26=TRUE)*(C835:C859=TRUE)*Q835:Q859*Skills!F2:F26))</f>
        <v/>
      </c>
    </row>
    <row r="866">
      <c r="A866" t="inlineStr">
        <is>
          <t>Dark Impale Casts Per Second</t>
        </is>
      </c>
      <c r="B866">
        <f>MAX(0,B864-B865)</f>
        <v/>
      </c>
    </row>
    <row r="867">
      <c r="A867" t="inlineStr">
        <is>
          <t>Global Critical Damage Bonus % (Lord of Darkness)</t>
        </is>
      </c>
      <c r="B867">
        <f>((C852=TRUE)*F852*(Skills!J19/100)*IF(AND(Inputs!$B$39&lt;&gt;"pvp",Inputs!$B$44&gt;0),(((R852-1)*(Skills!T19*(1+Inputs!$B$35/100))+MIN((Skills!T19*(1+Inputs!$B$35/100)),MAX(0,Inputs!$B$44-((R852-1)*Skills!D19))))/Inputs!$B$44),IF(Inputs!$B$39="pvp",MIN((Skills!T19*(1+Inputs!$B$35/100)),15)/15,(Skills!T19*(1+Inputs!$B$35/100))/Skills!D19)))</f>
        <v/>
      </c>
    </row>
    <row r="868">
      <c r="A868" t="inlineStr">
        <is>
          <t>Global Final Damage Bonus % (unused)</t>
        </is>
      </c>
      <c r="B868" t="n">
        <v>0</v>
      </c>
    </row>
    <row r="869">
      <c r="A869" t="inlineStr">
        <is>
          <t>Buff-Casting Startup Delay (s, fixed-duration only)</t>
        </is>
      </c>
      <c r="B869">
        <f>IF(AND(Inputs!$B$39&lt;&gt;"pvp",Inputs!$B$44&gt;0),SUMPRODUCT((Skills!T2:T26&gt;0)*(Skills!E2:E26=TRUE)*(C835:C859=TRUE))/B864,0)</f>
        <v/>
      </c>
    </row>
    <row r="870">
      <c r="A870" t="inlineStr">
        <is>
          <t>Boss-Only Total DPS (this block's swept value)</t>
        </is>
      </c>
      <c r="B870">
        <f>SUM(T835:T859)</f>
        <v/>
      </c>
    </row>
    <row r="871">
      <c r="A871" t="inlineStr">
        <is>
          <t>Normal-Only Total DPS (this block's swept value)</t>
        </is>
      </c>
      <c r="B871">
        <f>SUM(V835:V859)</f>
        <v/>
      </c>
    </row>
    <row r="872">
      <c r="A872" s="5" t="inlineStr">
        <is>
          <t>TOTAL DPS</t>
        </is>
      </c>
      <c r="B872" s="5">
        <f>SUM(O835:O859)</f>
        <v/>
      </c>
    </row>
    <row r="875">
      <c r="A875" s="5" t="inlineStr">
        <is>
          <t>Stat: Skill Level Bonus — 3rd Job</t>
        </is>
      </c>
    </row>
    <row r="876">
      <c r="A876" s="9" t="inlineStr">
        <is>
          <t>Key</t>
        </is>
      </c>
      <c r="B876" s="9" t="inlineStr">
        <is>
          <t>Name</t>
        </is>
      </c>
      <c r="C876" s="9" t="inlineStr">
        <is>
          <t>Unlocked</t>
        </is>
      </c>
      <c r="D876" s="9" t="inlineStr">
        <is>
          <t>InputLevel</t>
        </is>
      </c>
      <c r="E876" s="9" t="inlineStr">
        <is>
          <t>Factor</t>
        </is>
      </c>
      <c r="F876" s="9" t="inlineStr">
        <is>
          <t>CoefficientPercent</t>
        </is>
      </c>
      <c r="G876" s="9" t="inlineStr">
        <is>
          <t>EffectiveHits</t>
        </is>
      </c>
      <c r="H876" s="9" t="inlineStr">
        <is>
          <t>ProcProbability</t>
        </is>
      </c>
      <c r="I876" s="9" t="inlineStr">
        <is>
          <t>MapleHeroMultiplier</t>
        </is>
      </c>
      <c r="J876" s="9" t="inlineStr">
        <is>
          <t>BaseDamage</t>
        </is>
      </c>
      <c r="K876" s="9" t="inlineStr">
        <is>
          <t>BaseHitDamage</t>
        </is>
      </c>
      <c r="L876" s="9" t="inlineStr">
        <is>
          <t>NonCritAvg</t>
        </is>
      </c>
      <c r="M876" s="9" t="inlineStr">
        <is>
          <t>CritAvg</t>
        </is>
      </c>
      <c r="N876" s="9" t="inlineStr">
        <is>
          <t>ExpectedDamage(perHit)</t>
        </is>
      </c>
      <c r="O876" s="9" t="inlineStr">
        <is>
          <t>DPS</t>
        </is>
      </c>
      <c r="P876" s="9" t="inlineStr">
        <is>
          <t>% of Total</t>
        </is>
      </c>
      <c r="Q876" s="9" t="inlineStr">
        <is>
          <t>InvCooldown</t>
        </is>
      </c>
      <c r="R876" s="9" t="inlineStr">
        <is>
          <t>CastsInFight</t>
        </is>
      </c>
      <c r="S876" s="9" t="inlineStr">
        <is>
          <t>HitRate(perSec)</t>
        </is>
      </c>
      <c r="U876" t="inlineStr">
        <is>
          <t>helpers</t>
        </is>
      </c>
    </row>
    <row r="877">
      <c r="A877">
        <f>Skills!A2</f>
        <v/>
      </c>
      <c r="B877">
        <f>Skills!B2</f>
        <v/>
      </c>
      <c r="C877">
        <f>Inputs!$B$3&gt;=100</f>
        <v/>
      </c>
      <c r="D877" t="inlineStr"/>
      <c r="E877" t="inlineStr"/>
      <c r="F877">
        <f>U879+Skills!O2</f>
        <v/>
      </c>
      <c r="G877">
        <f>Skills!G2*IF(Skills!H2&gt;0,Skills!I2/Skills!H2,1)</f>
        <v/>
      </c>
      <c r="H877">
        <f>1-(1-Skills!J2/100)^Skills!K2</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nputs!$B$17/100)*(5000/(6000+Inputs!$B$43*(1-(Inputs!$B$20+0)/100)))*(1+(Inputs!$B$25+((C900=TRUE)*(F900-Calc!F25))+((C901=TRUE)*(F901-Calc!F26))+B910)/100)*(1+(IF(Skills!A2="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877)</f>
        <v/>
      </c>
      <c r="L877">
        <f>K877*(MIN(Inputs!$B$23+((C897=TRUE)*(F897-Calc!F22)),Inputs!$B$24+((C899=TRUE)*(F899-Calc!F24)))/100+(Inputs!$B$24+((C899=TRUE)*(F899-Calc!F24)))/100)/2</f>
        <v/>
      </c>
      <c r="M877">
        <f>L877*(1+(Inputs!$B$11+0+B909)/100)</f>
        <v/>
      </c>
      <c r="N877">
        <f>L877*(1-MIN((Inputs!$B$10+0+B904),100)/100)+M877*(MIN((Inputs!$B$10+0+B904),100)/100)</f>
        <v/>
      </c>
      <c r="O877">
        <f>(1-Summary!$B$55)*T877+Summary!$B$55*V877</f>
        <v/>
      </c>
      <c r="P877">
        <f>IF(B914=0,0,O877/B914)</f>
        <v/>
      </c>
      <c r="Q877" t="n">
        <v>0</v>
      </c>
      <c r="R877" t="n">
        <v>0</v>
      </c>
      <c r="S877">
        <f>IFERROR(O877/N877,0)</f>
        <v/>
      </c>
      <c r="T877">
        <f>IF(C877,(Skills!G2*N877*B908)*IF(Inputs!$B$39="pvp",1,1+(Inputs!$B$21+0+Skills!P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0)</f>
        <v/>
      </c>
      <c r="U877">
        <f>MAX(0,(Inputs!$B$3-100)*3)+Inputs!$B$29+Inputs!$B$30</f>
        <v/>
      </c>
      <c r="V877">
        <f>IF(C877,(Skills!G2*N877*B908)*IF(Inputs!$B$39="pvp",1,(1+(Inputs!$B$22+Skills!Q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MIN((6+Inputs!$B$34),Inputs!$B$38))),0)</f>
        <v/>
      </c>
    </row>
    <row r="878">
      <c r="A878">
        <f>Skills!A3</f>
        <v/>
      </c>
      <c r="B878">
        <f>Skills!B3</f>
        <v/>
      </c>
      <c r="C878">
        <f>Inputs!$B$3&gt;=50</f>
        <v/>
      </c>
      <c r="D878">
        <f>IF(Skills!C3=1,60+Inputs!$B$26+Inputs!$B$30,IF(Skills!C3=2,90+Inputs!$B$27+Inputs!$B$30,IF(Skills!C3=3,120+(Inputs!$B$28+1)+Inputs!$B$30,MAX(0,(Inputs!$B$3-100)*3)+Inputs!$B$29+Inputs!$B$30)))</f>
        <v/>
      </c>
      <c r="E878">
        <f>INDEX(FactorTable!$B$2:$Y$301, MATCH(ROUND(MIN(300,MAX(1,D878)),0), FactorTable!$A$2:$A$301,0), Skills!M3+1)</f>
        <v/>
      </c>
      <c r="F878">
        <f>IF(Skills!N3=TRUE,(Skills!L3/10)*(E878/1000),Skills!L3/10)+Skills!O3</f>
        <v/>
      </c>
      <c r="G878" t="inlineStr"/>
      <c r="H878" t="inlineStr"/>
      <c r="I878" t="inlineStr">
        <is>
          <t>1</t>
        </is>
      </c>
      <c r="J878" t="inlineStr"/>
      <c r="K878" t="inlineStr"/>
      <c r="L878" t="inlineStr"/>
      <c r="M878" t="inlineStr"/>
      <c r="N878" t="inlineStr"/>
      <c r="O878" t="inlineStr"/>
      <c r="P878" t="inlineStr"/>
      <c r="Q878" t="inlineStr"/>
      <c r="R878" t="inlineStr"/>
      <c r="S878" t="inlineStr"/>
      <c r="U878">
        <f>INDEX(FactorTable!$B$2:$Y$301, MATCH(ROUND(MIN(300,MAX(1,U877)),0), FactorTable!$A$2:$A$301,0), 22)</f>
        <v/>
      </c>
    </row>
    <row r="879">
      <c r="A879">
        <f>Skills!A4</f>
        <v/>
      </c>
      <c r="B879">
        <f>Skills!B4</f>
        <v/>
      </c>
      <c r="C879">
        <f>Inputs!$B$3&gt;=105</f>
        <v/>
      </c>
      <c r="D879">
        <f>IF(Skills!C4=1,60+Inputs!$B$26+Inputs!$B$30,IF(Skills!C4=2,90+Inputs!$B$27+Inputs!$B$30,IF(Skills!C4=3,120+(Inputs!$B$28+1)+Inputs!$B$30,MAX(0,(Inputs!$B$3-100)*3)+Inputs!$B$29+Inputs!$B$30)))</f>
        <v/>
      </c>
      <c r="E879">
        <f>INDEX(FactorTable!$B$2:$Y$301, MATCH(ROUND(MIN(300,MAX(1,D879)),0), FactorTable!$A$2:$A$301,0), Skills!M4+1)</f>
        <v/>
      </c>
      <c r="F879">
        <f>IF(Skills!N4=TRUE,(Skills!L4/10)*(E879/1000),Skills!L4/10)+Skills!O4</f>
        <v/>
      </c>
      <c r="G879" t="inlineStr"/>
      <c r="H879" t="inlineStr"/>
      <c r="I879" t="inlineStr">
        <is>
          <t>1</t>
        </is>
      </c>
      <c r="J879" t="inlineStr"/>
      <c r="K879" t="inlineStr"/>
      <c r="L879" t="inlineStr"/>
      <c r="M879" t="inlineStr"/>
      <c r="N879" t="inlineStr"/>
      <c r="O879" t="inlineStr"/>
      <c r="P879" t="inlineStr"/>
      <c r="Q879" t="inlineStr"/>
      <c r="R879" t="inlineStr"/>
      <c r="S879" t="inlineStr"/>
      <c r="U879">
        <f>290*U878/1000</f>
        <v/>
      </c>
    </row>
    <row r="880">
      <c r="A880">
        <f>Skills!A5</f>
        <v/>
      </c>
      <c r="B880">
        <f>Skills!B5</f>
        <v/>
      </c>
      <c r="C880">
        <f>Inputs!$B$3&gt;=117</f>
        <v/>
      </c>
      <c r="D880">
        <f>IF(Skills!C5=1,60+Inputs!$B$26+Inputs!$B$30,IF(Skills!C5=2,90+Inputs!$B$27+Inputs!$B$30,IF(Skills!C5=3,120+(Inputs!$B$28+1)+Inputs!$B$30,MAX(0,(Inputs!$B$3-100)*3)+Inputs!$B$29+Inputs!$B$30)))</f>
        <v/>
      </c>
      <c r="E880">
        <f>INDEX(FactorTable!$B$2:$Y$301, MATCH(ROUND(MIN(300,MAX(1,D880)),0), FactorTable!$A$2:$A$301,0), Skills!M5+1)</f>
        <v/>
      </c>
      <c r="F880">
        <f>IF(Skills!N5=TRUE,(Skills!L5/10)*(E880/1000),Skills!L5/10)+Skills!O5</f>
        <v/>
      </c>
      <c r="G880">
        <f>Skills!G5*IF(Skills!H5&gt;0,Skills!I5/Skills!H5,1)</f>
        <v/>
      </c>
      <c r="H880">
        <f>1-(1-Skills!J5/100)^Skills!K5</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nputs!$B$17/100)*(5000/(6000+Inputs!$B$43*(1-(Inputs!$B$20+0)/100)))*(1+(Inputs!$B$25+((C900=TRUE)*(F900-Calc!F25))+((C901=TRUE)*(F901-Calc!F26))+B910)/100)*(1+(IF(Skills!A5="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880)</f>
        <v/>
      </c>
      <c r="L880">
        <f>K880*(MIN(Inputs!$B$23+((C897=TRUE)*(F897-Calc!F22)),Inputs!$B$24+((C899=TRUE)*(F899-Calc!F24)))/100+(Inputs!$B$24+((C899=TRUE)*(F899-Calc!F24)))/100)/2</f>
        <v/>
      </c>
      <c r="M880">
        <f>L880*(1+(Inputs!$B$11+0+B909)/100)</f>
        <v/>
      </c>
      <c r="N880">
        <f>L880*(1-MIN((Inputs!$B$10+0+B904),100)/100)+M880*(MIN((Inputs!$B$10+0+B904),100)/100)</f>
        <v/>
      </c>
      <c r="O880">
        <f>(1-Summary!$B$55)*T880+Summary!$B$55*V880</f>
        <v/>
      </c>
      <c r="P880">
        <f>IF(B914=0,0,O880/B914)</f>
        <v/>
      </c>
      <c r="Q880">
        <f>IFERROR(1/IF(Inputs!$B$39="pvp",15,MAX(0.1,Skills!D5-IF(Skills!E5=TRUE,Inputs!$B$33,0))),0)</f>
        <v/>
      </c>
      <c r="R880">
        <f>IF(AND(Inputs!$B$39&lt;&gt;"pvp",Inputs!$B$44&gt;0),IF(MAX(0,Inputs!$B$44-B911)&lt;=0,0,(INT(MAX(0,Inputs!$B$44-B911)/IF(Inputs!$B$39="pvp",15,MAX(0.1,Skills!D5-IF(Skills!E5=TRUE,Inputs!$B$33,0))))+1)),0)</f>
        <v/>
      </c>
      <c r="S880">
        <f>IFERROR(O880/N880,0)</f>
        <v/>
      </c>
      <c r="T880">
        <f>IF(C880,(H880*N880*IF(AND(Inputs!$B$39&lt;&gt;"pvp",Inputs!$B$44&gt;0),((Skills!G5*((R880-1)*IF(Skills!H5&gt;0,Skills!I5/Skills!H5,1)+IF(Skills!H5&gt;0,MIN(Skills!I5,MAX(0,MAX(0,Inputs!$B$44-B911)-((R880-1)*IF(Inputs!$B$39="pvp",15,MAX(0.1,Skills!D5-IF(Skills!E5=TRUE,Inputs!$B$33,0))))))/Skills!H5,1)))/Inputs!$B$44),G880*Q880))*IF(Inputs!$B$39="pvp",1,1+(Inputs!$B$21+0+Skills!P5+((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0)</f>
        <v/>
      </c>
      <c r="V880">
        <f>IF(C880,(H880*N880*IF(AND(Inputs!$B$39&lt;&gt;"pvp",Inputs!$B$44&gt;0),((Skills!G5*((R880-1)*IF(Skills!H5&gt;0,Skills!I5/Skills!H5,1)+IF(Skills!H5&gt;0,MIN(Skills!I5,MAX(0,MAX(0,Inputs!$B$44-B911)-((R880-1)*IF(Inputs!$B$39="pvp",15,MAX(0.1,Skills!D5-IF(Skills!E5=TRUE,Inputs!$B$33,0))))))/Skills!H5,1)))/Inputs!$B$44),G880*Q880))*IF(Inputs!$B$39="pvp",1,(1+(Inputs!$B$22+Skills!Q5+((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MIN(Skills!R5,Inputs!$B$38))),0)</f>
        <v/>
      </c>
    </row>
    <row r="881">
      <c r="A881">
        <f>Skills!A6</f>
        <v/>
      </c>
      <c r="B881">
        <f>Skills!B6</f>
        <v/>
      </c>
      <c r="C881">
        <f>Inputs!$B$3&gt;=103</f>
        <v/>
      </c>
      <c r="D881">
        <f>IF(Skills!C6=1,60+Inputs!$B$26+Inputs!$B$30,IF(Skills!C6=2,90+Inputs!$B$27+Inputs!$B$30,IF(Skills!C6=3,120+(Inputs!$B$28+1)+Inputs!$B$30,MAX(0,(Inputs!$B$3-100)*3)+Inputs!$B$29+Inputs!$B$30)))</f>
        <v/>
      </c>
      <c r="E881">
        <f>INDEX(FactorTable!$B$2:$Y$301, MATCH(ROUND(MIN(300,MAX(1,D881)),0), FactorTable!$A$2:$A$301,0), Skills!M6+1)</f>
        <v/>
      </c>
      <c r="F881">
        <f>IF(Skills!N6=TRUE,(Skills!L6/10)*(E881/1000),Skills!L6/10)+Skills!O6</f>
        <v/>
      </c>
      <c r="G881">
        <f>Skills!G6*IF(Skills!H6&gt;0,Skills!I6/Skills!H6,1)</f>
        <v/>
      </c>
      <c r="H881">
        <f>1-(1-Skills!J6/100)^Skills!K6</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nputs!$B$17/100)*(5000/(6000+Inputs!$B$43*(1-(Inputs!$B$20+0)/100)))*(1+(Inputs!$B$25+((C900=TRUE)*(F900-Calc!F25))+((C901=TRUE)*(F901-Calc!F26))+B910)/100)*(1+(IF(Skills!A6="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881)</f>
        <v/>
      </c>
      <c r="L881">
        <f>K881*(MIN(Inputs!$B$23+((C897=TRUE)*(F897-Calc!F22)),Inputs!$B$24+((C899=TRUE)*(F899-Calc!F24)))/100+(Inputs!$B$24+((C899=TRUE)*(F899-Calc!F24)))/100)/2</f>
        <v/>
      </c>
      <c r="M881">
        <f>L881*(1+(Inputs!$B$11+0+B909)/100)</f>
        <v/>
      </c>
      <c r="N881">
        <f>L881*(1-MIN((Inputs!$B$10+0+B904),100)/100)+M881*(MIN((Inputs!$B$10+0+B904),100)/100)</f>
        <v/>
      </c>
      <c r="O881">
        <f>(1-Summary!$B$55)*T881+Summary!$B$55*V881</f>
        <v/>
      </c>
      <c r="P881">
        <f>IF(B914=0,0,O881/B914)</f>
        <v/>
      </c>
      <c r="Q881">
        <f>IFERROR(1/IF(Inputs!$B$39="pvp",15,MAX(0.1,Skills!D6-IF(Skills!E6=TRUE,Inputs!$B$33,0))),0)</f>
        <v/>
      </c>
      <c r="R881">
        <f>IF(AND(Inputs!$B$39&lt;&gt;"pvp",Inputs!$B$44&gt;0),IF(MAX(0,Inputs!$B$44-B911)&lt;=0,0,(INT(MAX(0,Inputs!$B$44-B911)/IF(Inputs!$B$39="pvp",15,MAX(0.1,Skills!D6-IF(Skills!E6=TRUE,Inputs!$B$33,0))))+1)),0)</f>
        <v/>
      </c>
      <c r="S881">
        <f>IFERROR(O881/N881,0)</f>
        <v/>
      </c>
      <c r="T881">
        <f>IF(C881,(H881*N881*IF(AND(Inputs!$B$39&lt;&gt;"pvp",Inputs!$B$44&gt;0),((Skills!G6*((R881-1)*IF(Skills!H6&gt;0,Skills!I6/Skills!H6,1)+IF(Skills!H6&gt;0,MIN(Skills!I6,MAX(0,MAX(0,Inputs!$B$44-B911)-((R881-1)*IF(Inputs!$B$39="pvp",15,MAX(0.1,Skills!D6-IF(Skills!E6=TRUE,Inputs!$B$33,0))))))/Skills!H6,1)))/Inputs!$B$44),G881*Q881))*IF(Inputs!$B$39="pvp",1,1+(Inputs!$B$21+0+Skills!P6+((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0)</f>
        <v/>
      </c>
      <c r="V881">
        <f>IF(C881,(H881*N881*IF(AND(Inputs!$B$39&lt;&gt;"pvp",Inputs!$B$44&gt;0),((Skills!G6*((R881-1)*IF(Skills!H6&gt;0,Skills!I6/Skills!H6,1)+IF(Skills!H6&gt;0,MIN(Skills!I6,MAX(0,MAX(0,Inputs!$B$44-B911)-((R881-1)*IF(Inputs!$B$39="pvp",15,MAX(0.1,Skills!D6-IF(Skills!E6=TRUE,Inputs!$B$33,0))))))/Skills!H6,1)))/Inputs!$B$44),G881*Q881))*IF(Inputs!$B$39="pvp",1,(1+(Inputs!$B$22+Skills!Q6+((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MIN(Skills!R6,Inputs!$B$38))),0)</f>
        <v/>
      </c>
    </row>
    <row r="882">
      <c r="A882">
        <f>Skills!A7</f>
        <v/>
      </c>
      <c r="B882">
        <f>Skills!B7</f>
        <v/>
      </c>
      <c r="C882">
        <f>Inputs!$B$3&gt;=40</f>
        <v/>
      </c>
      <c r="D882">
        <f>IF(Skills!C7=1,60+Inputs!$B$26+Inputs!$B$30,IF(Skills!C7=2,90+Inputs!$B$27+Inputs!$B$30,IF(Skills!C7=3,120+(Inputs!$B$28+1)+Inputs!$B$30,MAX(0,(Inputs!$B$3-100)*3)+Inputs!$B$29+Inputs!$B$30)))</f>
        <v/>
      </c>
      <c r="E882">
        <f>INDEX(FactorTable!$B$2:$Y$301, MATCH(ROUND(MIN(300,MAX(1,D882)),0), FactorTable!$A$2:$A$301,0), Skills!M7+1)</f>
        <v/>
      </c>
      <c r="F882">
        <f>IF(Skills!N7=TRUE,(Skills!L7/10)*(E882/1000),Skills!L7/10)+Skills!O7</f>
        <v/>
      </c>
      <c r="G882">
        <f>Skills!G7*IF(Skills!H7&gt;0,Skills!I7/Skills!H7,1)</f>
        <v/>
      </c>
      <c r="H882">
        <f>1-(1-Skills!J7/100)^Skills!K7</f>
        <v/>
      </c>
      <c r="I882" t="inlineStr">
        <is>
          <t>1</t>
        </is>
      </c>
      <c r="J882">
        <f>((Inputs!$B$6*(1+Inputs!$B$7/100))+(((Inputs!$B$13*(1+Inputs!$B$14/100))-(Inputs!$B$13*(1+Inputs!$B$14/100)))+0.25*(Inputs!$B$15-Inputs!$B$15))*(1+Inputs!$B$7/100))*(F882/100)</f>
        <v/>
      </c>
      <c r="K882">
        <f>J882*(1+(((Inputs!$B$13+IF(Inputs!$B$3&gt;=38,(10*INDEX(FactorTable!$B$2:$Y$301, MATCH(ROUND(MIN(300,MAX(1,Inputs!$B$3)),0), FactorTable!$A$2:$A$301,0), 23)/1000)/100*(Inputs!$B$8*(1+Inputs!$B$9/100)),0))*(1+Inputs!$B$14/100))*0.01+Inputs!$B$15*0.0025)/100)*(1+Inputs!$B$16/100)*(1+Inputs!$B$17/100)*(5000/(6000+Inputs!$B$43*(1-(Inputs!$B$20+0)/100)))*(1+(Inputs!$B$25+((C900=TRUE)*(F900-Calc!F25))+((C901=TRUE)*(F901-Calc!F26))+B910)/100)*(1+0.75*IF(C886=TRUE,F886,0)/100)*(1+(IF(Skills!A7="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882)</f>
        <v/>
      </c>
      <c r="L882">
        <f>K882*(MIN(Inputs!$B$23+((C897=TRUE)*(F897-Calc!F22)),Inputs!$B$24+((C899=TRUE)*(F899-Calc!F24)))/100+(Inputs!$B$24+((C899=TRUE)*(F899-Calc!F24)))/100)/2</f>
        <v/>
      </c>
      <c r="M882">
        <f>L882*(1+(Inputs!$B$11+0+B909)/100)</f>
        <v/>
      </c>
      <c r="N882">
        <f>L882*(1-MIN((Inputs!$B$10+0+B904),100)/100)+M882*(MIN((Inputs!$B$10+0+B904),100)/100)</f>
        <v/>
      </c>
      <c r="O882">
        <f>(1-Summary!$B$55)*T882+Summary!$B$55*V882</f>
        <v/>
      </c>
      <c r="P882">
        <f>IF(B914=0,0,O882/B914)</f>
        <v/>
      </c>
      <c r="Q882">
        <f>IFERROR(1/IF(Inputs!$B$39="pvp",15,MAX(0.1,Skills!D7-IF(Skills!E7=TRUE,Inputs!$B$33,0))),0)</f>
        <v/>
      </c>
      <c r="R882">
        <f>IF(AND(Inputs!$B$39&lt;&gt;"pvp",Inputs!$B$44&gt;0),IF(MAX(0,Inputs!$B$44-B911)&lt;=0,0,(INT(MAX(0,Inputs!$B$44-B911)/IF(Inputs!$B$39="pvp",15,MAX(0.1,Skills!D7-IF(Skills!E7=TRUE,Inputs!$B$33,0))))+1)),0)</f>
        <v/>
      </c>
      <c r="S882">
        <f>IFERROR(O882/N882,0)</f>
        <v/>
      </c>
      <c r="T882">
        <f>IF(C882,(H882*N882*IF(AND(Inputs!$B$39&lt;&gt;"pvp",Inputs!$B$44&gt;0),((Skills!G7*((R882-1)*IF(Skills!H7&gt;0,Skills!I7/Skills!H7,1)+IF(Skills!H7&gt;0,MIN(Skills!I7,MAX(0,MAX(0,Inputs!$B$44-B911)-((R882-1)*IF(Inputs!$B$39="pvp",15,MAX(0.1,Skills!D7-IF(Skills!E7=TRUE,Inputs!$B$33,0))))))/Skills!H7,1)))/Inputs!$B$44),G882*Q882))*IF(Inputs!$B$39="pvp",1,1+(Inputs!$B$21+0+Skills!P7+((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0)</f>
        <v/>
      </c>
      <c r="V882">
        <f>IF(C882,(H882*N882*IF(AND(Inputs!$B$39&lt;&gt;"pvp",Inputs!$B$44&gt;0),((Skills!G7*((R882-1)*IF(Skills!H7&gt;0,Skills!I7/Skills!H7,1)+IF(Skills!H7&gt;0,MIN(Skills!I7,MAX(0,MAX(0,Inputs!$B$44-B911)-((R882-1)*IF(Inputs!$B$39="pvp",15,MAX(0.1,Skills!D7-IF(Skills!E7=TRUE,Inputs!$B$33,0))))))/Skills!H7,1)))/Inputs!$B$44),G882*Q882))*IF(Inputs!$B$39="pvp",1,(1+(Inputs!$B$22+Skills!Q7+((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MIN(Skills!R7,Inputs!$B$38))),0)</f>
        <v/>
      </c>
    </row>
    <row r="883">
      <c r="A883">
        <f>Skills!A8</f>
        <v/>
      </c>
      <c r="B883">
        <f>Skills!B8</f>
        <v/>
      </c>
      <c r="C883">
        <f>Inputs!$B$3&gt;=75</f>
        <v/>
      </c>
      <c r="D883">
        <f>IF(Skills!C8=1,60+Inputs!$B$26+Inputs!$B$30,IF(Skills!C8=2,90+Inputs!$B$27+Inputs!$B$30,IF(Skills!C8=3,120+(Inputs!$B$28+1)+Inputs!$B$30,MAX(0,(Inputs!$B$3-100)*3)+Inputs!$B$29+Inputs!$B$30)))</f>
        <v/>
      </c>
      <c r="E883">
        <f>INDEX(FactorTable!$B$2:$Y$301, MATCH(ROUND(MIN(300,MAX(1,D883)),0), FactorTable!$A$2:$A$301,0), Skills!M8+1)</f>
        <v/>
      </c>
      <c r="F883">
        <f>IF(Skills!N8=TRUE,(Skills!L8/10)*(E883/1000),Skills!L8/10)+Skills!O8</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Skills!A9</f>
        <v/>
      </c>
      <c r="B884">
        <f>Skills!B9</f>
        <v/>
      </c>
      <c r="C884">
        <f>Inputs!$B$3&gt;=60</f>
        <v/>
      </c>
      <c r="D884">
        <f>IF(Skills!C9=1,60+Inputs!$B$26+Inputs!$B$30,IF(Skills!C9=2,90+Inputs!$B$27+Inputs!$B$30,IF(Skills!C9=3,120+(Inputs!$B$28+1)+Inputs!$B$30,MAX(0,(Inputs!$B$3-100)*3)+Inputs!$B$29+Inputs!$B$30)))</f>
        <v/>
      </c>
      <c r="E884">
        <f>INDEX(FactorTable!$B$2:$Y$301, MATCH(ROUND(MIN(300,MAX(1,D884)),0), FactorTable!$A$2:$A$301,0), Skills!M9+1)</f>
        <v/>
      </c>
      <c r="F884">
        <f>IF(Skills!N9=TRUE,(Skills!L9/10)*(E884/1000),Skills!L9/10)+Skills!O9</f>
        <v/>
      </c>
      <c r="G884">
        <f>Skills!G9*IF(Skills!H9&gt;0,Skills!I9/Skills!H9,1)</f>
        <v/>
      </c>
      <c r="H884">
        <f>1-(1-Skills!J9/100)^Skills!K9</f>
        <v/>
      </c>
      <c r="I884" t="inlineStr">
        <is>
          <t>1</t>
        </is>
      </c>
      <c r="J884">
        <f>((Inputs!$B$6*(1+Inputs!$B$7/100))+(((Inputs!$B$13*(1+Inputs!$B$14/100))-(Inputs!$B$13*(1+Inputs!$B$14/100)))+0.25*(Inputs!$B$15-Inputs!$B$15))*(1+Inputs!$B$7/100))*(F884/100)</f>
        <v/>
      </c>
      <c r="K884">
        <f>J884*(1+(((Inputs!$B$13+IF(Inputs!$B$3&gt;=38,(10*INDEX(FactorTable!$B$2:$Y$301, MATCH(ROUND(MIN(300,MAX(1,Inputs!$B$3)),0), FactorTable!$A$2:$A$301,0), 23)/1000)/100*(Inputs!$B$8*(1+Inputs!$B$9/100)),0))*(1+Inputs!$B$14/100))*0.01+Inputs!$B$15*0.0025)/100)*(1+Inputs!$B$16/100)*(1+Inputs!$B$17/100)*(5000/(6000+Inputs!$B$43*(1-(Inputs!$B$20+0)/100)))*(1+(Inputs!$B$25+((C900=TRUE)*(F900-Calc!F25))+((C901=TRUE)*(F901-Calc!F26))+B910)/100)*(1+1.0*IF(C886=TRUE,F886,0)/100)*(1+(IF(Skills!A9="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884)</f>
        <v/>
      </c>
      <c r="L884">
        <f>K884*(MIN(Inputs!$B$23+((C897=TRUE)*(F897-Calc!F22)),Inputs!$B$24+((C899=TRUE)*(F899-Calc!F24)))/100+(Inputs!$B$24+((C899=TRUE)*(F899-Calc!F24)))/100)/2</f>
        <v/>
      </c>
      <c r="M884">
        <f>L884*(1+(Inputs!$B$11+0+B909)/100)</f>
        <v/>
      </c>
      <c r="N884">
        <f>L884*(1-MIN((Inputs!$B$10+0+B904),100)/100)+M884*(MIN((Inputs!$B$10+0+B904),100)/100)</f>
        <v/>
      </c>
      <c r="O884">
        <f>(1-Summary!$B$55)*T884+Summary!$B$55*V884</f>
        <v/>
      </c>
      <c r="P884">
        <f>IF(B914=0,0,O884/B914)</f>
        <v/>
      </c>
      <c r="Q884">
        <f>IFERROR(1/IF(Inputs!$B$39="pvp",15,MAX(0.1,Skills!D9-IF(Skills!E9=TRUE,Inputs!$B$33,0))),0)</f>
        <v/>
      </c>
      <c r="R884">
        <f>IF(AND(Inputs!$B$39&lt;&gt;"pvp",Inputs!$B$44&gt;0),IF(MAX(0,Inputs!$B$44-B911)&lt;=0,0,(INT(MAX(0,Inputs!$B$44-B911)/IF(Inputs!$B$39="pvp",15,MAX(0.1,Skills!D9-IF(Skills!E9=TRUE,Inputs!$B$33,0))))+1)),0)</f>
        <v/>
      </c>
      <c r="S884">
        <f>IFERROR(O884/N884,0)</f>
        <v/>
      </c>
      <c r="T884">
        <f>IF(C884,(H884*N884*IF(AND(Inputs!$B$39&lt;&gt;"pvp",Inputs!$B$44&gt;0),((Skills!G9*((R884-1)*IF(Skills!H9&gt;0,Skills!I9/Skills!H9,1)+IF(Skills!H9&gt;0,MIN(Skills!I9,MAX(0,MAX(0,Inputs!$B$44-B911)-((R884-1)*IF(Inputs!$B$39="pvp",15,MAX(0.1,Skills!D9-IF(Skills!E9=TRUE,Inputs!$B$33,0))))))/Skills!H9,1)))/Inputs!$B$44),G884*Q884))*IF(Inputs!$B$39="pvp",1,1+(Inputs!$B$21+0+Skills!P9+((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0)</f>
        <v/>
      </c>
      <c r="V884">
        <f>IF(C884,(H884*N884*IF(AND(Inputs!$B$39&lt;&gt;"pvp",Inputs!$B$44&gt;0),((Skills!G9*((R884-1)*IF(Skills!H9&gt;0,Skills!I9/Skills!H9,1)+IF(Skills!H9&gt;0,MIN(Skills!I9,MAX(0,MAX(0,Inputs!$B$44-B911)-((R884-1)*IF(Inputs!$B$39="pvp",15,MAX(0.1,Skills!D9-IF(Skills!E9=TRUE,Inputs!$B$33,0))))))/Skills!H9,1)))/Inputs!$B$44),G884*Q884))*IF(Inputs!$B$39="pvp",1,(1+(Inputs!$B$22+Skills!Q9+((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MIN(Skills!R9,Inputs!$B$38))),0)</f>
        <v/>
      </c>
    </row>
    <row r="885">
      <c r="A885">
        <f>Skills!A10</f>
        <v/>
      </c>
      <c r="B885">
        <f>Skills!B10</f>
        <v/>
      </c>
      <c r="C885">
        <f>Inputs!$B$3&gt;=110</f>
        <v/>
      </c>
      <c r="D885">
        <f>IF(Skills!C10=1,60+Inputs!$B$26+Inputs!$B$30,IF(Skills!C10=2,90+Inputs!$B$27+Inputs!$B$30,IF(Skills!C10=3,120+(Inputs!$B$28+1)+Inputs!$B$30,MAX(0,(Inputs!$B$3-100)*3)+Inputs!$B$29+Inputs!$B$30)))</f>
        <v/>
      </c>
      <c r="E885">
        <f>INDEX(FactorTable!$B$2:$Y$301, MATCH(ROUND(MIN(300,MAX(1,D885)),0), FactorTable!$A$2:$A$301,0), Skills!M10+1)</f>
        <v/>
      </c>
      <c r="F885">
        <f>IF(Skills!N10=TRUE,(Skills!L10/10)*(E885/1000),Skills!L10/10)+Skills!O10</f>
        <v/>
      </c>
      <c r="G885">
        <f>Skills!G10*IF(Skills!H10&gt;0,Skills!I10/Skills!H10,1)</f>
        <v/>
      </c>
      <c r="H885">
        <f>1-(1-Skills!J10/100)^Skills!K10</f>
        <v/>
      </c>
      <c r="I885" t="inlineStr">
        <is>
          <t>1</t>
        </is>
      </c>
      <c r="J885">
        <f>((Inputs!$B$6*(1+Inputs!$B$7/100))+(((Inputs!$B$13*(1+Inputs!$B$14/100))-(Inputs!$B$13*(1+Inputs!$B$14/100)))+0.25*(Inputs!$B$15-Inputs!$B$15))*(1+Inputs!$B$7/100))*(F885/100)</f>
        <v/>
      </c>
      <c r="K885">
        <f>J885*(1+(((Inputs!$B$13+IF(Inputs!$B$3&gt;=38,(10*INDEX(FactorTable!$B$2:$Y$301, MATCH(ROUND(MIN(300,MAX(1,Inputs!$B$3)),0), FactorTable!$A$2:$A$301,0), 23)/1000)/100*(Inputs!$B$8*(1+Inputs!$B$9/100)),0))*(1+Inputs!$B$14/100))*0.01+Inputs!$B$15*0.0025)/100)*(1+Inputs!$B$16/100)*(1+Inputs!$B$17/100)*(5000/(6000+Inputs!$B$43*(1-(Inputs!$B$20+0)/100)))*(1+(Inputs!$B$25+((C900=TRUE)*(F900-Calc!F25))+((C901=TRUE)*(F901-Calc!F26))+B910)/100)*(1+(IF(Skills!A10="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885)</f>
        <v/>
      </c>
      <c r="L885">
        <f>K885*(MIN(Inputs!$B$23+((C897=TRUE)*(F897-Calc!F22)),Inputs!$B$24+((C899=TRUE)*(F899-Calc!F24)))/100+(Inputs!$B$24+((C899=TRUE)*(F899-Calc!F24)))/100)/2</f>
        <v/>
      </c>
      <c r="M885">
        <f>L885*(1+(Inputs!$B$11+0+B909)/100)</f>
        <v/>
      </c>
      <c r="N885">
        <f>L885*(1-MIN((Inputs!$B$10+0+B904),100)/100)+M885*(MIN((Inputs!$B$10+0+B904),100)/100)</f>
        <v/>
      </c>
      <c r="O885">
        <f>(1-Summary!$B$55)*T885+Summary!$B$55*V885</f>
        <v/>
      </c>
      <c r="P885">
        <f>IF(B914=0,0,O885/B914)</f>
        <v/>
      </c>
      <c r="Q885">
        <f>IFERROR(1/IF(Inputs!$B$39="pvp",15,MAX(0.1,Skills!D10-IF(Skills!E10=TRUE,Inputs!$B$33,0))),0)</f>
        <v/>
      </c>
      <c r="R885">
        <f>IF(AND(Inputs!$B$39&lt;&gt;"pvp",Inputs!$B$44&gt;0),IF(MAX(0,Inputs!$B$44-B911)&lt;=0,0,(INT(MAX(0,Inputs!$B$44-B911)/IF(Inputs!$B$39="pvp",15,MAX(0.1,Skills!D10-IF(Skills!E10=TRUE,Inputs!$B$33,0))))+1)),0)</f>
        <v/>
      </c>
      <c r="S885">
        <f>IFERROR(O885/N885,0)</f>
        <v/>
      </c>
      <c r="T885">
        <f>IF(C885,(H885*N885*IF(AND(Inputs!$B$39&lt;&gt;"pvp",Inputs!$B$44&gt;0),((Skills!G10*((R885-1)*IF(Skills!H10&gt;0,Skills!I10/Skills!H10,1)+IF(Skills!H10&gt;0,MIN(Skills!I10,MAX(0,MAX(0,Inputs!$B$44-B911)-((R885-1)*IF(Inputs!$B$39="pvp",15,MAX(0.1,Skills!D10-IF(Skills!E10=TRUE,Inputs!$B$33,0))))))/Skills!H10,1)))/Inputs!$B$44),G885*Q885))*IF(Inputs!$B$39="pvp",1,1+(Inputs!$B$21+0+Skills!P10+((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0)</f>
        <v/>
      </c>
      <c r="V885">
        <f>IF(C885,(H885*N885*IF(AND(Inputs!$B$39&lt;&gt;"pvp",Inputs!$B$44&gt;0),((Skills!G10*((R885-1)*IF(Skills!H10&gt;0,Skills!I10/Skills!H10,1)+IF(Skills!H10&gt;0,MIN(Skills!I10,MAX(0,MAX(0,Inputs!$B$44-B911)-((R885-1)*IF(Inputs!$B$39="pvp",15,MAX(0.1,Skills!D10-IF(Skills!E10=TRUE,Inputs!$B$33,0))))))/Skills!H10,1)))/Inputs!$B$44),G885*Q885))*IF(Inputs!$B$39="pvp",1,(1+(Inputs!$B$22+Skills!Q10+((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MIN(Skills!R10,Inputs!$B$38))),0)</f>
        <v/>
      </c>
    </row>
    <row r="886">
      <c r="A886">
        <f>Skills!A11</f>
        <v/>
      </c>
      <c r="B886">
        <f>Skills!B11</f>
        <v/>
      </c>
      <c r="C886">
        <f>Inputs!$B$3&gt;=100</f>
        <v/>
      </c>
      <c r="D886">
        <f>IF(Skills!C11=1,60+Inputs!$B$26+Inputs!$B$30,IF(Skills!C11=2,90+Inputs!$B$27+Inputs!$B$30,IF(Skills!C11=3,120+(Inputs!$B$28+1)+Inputs!$B$30,MAX(0,(Inputs!$B$3-100)*3)+Inputs!$B$29+Inputs!$B$30)))</f>
        <v/>
      </c>
      <c r="E886">
        <f>INDEX(FactorTable!$B$2:$Y$301, MATCH(ROUND(MIN(300,MAX(1,D886)),0), FactorTable!$A$2:$A$301,0), Skills!M11+1)</f>
        <v/>
      </c>
      <c r="F886">
        <f>IF(Skills!N11=TRUE,(Skills!L11/10)*(E886/1000),Skills!L11/10)+Skills!O11</f>
        <v/>
      </c>
      <c r="G886" t="inlineStr"/>
      <c r="H886" t="inlineStr"/>
      <c r="I886" t="inlineStr">
        <is>
          <t>1</t>
        </is>
      </c>
      <c r="J886" t="inlineStr"/>
      <c r="K886" t="inlineStr"/>
      <c r="L886" t="inlineStr"/>
      <c r="M886" t="inlineStr"/>
      <c r="N886" t="inlineStr"/>
      <c r="O886" t="inlineStr"/>
      <c r="P886" t="inlineStr"/>
      <c r="Q886" t="inlineStr"/>
      <c r="R886" t="inlineStr"/>
      <c r="S886" t="inlineStr"/>
    </row>
    <row r="887">
      <c r="A887">
        <f>Skills!A12</f>
        <v/>
      </c>
      <c r="B887">
        <f>Skills!B12</f>
        <v/>
      </c>
      <c r="C887">
        <f>Inputs!$B$3&gt;=63</f>
        <v/>
      </c>
      <c r="D887">
        <f>IF(Skills!C12=1,60+Inputs!$B$26+Inputs!$B$30,IF(Skills!C12=2,90+Inputs!$B$27+Inputs!$B$30,IF(Skills!C12=3,120+(Inputs!$B$28+1)+Inputs!$B$30,MAX(0,(Inputs!$B$3-100)*3)+Inputs!$B$29+Inputs!$B$30)))</f>
        <v/>
      </c>
      <c r="E887">
        <f>INDEX(FactorTable!$B$2:$Y$301, MATCH(ROUND(MIN(300,MAX(1,D887)),0), FactorTable!$A$2:$A$301,0), Skills!M12+1)</f>
        <v/>
      </c>
      <c r="F887">
        <f>IF(Skills!N12=TRUE,(Skills!L12/10)*(E887/1000),Skills!L12/10)+Skills!O12</f>
        <v/>
      </c>
      <c r="G887">
        <f>Skills!G12*IF(Skills!H12&gt;0,Skills!I12/Skills!H12,1)</f>
        <v/>
      </c>
      <c r="H887">
        <f>1-(1-Skills!J12/100)^Skills!K12</f>
        <v/>
      </c>
      <c r="I887" t="inlineStr">
        <is>
          <t>1</t>
        </is>
      </c>
      <c r="J887">
        <f>((Inputs!$B$6*(1+Inputs!$B$7/100))+(((Inputs!$B$13*(1+Inputs!$B$14/100))-(Inputs!$B$13*(1+Inputs!$B$14/100)))+0.25*(Inputs!$B$15-Inputs!$B$15))*(1+Inputs!$B$7/100))*(F887/100)</f>
        <v/>
      </c>
      <c r="K887">
        <f>J887*(1+(((Inputs!$B$13+IF(Inputs!$B$3&gt;=38,(10*INDEX(FactorTable!$B$2:$Y$301, MATCH(ROUND(MIN(300,MAX(1,Inputs!$B$3)),0), FactorTable!$A$2:$A$301,0), 23)/1000)/100*(Inputs!$B$8*(1+Inputs!$B$9/100)),0))*(1+Inputs!$B$14/100))*0.01+Inputs!$B$15*0.0025)/100)*(1+Inputs!$B$16/100)*(1+Inputs!$B$17/100)*(5000/(6000+Inputs!$B$43*(1-(Inputs!$B$20+0)/100)))*(1+(Inputs!$B$25+((C900=TRUE)*(F900-Calc!F25))+((C901=TRUE)*(F901-Calc!F26))+B910)/100)*(1+0.75*IF(C886=TRUE,F886,0)/100)*(1+(IF(Skills!A12="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887)</f>
        <v/>
      </c>
      <c r="L887">
        <f>K887*(MIN(Inputs!$B$23+((C897=TRUE)*(F897-Calc!F22)),Inputs!$B$24+((C899=TRUE)*(F899-Calc!F24)))/100+(Inputs!$B$24+((C899=TRUE)*(F899-Calc!F24)))/100)/2</f>
        <v/>
      </c>
      <c r="M887">
        <f>L887*(1+(Inputs!$B$11+0+B909)/100)</f>
        <v/>
      </c>
      <c r="N887">
        <f>L887*(1-MIN((Inputs!$B$10+0+B904),100)/100)+M887*(MIN((Inputs!$B$10+0+B904),100)/100)</f>
        <v/>
      </c>
      <c r="O887">
        <f>(1-Summary!$B$55)*T887+Summary!$B$55*V887</f>
        <v/>
      </c>
      <c r="P887">
        <f>IF(B914=0,0,O887/B914)</f>
        <v/>
      </c>
      <c r="Q887">
        <f>IFERROR(1/IF(Inputs!$B$39="pvp",15,MAX(0.1,Skills!D12-IF(Skills!E12=TRUE,Inputs!$B$33,0))),0)</f>
        <v/>
      </c>
      <c r="R887">
        <f>IF(AND(Inputs!$B$39&lt;&gt;"pvp",Inputs!$B$44&gt;0),IF(MAX(0,Inputs!$B$44-B911)&lt;=0,0,(INT(MAX(0,Inputs!$B$44-B911)/IF(Inputs!$B$39="pvp",15,MAX(0.1,Skills!D12-IF(Skills!E12=TRUE,Inputs!$B$33,0))))+1)),0)</f>
        <v/>
      </c>
      <c r="S887">
        <f>IFERROR(O887/N887,0)</f>
        <v/>
      </c>
      <c r="T887">
        <f>IF(C887,(H887*N887*IF(AND(Inputs!$B$39&lt;&gt;"pvp",Inputs!$B$44&gt;0),((Skills!G12*((R887-1)*IF(Skills!H12&gt;0,Skills!I12/Skills!H12,1)+IF(Skills!H12&gt;0,MIN(Skills!I12,MAX(0,MAX(0,Inputs!$B$44-B911)-((R887-1)*IF(Inputs!$B$39="pvp",15,MAX(0.1,Skills!D12-IF(Skills!E12=TRUE,Inputs!$B$33,0))))))/Skills!H12,1)))/Inputs!$B$44),G887*Q887))*IF(Inputs!$B$39="pvp",1,1+(Inputs!$B$21+0+Skills!P12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0)</f>
        <v/>
      </c>
      <c r="V887">
        <f>IF(C887,(H887*N887*IF(AND(Inputs!$B$39&lt;&gt;"pvp",Inputs!$B$44&gt;0),((Skills!G12*((R887-1)*IF(Skills!H12&gt;0,Skills!I12/Skills!H12,1)+IF(Skills!H12&gt;0,MIN(Skills!I12,MAX(0,MAX(0,Inputs!$B$44-B911)-((R887-1)*IF(Inputs!$B$39="pvp",15,MAX(0.1,Skills!D12-IF(Skills!E12=TRUE,Inputs!$B$33,0))))))/Skills!H12,1)))/Inputs!$B$44),G887*Q887))*IF(Inputs!$B$39="pvp",1,(1+(Inputs!$B$22+Skills!Q12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100)*(MIN(Skills!R12,Inputs!$B$38))),0)</f>
        <v/>
      </c>
    </row>
    <row r="888">
      <c r="A888">
        <f>Skills!A13</f>
        <v/>
      </c>
      <c r="B888">
        <f>Skills!B13</f>
        <v/>
      </c>
      <c r="C888">
        <f>Inputs!$B$3&gt;=69</f>
        <v/>
      </c>
      <c r="D888">
        <f>IF(Skills!C13=1,60+Inputs!$B$26+Inputs!$B$30,IF(Skills!C13=2,90+Inputs!$B$27+Inputs!$B$30,IF(Skills!C13=3,120+(Inputs!$B$28+1)+Inputs!$B$30,MAX(0,(Inputs!$B$3-100)*3)+Inputs!$B$29+Inputs!$B$30)))</f>
        <v/>
      </c>
      <c r="E888">
        <f>INDEX(FactorTable!$B$2:$Y$301, MATCH(ROUND(MIN(300,MAX(1,D888)),0), FactorTable!$A$2:$A$301,0), Skills!M13+1)</f>
        <v/>
      </c>
      <c r="F888">
        <f>IF(Skills!N13=TRUE,(Skills!L13/10)*(E888/1000),Skills!L13/10)+Skills!O13</f>
        <v/>
      </c>
      <c r="G888">
        <f>Skills!G13*IF(Skills!H13&gt;0,Skills!I13/Skills!H13,1)</f>
        <v/>
      </c>
      <c r="H888">
        <f>1-(1-Skills!J13/100)^Skills!K13</f>
        <v/>
      </c>
      <c r="I888" t="inlineStr">
        <is>
          <t>1</t>
        </is>
      </c>
      <c r="J888" t="inlineStr"/>
      <c r="K888" t="inlineStr"/>
      <c r="L888" t="inlineStr"/>
      <c r="M888" t="inlineStr"/>
      <c r="N888" t="inlineStr"/>
      <c r="O888">
        <f>(1-Summary!$B$55)*T888+Summary!$B$55*V888</f>
        <v/>
      </c>
      <c r="P888">
        <f>IF(B914=0,0,O888/B914)</f>
        <v/>
      </c>
      <c r="Q888">
        <f>IFERROR(1/IF(Inputs!$B$39="pvp",15,MAX(0.1,Skills!D13-IF(Skills!E13=TRUE,Inputs!$B$33,0))),0)</f>
        <v/>
      </c>
      <c r="R888">
        <f>IF(AND(Inputs!$B$39&lt;&gt;"pvp",Inputs!$B$44&gt;0),IF(Inputs!$B$44&lt;=0,0,(INT(Inputs!$B$44/IF(Inputs!$B$39="pvp",15,MAX(0.1,Skills!D13-IF(Skills!E13=TRUE,Inputs!$B$33,0))))+1)),0)</f>
        <v/>
      </c>
      <c r="S888">
        <f>IFERROR(O888/N888,0)</f>
        <v/>
      </c>
      <c r="T888" t="n">
        <v>0</v>
      </c>
      <c r="V888" t="n">
        <v>0</v>
      </c>
    </row>
    <row r="889">
      <c r="A889">
        <f>Skills!A14</f>
        <v/>
      </c>
      <c r="B889">
        <f>Skills!B14</f>
        <v/>
      </c>
      <c r="C889">
        <f>Inputs!$B$3&gt;=115</f>
        <v/>
      </c>
      <c r="D889">
        <f>IF(Skills!C14=1,60+Inputs!$B$26+Inputs!$B$30,IF(Skills!C14=2,90+Inputs!$B$27+Inputs!$B$30,IF(Skills!C14=3,120+(Inputs!$B$28+1)+Inputs!$B$30,MAX(0,(Inputs!$B$3-100)*3)+Inputs!$B$29+Inputs!$B$30)))</f>
        <v/>
      </c>
      <c r="E889">
        <f>INDEX(FactorTable!$B$2:$Y$301, MATCH(ROUND(MIN(300,MAX(1,D889)),0), FactorTable!$A$2:$A$301,0), Skills!M14+1)</f>
        <v/>
      </c>
      <c r="F889">
        <f>IF(Skills!N14=TRUE,(Skills!L14/10)*(E889/1000),Skills!L14/10)+Skills!O14</f>
        <v/>
      </c>
      <c r="G889">
        <f>Skills!G14*IF(Skills!H14&gt;0,Skills!I14/Skills!H14,1)</f>
        <v/>
      </c>
      <c r="H889">
        <f>1-(1-Skills!J14/100)^Skills!K14</f>
        <v/>
      </c>
      <c r="I889" t="inlineStr">
        <is>
          <t>1</t>
        </is>
      </c>
      <c r="J889" t="inlineStr"/>
      <c r="K889" t="inlineStr"/>
      <c r="L889" t="inlineStr"/>
      <c r="M889" t="inlineStr"/>
      <c r="N889" t="inlineStr"/>
      <c r="O889">
        <f>(1-Summary!$B$55)*T889+Summary!$B$55*V889</f>
        <v/>
      </c>
      <c r="P889">
        <f>IF(B914=0,0,O889/B914)</f>
        <v/>
      </c>
      <c r="Q889">
        <f>IFERROR(1/IF(Inputs!$B$39="pvp",15,MAX(0.1,Skills!D14-IF(Skills!E14=TRUE,Inputs!$B$33,0))),0)</f>
        <v/>
      </c>
      <c r="R889">
        <f>IF(AND(Inputs!$B$39&lt;&gt;"pvp",Inputs!$B$44&gt;0),IF(Inputs!$B$44&lt;=0,0,(INT(Inputs!$B$44/IF(Inputs!$B$39="pvp",15,MAX(0.1,Skills!D14-IF(Skills!E14=TRUE,Inputs!$B$33,0))))+1)),0)</f>
        <v/>
      </c>
      <c r="S889">
        <f>IFERROR(O889/N889,0)</f>
        <v/>
      </c>
      <c r="T889" t="n">
        <v>0</v>
      </c>
      <c r="V889" t="n">
        <v>0</v>
      </c>
    </row>
    <row r="890">
      <c r="A890">
        <f>Skills!A15</f>
        <v/>
      </c>
      <c r="B890">
        <f>Skills!B15</f>
        <v/>
      </c>
      <c r="C890">
        <f>Inputs!$B$3&gt;=66</f>
        <v/>
      </c>
      <c r="D890">
        <f>IF(Skills!C15=1,60+Inputs!$B$26+Inputs!$B$30,IF(Skills!C15=2,90+Inputs!$B$27+Inputs!$B$30,IF(Skills!C15=3,120+(Inputs!$B$28+1)+Inputs!$B$30,MAX(0,(Inputs!$B$3-100)*3)+Inputs!$B$29+Inputs!$B$30)))</f>
        <v/>
      </c>
      <c r="E890">
        <f>INDEX(FactorTable!$B$2:$Y$301, MATCH(ROUND(MIN(300,MAX(1,D890)),0), FactorTable!$A$2:$A$301,0), Skills!M15+1)</f>
        <v/>
      </c>
      <c r="F890">
        <f>IF(Skills!N15=TRUE,(Skills!L15/10)*(E890/1000),Skills!L15/10)+Skills!O15</f>
        <v/>
      </c>
      <c r="G890">
        <f>Skills!G15*IF(Skills!H15&gt;0,Skills!I15/Skills!H15,1)</f>
        <v/>
      </c>
      <c r="H890">
        <f>1-(1-Skills!J15/100)^Skills!K15</f>
        <v/>
      </c>
      <c r="I890" t="inlineStr">
        <is>
          <t>1</t>
        </is>
      </c>
      <c r="J890" t="inlineStr"/>
      <c r="K890" t="inlineStr"/>
      <c r="L890" t="inlineStr"/>
      <c r="M890" t="inlineStr"/>
      <c r="N890" t="inlineStr"/>
      <c r="O890">
        <f>(1-Summary!$B$55)*T890+Summary!$B$55*V890</f>
        <v/>
      </c>
      <c r="P890">
        <f>IF(B914=0,0,O890/B914)</f>
        <v/>
      </c>
      <c r="Q890">
        <f>IFERROR(1/IF(Inputs!$B$39="pvp",15,MAX(0.1,Skills!D15-IF(Skills!E15=TRUE,Inputs!$B$33,0))),0)</f>
        <v/>
      </c>
      <c r="R890">
        <f>IF(AND(Inputs!$B$39&lt;&gt;"pvp",Inputs!$B$44&gt;0),IF(Inputs!$B$44&lt;=0,0,(INT(Inputs!$B$44/IF(Inputs!$B$39="pvp",15,MAX(0.1,Skills!D15-IF(Skills!E15=TRUE,Inputs!$B$33,0))))+1)),0)</f>
        <v/>
      </c>
      <c r="S890">
        <f>IFERROR(O890/N890,0)</f>
        <v/>
      </c>
      <c r="T890" t="n">
        <v>0</v>
      </c>
      <c r="V890" t="n">
        <v>0</v>
      </c>
    </row>
    <row r="891">
      <c r="A891">
        <f>Skills!A16</f>
        <v/>
      </c>
      <c r="B891">
        <f>Skills!B16</f>
        <v/>
      </c>
      <c r="C891">
        <f>Inputs!$B$3&gt;=45</f>
        <v/>
      </c>
      <c r="D891">
        <f>IF(Skills!C16=1,60+Inputs!$B$26+Inputs!$B$30,IF(Skills!C16=2,90+Inputs!$B$27+Inputs!$B$30,IF(Skills!C16=3,120+(Inputs!$B$28+1)+Inputs!$B$30,MAX(0,(Inputs!$B$3-100)*3)+Inputs!$B$29+Inputs!$B$30)))</f>
        <v/>
      </c>
      <c r="E891">
        <f>INDEX(FactorTable!$B$2:$Y$301, MATCH(ROUND(MIN(300,MAX(1,D891)),0), FactorTable!$A$2:$A$301,0), Skills!M16+1)</f>
        <v/>
      </c>
      <c r="F891">
        <f>IF(Skills!N16=TRUE,(Skills!L16/10)*(E891/1000),Skills!L16/10)+Skills!O16</f>
        <v/>
      </c>
      <c r="G891">
        <f>Skills!G16*IF(Skills!H16&gt;0,Skills!I16/Skills!H16,1)</f>
        <v/>
      </c>
      <c r="H891">
        <f>1-(1-Skills!J16/100)^Skills!K16</f>
        <v/>
      </c>
      <c r="I891" t="inlineStr">
        <is>
          <t>1</t>
        </is>
      </c>
      <c r="J891" t="inlineStr"/>
      <c r="K891" t="inlineStr"/>
      <c r="L891" t="inlineStr"/>
      <c r="M891" t="inlineStr"/>
      <c r="N891" t="inlineStr"/>
      <c r="O891">
        <f>(1-Summary!$B$55)*T891+Summary!$B$55*V891</f>
        <v/>
      </c>
      <c r="P891">
        <f>IF(B914=0,0,O891/B914)</f>
        <v/>
      </c>
      <c r="Q891">
        <f>IFERROR(1/IF(Inputs!$B$39="pvp",15,MAX(0.1,Skills!D16-IF(Skills!E16=TRUE,Inputs!$B$33,0))),0)</f>
        <v/>
      </c>
      <c r="R891">
        <f>IF(AND(Inputs!$B$39&lt;&gt;"pvp",Inputs!$B$44&gt;0),IF(Inputs!$B$44&lt;=0,0,(INT(Inputs!$B$44/IF(Inputs!$B$39="pvp",15,MAX(0.1,Skills!D16-IF(Skills!E16=TRUE,Inputs!$B$33,0))))+1)),0)</f>
        <v/>
      </c>
      <c r="S891">
        <f>IFERROR(O891/N891,0)</f>
        <v/>
      </c>
      <c r="T891" t="n">
        <v>0</v>
      </c>
      <c r="V891" t="n">
        <v>0</v>
      </c>
    </row>
    <row r="892">
      <c r="A892">
        <f>Skills!A17</f>
        <v/>
      </c>
      <c r="B892">
        <f>Skills!B17</f>
        <v/>
      </c>
      <c r="C892">
        <f>Inputs!$B$3&gt;=35</f>
        <v/>
      </c>
      <c r="D892">
        <f>IF(Skills!C17=1,60+Inputs!$B$26+Inputs!$B$30,IF(Skills!C17=2,90+Inputs!$B$27+Inputs!$B$30,IF(Skills!C17=3,120+(Inputs!$B$28+1)+Inputs!$B$30,MAX(0,(Inputs!$B$3-100)*3)+Inputs!$B$29+Inputs!$B$30)))</f>
        <v/>
      </c>
      <c r="E892">
        <f>INDEX(FactorTable!$B$2:$Y$301, MATCH(ROUND(MIN(300,MAX(1,D892)),0), FactorTable!$A$2:$A$301,0), Skills!M17+1)</f>
        <v/>
      </c>
      <c r="F892">
        <f>IF(Skills!N17=TRUE,(Skills!L17/10)*(E892/1000),Skills!L17/10)+Skills!O17</f>
        <v/>
      </c>
      <c r="G892">
        <f>Skills!G17*IF(Skills!H17&gt;0,Skills!I17/Skills!H17,1)</f>
        <v/>
      </c>
      <c r="H892">
        <f>1-(1-Skills!J17/100)^Skills!K17</f>
        <v/>
      </c>
      <c r="I892" t="inlineStr">
        <is>
          <t>1</t>
        </is>
      </c>
      <c r="J892" t="inlineStr"/>
      <c r="K892" t="inlineStr"/>
      <c r="L892" t="inlineStr"/>
      <c r="M892" t="inlineStr"/>
      <c r="N892" t="inlineStr"/>
      <c r="O892">
        <f>(1-Summary!$B$55)*T892+Summary!$B$55*V892</f>
        <v/>
      </c>
      <c r="P892">
        <f>IF(B914=0,0,O892/B914)</f>
        <v/>
      </c>
      <c r="Q892">
        <f>IFERROR(1/IF(Inputs!$B$39="pvp",15,MAX(0.1,Skills!D17-IF(Skills!E17=TRUE,Inputs!$B$33,0))),0)</f>
        <v/>
      </c>
      <c r="R892">
        <f>IF(AND(Inputs!$B$39&lt;&gt;"pvp",Inputs!$B$44&gt;0),IF(Inputs!$B$44&lt;=0,0,(INT(Inputs!$B$44/IF(Inputs!$B$39="pvp",15,MAX(0.1,Skills!D17-IF(Skills!E17=TRUE,Inputs!$B$33,0))))+1)),0)</f>
        <v/>
      </c>
      <c r="S892">
        <f>IFERROR(O892/N892,0)</f>
        <v/>
      </c>
      <c r="T892" t="n">
        <v>0</v>
      </c>
      <c r="V892" t="n">
        <v>0</v>
      </c>
    </row>
    <row r="893">
      <c r="A893">
        <f>Skills!A18</f>
        <v/>
      </c>
      <c r="B893">
        <f>Skills!B18</f>
        <v/>
      </c>
      <c r="C893">
        <f>Inputs!$B$3&gt;=72</f>
        <v/>
      </c>
      <c r="D893">
        <f>IF(Skills!C18=1,60+Inputs!$B$26+Inputs!$B$30,IF(Skills!C18=2,90+Inputs!$B$27+Inputs!$B$30,IF(Skills!C18=3,120+(Inputs!$B$28+1)+Inputs!$B$30,MAX(0,(Inputs!$B$3-100)*3)+Inputs!$B$29+Inputs!$B$30)))</f>
        <v/>
      </c>
      <c r="E893">
        <f>INDEX(FactorTable!$B$2:$Y$301, MATCH(ROUND(MIN(300,MAX(1,D893)),0), FactorTable!$A$2:$A$301,0), Skills!M18+1)</f>
        <v/>
      </c>
      <c r="F893">
        <f>IF(Skills!N18=TRUE,(Skills!L18/10)*(E893/1000),Skills!L18/10)+Skills!O18</f>
        <v/>
      </c>
      <c r="G893">
        <f>Skills!G18*IF(Skills!H18&gt;0,Skills!I18/Skills!H18,1)</f>
        <v/>
      </c>
      <c r="H893">
        <f>1-(1-Skills!J18/100)^Skills!K18</f>
        <v/>
      </c>
      <c r="I893" t="inlineStr">
        <is>
          <t>1</t>
        </is>
      </c>
      <c r="J893" t="inlineStr"/>
      <c r="K893" t="inlineStr"/>
      <c r="L893" t="inlineStr"/>
      <c r="M893" t="inlineStr"/>
      <c r="N893" t="inlineStr"/>
      <c r="O893">
        <f>(1-Summary!$B$55)*T893+Summary!$B$55*V893</f>
        <v/>
      </c>
      <c r="P893">
        <f>IF(B914=0,0,O893/B914)</f>
        <v/>
      </c>
      <c r="Q893">
        <f>IFERROR(1/IF(Inputs!$B$39="pvp",15,MAX(0.1,Skills!D18-IF(Skills!E18=TRUE,Inputs!$B$33,0))),0)</f>
        <v/>
      </c>
      <c r="R893">
        <f>IF(AND(Inputs!$B$39&lt;&gt;"pvp",Inputs!$B$44&gt;0),IF(Inputs!$B$44&lt;=0,0,(INT(Inputs!$B$44/IF(Inputs!$B$39="pvp",15,MAX(0.1,Skills!D18-IF(Skills!E18=TRUE,Inputs!$B$33,0))))+1)),0)</f>
        <v/>
      </c>
      <c r="S893">
        <f>IFERROR(O893/N893,0)</f>
        <v/>
      </c>
      <c r="T893" t="n">
        <v>0</v>
      </c>
      <c r="V893" t="n">
        <v>0</v>
      </c>
    </row>
    <row r="894">
      <c r="A894">
        <f>Skills!A19</f>
        <v/>
      </c>
      <c r="B894">
        <f>Skills!B19</f>
        <v/>
      </c>
      <c r="C894">
        <f>Inputs!$B$3&gt;=72</f>
        <v/>
      </c>
      <c r="D894">
        <f>IF(Skills!C19=1,60+Inputs!$B$26+Inputs!$B$30,IF(Skills!C19=2,90+Inputs!$B$27+Inputs!$B$30,IF(Skills!C19=3,120+(Inputs!$B$28+1)+Inputs!$B$30,MAX(0,(Inputs!$B$3-100)*3)+Inputs!$B$29+Inputs!$B$30)))</f>
        <v/>
      </c>
      <c r="E894">
        <f>INDEX(FactorTable!$B$2:$Y$301, MATCH(ROUND(MIN(300,MAX(1,D894)),0), FactorTable!$A$2:$A$301,0), Skills!M19+1)</f>
        <v/>
      </c>
      <c r="F894">
        <f>IF(Skills!N19=TRUE,(Skills!L19/10)*(E894/1000),Skills!L19/10)+Skills!O19</f>
        <v/>
      </c>
      <c r="G894">
        <f>Skills!G19*IF(Skills!H19&gt;0,Skills!I19/Skills!H19,1)</f>
        <v/>
      </c>
      <c r="H894">
        <f>1-(1-Skills!J19/100)^Skills!K19</f>
        <v/>
      </c>
      <c r="I894" t="inlineStr">
        <is>
          <t>1</t>
        </is>
      </c>
      <c r="J894" t="inlineStr"/>
      <c r="K894" t="inlineStr"/>
      <c r="L894" t="inlineStr"/>
      <c r="M894" t="inlineStr"/>
      <c r="N894" t="inlineStr"/>
      <c r="O894">
        <f>(1-Summary!$B$55)*T894+Summary!$B$55*V894</f>
        <v/>
      </c>
      <c r="P894">
        <f>IF(B914=0,0,O894/B914)</f>
        <v/>
      </c>
      <c r="Q894">
        <f>IFERROR(1/IF(Inputs!$B$39="pvp",15,MAX(0.1,Skills!D19-IF(Skills!E19=TRUE,Inputs!$B$33,0))),0)</f>
        <v/>
      </c>
      <c r="R894">
        <f>IF(AND(Inputs!$B$39&lt;&gt;"pvp",Inputs!$B$44&gt;0),IF(Inputs!$B$44&lt;=0,0,(INT(Inputs!$B$44/IF(Inputs!$B$39="pvp",15,MAX(0.1,Skills!D19-IF(Skills!E19=TRUE,Inputs!$B$33,0))))+1)),0)</f>
        <v/>
      </c>
      <c r="S894">
        <f>IFERROR(O894/N894,0)</f>
        <v/>
      </c>
      <c r="T894" t="n">
        <v>0</v>
      </c>
      <c r="V894" t="n">
        <v>0</v>
      </c>
    </row>
    <row r="895">
      <c r="A895">
        <f>Skills!A20</f>
        <v/>
      </c>
      <c r="B895">
        <f>Skills!B20</f>
        <v/>
      </c>
      <c r="C895">
        <f>TRUE</f>
        <v/>
      </c>
      <c r="D895">
        <f>IF(Skills!C20=1,60+Inputs!$B$26+Inputs!$B$30,IF(Skills!C20=2,90+Inputs!$B$27+Inputs!$B$30,IF(Skills!C20=3,120+(Inputs!$B$28+1)+Inputs!$B$30,MAX(0,(Inputs!$B$3-100)*3)+Inputs!$B$29+Inputs!$B$30)))</f>
        <v/>
      </c>
      <c r="E895">
        <f>INDEX(FactorTable!$B$2:$Y$301, MATCH(ROUND(MIN(300,MAX(1,D895)),0), FactorTable!$A$2:$A$301,0), Skills!M20+1)</f>
        <v/>
      </c>
      <c r="F895">
        <f>IF(Skills!N20=TRUE,(Skills!L20/10)*(E895/1000),Skills!L20/10)+Skills!O20</f>
        <v/>
      </c>
      <c r="G895">
        <f>Skills!G20*IF(Skills!H20&gt;0,Skills!I20/Skills!H20,1)</f>
        <v/>
      </c>
      <c r="H895">
        <f>1-(1-Skills!J20/100)^Skills!K20</f>
        <v/>
      </c>
      <c r="I895" t="inlineStr">
        <is>
          <t>1</t>
        </is>
      </c>
      <c r="J895" t="inlineStr"/>
      <c r="K895" t="inlineStr"/>
      <c r="L895" t="inlineStr"/>
      <c r="M895" t="inlineStr"/>
      <c r="N895" t="inlineStr"/>
      <c r="O895">
        <f>(1-Summary!$B$55)*T895+Summary!$B$55*V895</f>
        <v/>
      </c>
      <c r="P895">
        <f>IF(B914=0,0,O895/B914)</f>
        <v/>
      </c>
      <c r="Q895">
        <f>IFERROR(1/IF(Inputs!$B$39="pvp",15,MAX(0.1,Skills!D20-IF(Skills!E20=TRUE,Inputs!$B$33,0))),0)</f>
        <v/>
      </c>
      <c r="R895">
        <f>IF(AND(Inputs!$B$39&lt;&gt;"pvp",Inputs!$B$44&gt;0),IF(Inputs!$B$44&lt;=0,0,(INT(Inputs!$B$44/IF(Inputs!$B$39="pvp",15,MAX(0.1,Skills!D20-IF(Skills!E20=TRUE,Inputs!$B$33,0))))+1)),0)</f>
        <v/>
      </c>
      <c r="S895">
        <f>IFERROR(O895/N895,0)</f>
        <v/>
      </c>
      <c r="T895" t="n">
        <v>0</v>
      </c>
      <c r="V895" t="n">
        <v>0</v>
      </c>
    </row>
    <row r="896">
      <c r="A896">
        <f>Skills!A21</f>
        <v/>
      </c>
      <c r="B896">
        <f>Skills!B21</f>
        <v/>
      </c>
      <c r="C896">
        <f>Inputs!$B$3&gt;=33</f>
        <v/>
      </c>
      <c r="D896">
        <f>IF(Skills!C21=1,60+Inputs!$B$26+Inputs!$B$30,IF(Skills!C21=2,90+Inputs!$B$27+Inputs!$B$30,IF(Skills!C21=3,120+(Inputs!$B$28+1)+Inputs!$B$30,MAX(0,(Inputs!$B$3-100)*3)+Inputs!$B$29+Inputs!$B$30)))</f>
        <v/>
      </c>
      <c r="E896">
        <f>INDEX(FactorTable!$B$2:$Y$301, MATCH(ROUND(MIN(300,MAX(1,D896)),0), FactorTable!$A$2:$A$301,0), Skills!M21+1)</f>
        <v/>
      </c>
      <c r="F896">
        <f>IF(Skills!N21=TRUE,(Skills!L21/10)*(E896/1000),Skills!L21/10)+Skills!O21</f>
        <v/>
      </c>
      <c r="G896">
        <f>Skills!G21*IF(Skills!H21&gt;0,Skills!I21/Skills!H21,1)</f>
        <v/>
      </c>
      <c r="H896">
        <f>1-(1-Skills!J21/100)^Skills!K21</f>
        <v/>
      </c>
      <c r="I896" t="inlineStr">
        <is>
          <t>1</t>
        </is>
      </c>
      <c r="J896" t="inlineStr"/>
      <c r="K896" t="inlineStr"/>
      <c r="L896" t="inlineStr"/>
      <c r="M896" t="inlineStr"/>
      <c r="N896" t="inlineStr"/>
      <c r="O896">
        <f>(1-Summary!$B$55)*T896+Summary!$B$55*V896</f>
        <v/>
      </c>
      <c r="P896">
        <f>IF(B914=0,0,O896/B914)</f>
        <v/>
      </c>
      <c r="Q896" t="n">
        <v>0</v>
      </c>
      <c r="R896" t="n">
        <v>0</v>
      </c>
      <c r="S896">
        <f>IFERROR(O896/N896,0)</f>
        <v/>
      </c>
      <c r="T896" t="n">
        <v>0</v>
      </c>
      <c r="V896" t="n">
        <v>0</v>
      </c>
    </row>
    <row r="897">
      <c r="A897">
        <f>Skills!A22</f>
        <v/>
      </c>
      <c r="B897">
        <f>Skills!B22</f>
        <v/>
      </c>
      <c r="C897">
        <f>Inputs!$B$3&gt;=43</f>
        <v/>
      </c>
      <c r="D897">
        <f>IF(Skills!C22=1,60+Inputs!$B$26+Inputs!$B$30,IF(Skills!C22=2,90+Inputs!$B$27+Inputs!$B$30,IF(Skills!C22=3,120+(Inputs!$B$28+1)+Inputs!$B$30,MAX(0,(Inputs!$B$3-100)*3)+Inputs!$B$29+Inputs!$B$30)))</f>
        <v/>
      </c>
      <c r="E897">
        <f>INDEX(FactorTable!$B$2:$Y$301, MATCH(ROUND(MIN(300,MAX(1,D897)),0), FactorTable!$A$2:$A$301,0), Skills!M22+1)</f>
        <v/>
      </c>
      <c r="F897">
        <f>IF(Skills!N22=TRUE,(Skills!L22/10)*(E897/1000),Skills!L22/10)+Skills!O22</f>
        <v/>
      </c>
      <c r="G897">
        <f>Skills!G22*IF(Skills!H22&gt;0,Skills!I22/Skills!H22,1)</f>
        <v/>
      </c>
      <c r="H897">
        <f>1-(1-Skills!J22/100)^Skills!K22</f>
        <v/>
      </c>
      <c r="I897" t="inlineStr">
        <is>
          <t>1</t>
        </is>
      </c>
      <c r="J897" t="inlineStr"/>
      <c r="K897" t="inlineStr"/>
      <c r="L897" t="inlineStr"/>
      <c r="M897" t="inlineStr"/>
      <c r="N897" t="inlineStr"/>
      <c r="O897">
        <f>(1-Summary!$B$55)*T897+Summary!$B$55*V897</f>
        <v/>
      </c>
      <c r="P897">
        <f>IF(B914=0,0,O897/B914)</f>
        <v/>
      </c>
      <c r="Q897" t="n">
        <v>0</v>
      </c>
      <c r="R897" t="n">
        <v>0</v>
      </c>
      <c r="S897">
        <f>IFERROR(O897/N897,0)</f>
        <v/>
      </c>
      <c r="T897" t="n">
        <v>0</v>
      </c>
      <c r="V897" t="n">
        <v>0</v>
      </c>
    </row>
    <row r="898">
      <c r="A898">
        <f>Skills!A23</f>
        <v/>
      </c>
      <c r="B898">
        <f>Skills!B23</f>
        <v/>
      </c>
      <c r="C898">
        <f>Inputs!$B$3&gt;=120</f>
        <v/>
      </c>
      <c r="D898">
        <f>IF(Skills!C23=1,60+Inputs!$B$26+Inputs!$B$30,IF(Skills!C23=2,90+Inputs!$B$27+Inputs!$B$30,IF(Skills!C23=3,120+(Inputs!$B$28+1)+Inputs!$B$30,MAX(0,(Inputs!$B$3-100)*3)+Inputs!$B$29+Inputs!$B$30)))</f>
        <v/>
      </c>
      <c r="E898">
        <f>INDEX(FactorTable!$B$2:$Y$301, MATCH(ROUND(MIN(300,MAX(1,D898)),0), FactorTable!$A$2:$A$301,0), Skills!M23+1)</f>
        <v/>
      </c>
      <c r="F898">
        <f>IF(Skills!N23=TRUE,(Skills!L23/10)*(E898/1000),Skills!L23/10)+Skills!O23</f>
        <v/>
      </c>
      <c r="G898">
        <f>Skills!G23*IF(Skills!H23&gt;0,Skills!I23/Skills!H23,1)</f>
        <v/>
      </c>
      <c r="H898">
        <f>1-(1-Skills!J23/100)^Skills!K23</f>
        <v/>
      </c>
      <c r="I898" t="inlineStr">
        <is>
          <t>1</t>
        </is>
      </c>
      <c r="J898" t="inlineStr"/>
      <c r="K898" t="inlineStr"/>
      <c r="L898" t="inlineStr"/>
      <c r="M898" t="inlineStr"/>
      <c r="N898" t="inlineStr"/>
      <c r="O898">
        <f>(1-Summary!$B$55)*T898+Summary!$B$55*V898</f>
        <v/>
      </c>
      <c r="P898">
        <f>IF(B914=0,0,O898/B914)</f>
        <v/>
      </c>
      <c r="Q898" t="n">
        <v>0</v>
      </c>
      <c r="R898" t="n">
        <v>0</v>
      </c>
      <c r="S898">
        <f>IFERROR(O898/N898,0)</f>
        <v/>
      </c>
      <c r="T898" t="n">
        <v>0</v>
      </c>
      <c r="V898" t="n">
        <v>0</v>
      </c>
    </row>
    <row r="899">
      <c r="A899">
        <f>Skills!A24</f>
        <v/>
      </c>
      <c r="B899">
        <f>Skills!B24</f>
        <v/>
      </c>
      <c r="C899">
        <f>Inputs!$B$3&gt;=120</f>
        <v/>
      </c>
      <c r="D899">
        <f>IF(Skills!C24=1,60+Inputs!$B$26+Inputs!$B$30,IF(Skills!C24=2,90+Inputs!$B$27+Inputs!$B$30,IF(Skills!C24=3,120+(Inputs!$B$28+1)+Inputs!$B$30,MAX(0,(Inputs!$B$3-100)*3)+Inputs!$B$29+Inputs!$B$30)))</f>
        <v/>
      </c>
      <c r="E899">
        <f>INDEX(FactorTable!$B$2:$Y$301, MATCH(ROUND(MIN(300,MAX(1,D899)),0), FactorTable!$A$2:$A$301,0), Skills!M24+1)</f>
        <v/>
      </c>
      <c r="F899">
        <f>IF(Skills!N24=TRUE,(Skills!L24/10)*(E899/1000),Skills!L24/10)+Skills!O24</f>
        <v/>
      </c>
      <c r="G899">
        <f>Skills!G24*IF(Skills!H24&gt;0,Skills!I24/Skills!H24,1)</f>
        <v/>
      </c>
      <c r="H899">
        <f>1-(1-Skills!J24/100)^Skills!K24</f>
        <v/>
      </c>
      <c r="I899" t="inlineStr">
        <is>
          <t>1</t>
        </is>
      </c>
      <c r="J899" t="inlineStr"/>
      <c r="K899" t="inlineStr"/>
      <c r="L899" t="inlineStr"/>
      <c r="M899" t="inlineStr"/>
      <c r="N899" t="inlineStr"/>
      <c r="O899">
        <f>(1-Summary!$B$55)*T899+Summary!$B$55*V899</f>
        <v/>
      </c>
      <c r="P899">
        <f>IF(B914=0,0,O899/B914)</f>
        <v/>
      </c>
      <c r="Q899" t="n">
        <v>0</v>
      </c>
      <c r="R899" t="n">
        <v>0</v>
      </c>
      <c r="S899">
        <f>IFERROR(O899/N899,0)</f>
        <v/>
      </c>
      <c r="T899" t="n">
        <v>0</v>
      </c>
      <c r="V899" t="n">
        <v>0</v>
      </c>
    </row>
    <row r="900">
      <c r="A900">
        <f>Skills!A25</f>
        <v/>
      </c>
      <c r="B900">
        <f>Skills!B25</f>
        <v/>
      </c>
      <c r="C900">
        <f>Inputs!$B$3&gt;=125</f>
        <v/>
      </c>
      <c r="D900">
        <f>IF(Skills!C25=1,60+Inputs!$B$26+Inputs!$B$30,IF(Skills!C25=2,90+Inputs!$B$27+Inputs!$B$30,IF(Skills!C25=3,120+(Inputs!$B$28+1)+Inputs!$B$30,MAX(0,(Inputs!$B$3-100)*3)+Inputs!$B$29+Inputs!$B$30)))</f>
        <v/>
      </c>
      <c r="E900">
        <f>INDEX(FactorTable!$B$2:$Y$301, MATCH(ROUND(MIN(300,MAX(1,D900)),0), FactorTable!$A$2:$A$301,0), Skills!M25+1)</f>
        <v/>
      </c>
      <c r="F900">
        <f>IF(Skills!N25=TRUE,(Skills!L25/10)*(E900/1000),Skills!L25/10)+Skills!O25</f>
        <v/>
      </c>
      <c r="G900">
        <f>Skills!G25*IF(Skills!H25&gt;0,Skills!I25/Skills!H25,1)</f>
        <v/>
      </c>
      <c r="H900">
        <f>1-(1-Skills!J25/100)^Skills!K25</f>
        <v/>
      </c>
      <c r="I900" t="inlineStr">
        <is>
          <t>1</t>
        </is>
      </c>
      <c r="J900" t="inlineStr"/>
      <c r="K900" t="inlineStr"/>
      <c r="L900" t="inlineStr"/>
      <c r="M900" t="inlineStr"/>
      <c r="N900" t="inlineStr"/>
      <c r="O900">
        <f>(1-Summary!$B$55)*T900+Summary!$B$55*V900</f>
        <v/>
      </c>
      <c r="P900">
        <f>IF(B914=0,0,O900/B914)</f>
        <v/>
      </c>
      <c r="Q900" t="n">
        <v>0</v>
      </c>
      <c r="R900" t="n">
        <v>0</v>
      </c>
      <c r="S900">
        <f>IFERROR(O900/N900,0)</f>
        <v/>
      </c>
      <c r="T900" t="n">
        <v>0</v>
      </c>
      <c r="V900" t="n">
        <v>0</v>
      </c>
    </row>
    <row r="901">
      <c r="A901">
        <f>Skills!A26</f>
        <v/>
      </c>
      <c r="B901">
        <f>Skills!B26</f>
        <v/>
      </c>
      <c r="C901">
        <f>Inputs!$B$3&gt;=107</f>
        <v/>
      </c>
      <c r="D901">
        <f>IF(Skills!C26=1,60+Inputs!$B$26+Inputs!$B$30,IF(Skills!C26=2,90+Inputs!$B$27+Inputs!$B$30,IF(Skills!C26=3,120+(Inputs!$B$28+1)+Inputs!$B$30,MAX(0,(Inputs!$B$3-100)*3)+Inputs!$B$29+Inputs!$B$30)))</f>
        <v/>
      </c>
      <c r="E901">
        <f>INDEX(FactorTable!$B$2:$Y$301, MATCH(ROUND(MIN(300,MAX(1,D901)),0), FactorTable!$A$2:$A$301,0), Skills!M26+1)</f>
        <v/>
      </c>
      <c r="F901">
        <f>IF(Skills!N26=TRUE,(Skills!L26/10)*(E901/1000),Skills!L26/10)+Skills!O26</f>
        <v/>
      </c>
      <c r="G901">
        <f>Skills!G26*IF(Skills!H26&gt;0,Skills!I26/Skills!H26,1)</f>
        <v/>
      </c>
      <c r="H901">
        <f>1-(1-Skills!J26/100)^Skills!K26</f>
        <v/>
      </c>
      <c r="I901" t="inlineStr">
        <is>
          <t>1</t>
        </is>
      </c>
      <c r="J901" t="inlineStr"/>
      <c r="K901" t="inlineStr"/>
      <c r="L901" t="inlineStr"/>
      <c r="M901" t="inlineStr"/>
      <c r="N901" t="inlineStr"/>
      <c r="O901">
        <f>(1-Summary!$B$55)*T901+Summary!$B$55*V901</f>
        <v/>
      </c>
      <c r="P901">
        <f>IF(B914=0,0,O901/B914)</f>
        <v/>
      </c>
      <c r="Q901" t="n">
        <v>0</v>
      </c>
      <c r="R901" t="n">
        <v>0</v>
      </c>
      <c r="S901">
        <f>IFERROR(O901/N901,0)</f>
        <v/>
      </c>
      <c r="T901" t="n">
        <v>0</v>
      </c>
      <c r="V901" t="n">
        <v>0</v>
      </c>
    </row>
    <row r="903">
      <c r="A903" t="inlineStr">
        <is>
          <t>Attack% Bucket Multiplier</t>
        </is>
      </c>
      <c r="B903">
        <f>(1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f>
        <v/>
      </c>
    </row>
    <row r="904">
      <c r="A904" t="inlineStr">
        <is>
          <t>Global Crit Rate Bonus % (Lord of Darkness)</t>
        </is>
      </c>
      <c r="B904">
        <f>((C893=TRUE)*F893*(Skills!J18/100)*IF(AND(Inputs!$B$39&lt;&gt;"pvp",Inputs!$B$44&gt;0),(((R893-1)*(Skills!T18*(1+Inputs!$B$35/100))+MIN((Skills!T18*(1+Inputs!$B$35/100)),MAX(0,Inputs!$B$44-((R893-1)*Skills!D18))))/Inputs!$B$44),IF(Inputs!$B$39="pvp",MIN((Skills!T18*(1+Inputs!$B$35/100)),15)/15,(Skills!T18*(1+Inputs!$B$35/100))/Skills!D18)))</f>
        <v/>
      </c>
    </row>
    <row r="905">
      <c r="A905" t="inlineStr">
        <is>
          <t>Attack Speed Buff Bonus %</t>
        </is>
      </c>
      <c r="B905">
        <f>((C895=TRUE)*F895*IF(AND(Inputs!$B$39&lt;&gt;"pvp",Inputs!$B$44&gt;0),(((R895-1)*(Skills!T20*(1+Inputs!$B$35/100))+MIN((Skills!T20*(1+Inputs!$B$35/100)),MAX(0,Inputs!$B$44-((R895-1)*Skills!D20))))/Inputs!$B$44),IF(Inputs!$B$39="pvp",MIN((Skills!T20*(1+Inputs!$B$35/100)),15)/15,(Skills!T20*(1+Inputs!$B$35/100))/Skills!D20)))</f>
        <v/>
      </c>
    </row>
    <row r="906">
      <c r="A906" t="inlineStr">
        <is>
          <t>Actions Per Second</t>
        </is>
      </c>
      <c r="B906">
        <f>1+MIN(150,150*(1-(1-(Inputs!$B$12+((C896=TRUE)*(F896-Calc!F21)))/150)*(1-B905/150)))/100</f>
        <v/>
      </c>
    </row>
    <row r="907">
      <c r="A907" t="inlineStr">
        <is>
          <t>Skill + Buff Cast Rate</t>
        </is>
      </c>
      <c r="B907">
        <f>IF(AND(Inputs!$B$39&lt;&gt;"pvp",Inputs!$B$44&gt;0),SUMPRODUCT((Skills!E2:E26=TRUE)*(C877:C901=TRUE)*R877:R901*Skills!F2:F26)/Inputs!$B$44,SUMPRODUCT((Skills!E2:E26=TRUE)*(C877:C901=TRUE)*Q877:Q901*Skills!F2:F26))</f>
        <v/>
      </c>
    </row>
    <row r="908">
      <c r="A908" t="inlineStr">
        <is>
          <t>Dark Impale Casts Per Second</t>
        </is>
      </c>
      <c r="B908">
        <f>MAX(0,B906-B907)</f>
        <v/>
      </c>
    </row>
    <row r="909">
      <c r="A909" t="inlineStr">
        <is>
          <t>Global Critical Damage Bonus % (Lord of Darkness)</t>
        </is>
      </c>
      <c r="B909">
        <f>((C894=TRUE)*F894*(Skills!J19/100)*IF(AND(Inputs!$B$39&lt;&gt;"pvp",Inputs!$B$44&gt;0),(((R894-1)*(Skills!T19*(1+Inputs!$B$35/100))+MIN((Skills!T19*(1+Inputs!$B$35/100)),MAX(0,Inputs!$B$44-((R894-1)*Skills!D19))))/Inputs!$B$44),IF(Inputs!$B$39="pvp",MIN((Skills!T19*(1+Inputs!$B$35/100)),15)/15,(Skills!T19*(1+Inputs!$B$35/100))/Skills!D19)))</f>
        <v/>
      </c>
    </row>
    <row r="910">
      <c r="A910" t="inlineStr">
        <is>
          <t>Global Final Damage Bonus % (unused)</t>
        </is>
      </c>
      <c r="B910" t="n">
        <v>0</v>
      </c>
    </row>
    <row r="911">
      <c r="A911" t="inlineStr">
        <is>
          <t>Buff-Casting Startup Delay (s, fixed-duration only)</t>
        </is>
      </c>
      <c r="B911">
        <f>IF(AND(Inputs!$B$39&lt;&gt;"pvp",Inputs!$B$44&gt;0),SUMPRODUCT((Skills!T2:T26&gt;0)*(Skills!E2:E26=TRUE)*(C877:C901=TRUE))/B906,0)</f>
        <v/>
      </c>
    </row>
    <row r="912">
      <c r="A912" t="inlineStr">
        <is>
          <t>Boss-Only Total DPS (this block's swept value)</t>
        </is>
      </c>
      <c r="B912">
        <f>SUM(T877:T901)</f>
        <v/>
      </c>
    </row>
    <row r="913">
      <c r="A913" t="inlineStr">
        <is>
          <t>Normal-Only Total DPS (this block's swept value)</t>
        </is>
      </c>
      <c r="B913">
        <f>SUM(V877:V901)</f>
        <v/>
      </c>
    </row>
    <row r="914">
      <c r="A914" s="5" t="inlineStr">
        <is>
          <t>TOTAL DPS</t>
        </is>
      </c>
      <c r="B914" s="5">
        <f>SUM(O877:O901)</f>
        <v/>
      </c>
    </row>
    <row r="917">
      <c r="A917" s="5" t="inlineStr">
        <is>
          <t>Stat: Skill Level Bonus — 4th Job</t>
        </is>
      </c>
    </row>
    <row r="918">
      <c r="A918" s="9" t="inlineStr">
        <is>
          <t>Key</t>
        </is>
      </c>
      <c r="B918" s="9" t="inlineStr">
        <is>
          <t>Name</t>
        </is>
      </c>
      <c r="C918" s="9" t="inlineStr">
        <is>
          <t>Unlocked</t>
        </is>
      </c>
      <c r="D918" s="9" t="inlineStr">
        <is>
          <t>InputLevel</t>
        </is>
      </c>
      <c r="E918" s="9" t="inlineStr">
        <is>
          <t>Factor</t>
        </is>
      </c>
      <c r="F918" s="9" t="inlineStr">
        <is>
          <t>CoefficientPercent</t>
        </is>
      </c>
      <c r="G918" s="9" t="inlineStr">
        <is>
          <t>EffectiveHits</t>
        </is>
      </c>
      <c r="H918" s="9" t="inlineStr">
        <is>
          <t>ProcProbability</t>
        </is>
      </c>
      <c r="I918" s="9" t="inlineStr">
        <is>
          <t>MapleHeroMultiplier</t>
        </is>
      </c>
      <c r="J918" s="9" t="inlineStr">
        <is>
          <t>BaseDamage</t>
        </is>
      </c>
      <c r="K918" s="9" t="inlineStr">
        <is>
          <t>BaseHitDamage</t>
        </is>
      </c>
      <c r="L918" s="9" t="inlineStr">
        <is>
          <t>NonCritAvg</t>
        </is>
      </c>
      <c r="M918" s="9" t="inlineStr">
        <is>
          <t>CritAvg</t>
        </is>
      </c>
      <c r="N918" s="9" t="inlineStr">
        <is>
          <t>ExpectedDamage(perHit)</t>
        </is>
      </c>
      <c r="O918" s="9" t="inlineStr">
        <is>
          <t>DPS</t>
        </is>
      </c>
      <c r="P918" s="9" t="inlineStr">
        <is>
          <t>% of Total</t>
        </is>
      </c>
      <c r="Q918" s="9" t="inlineStr">
        <is>
          <t>InvCooldown</t>
        </is>
      </c>
      <c r="R918" s="9" t="inlineStr">
        <is>
          <t>CastsInFight</t>
        </is>
      </c>
      <c r="S918" s="9" t="inlineStr">
        <is>
          <t>HitRate(perSec)</t>
        </is>
      </c>
      <c r="U918" t="inlineStr">
        <is>
          <t>helpers</t>
        </is>
      </c>
    </row>
    <row r="919">
      <c r="A919">
        <f>Skills!A2</f>
        <v/>
      </c>
      <c r="B919">
        <f>Skills!B2</f>
        <v/>
      </c>
      <c r="C919">
        <f>Inputs!$B$3&gt;=100</f>
        <v/>
      </c>
      <c r="D919" t="inlineStr"/>
      <c r="E919" t="inlineStr"/>
      <c r="F919">
        <f>U921+Skills!O2</f>
        <v/>
      </c>
      <c r="G919">
        <f>Skills!G2*IF(Skills!H2&gt;0,Skills!I2/Skills!H2,1)</f>
        <v/>
      </c>
      <c r="H919">
        <f>1-(1-Skills!J2/100)^Skills!K2</f>
        <v/>
      </c>
      <c r="I919" t="inlineStr">
        <is>
          <t>1</t>
        </is>
      </c>
      <c r="J919">
        <f>((Inputs!$B$6*(1+Inputs!$B$7/100))+(((Inputs!$B$13*(1+Inputs!$B$14/100))-(Inputs!$B$13*(1+Inputs!$B$14/100)))+0.25*(Inputs!$B$15-Inputs!$B$15))*(1+Inputs!$B$7/100))*(F919/100)</f>
        <v/>
      </c>
      <c r="K919">
        <f>J919*(1+(((Inputs!$B$13+IF(Inputs!$B$3&gt;=38,(10*INDEX(FactorTable!$B$2:$Y$301, MATCH(ROUND(MIN(300,MAX(1,Inputs!$B$3)),0), FactorTable!$A$2:$A$301,0), 23)/1000)/100*(Inputs!$B$8*(1+Inputs!$B$9/100)),0))*(1+Inputs!$B$14/100))*0.01+Inputs!$B$15*0.0025)/100)*(1+Inputs!$B$16/100)*(1+Inputs!$B$17/100)*(5000/(6000+Inputs!$B$43*(1-(Inputs!$B$20+0)/100)))*(1+(Inputs!$B$25+((C942=TRUE)*(F942-Calc!F25))+((C943=TRUE)*(F943-Calc!F26))+B952)/100)*(1+(IF(Skills!A2="DARK_IMPALE",Inputs!$B$18+0,Inputs!$B$19+((C940=TRUE)*(F940-Calc!F23))))/100)*((1+(((C930=TRUE)*F930*IF(AND(Inputs!$B$39&lt;&gt;"pvp",Inputs!$B$44&gt;0),(((R930-1)*(Skills!T13*(1+Inputs!$B$35/100))+MIN((Skills!T13*(1+Inputs!$B$35/100)),MAX(0,Inputs!$B$44-((R930-1)*Skills!D13))))/Inputs!$B$44),IF(Inputs!$B$39="pvp",MIN((Skills!T13*(1+Inputs!$B$35/100)),15)/15,(Skills!T13*(1+Inputs!$B$35/100))/Skills!D13)))+((C931=TRUE)*F931*IF(AND(Inputs!$B$39&lt;&gt;"pvp",Inputs!$B$44&gt;0),(((R931-1)*(Skills!T14*(1+Inputs!$B$35/100))+MIN((Skills!T14*(1+Inputs!$B$35/100)),MAX(0,Inputs!$B$44-((R931-1)*Skills!D14))))/Inputs!$B$44),IF(Inputs!$B$39="pvp",MIN((Skills!T14*(1+Inputs!$B$35/100)),15)/15,(Skills!T14*(1+Inputs!$B$35/100))/Skills!D14)))+((C932=TRUE)*F932*IF(AND(Inputs!$B$39&lt;&gt;"pvp",Inputs!$B$44&gt;0),(((R932-1)*(Skills!T15*(1+Inputs!$B$35/100))+MIN((Skills!T15*(1+Inputs!$B$35/100)),MAX(0,Inputs!$B$44-((R932-1)*Skills!D15))))/Inputs!$B$44),IF(Inputs!$B$39="pvp",MIN((Skills!T15*(1+Inputs!$B$35/100)),15)/15,(Skills!T15*(1+Inputs!$B$35/100))/Skills!D15)))+((C933=TRUE)*F933*IF(AND(Inputs!$B$39&lt;&gt;"pvp",Inputs!$B$44&gt;0),(((R933-1)*(Skills!T16*(1+Inputs!$B$35/100))+MIN((Skills!T16*(1+Inputs!$B$35/100)),MAX(0,Inputs!$B$44-((R933-1)*Skills!D16))))/Inputs!$B$44),IF(Inputs!$B$39="pvp",MIN((Skills!T16*(1+Inputs!$B$35/100)),15)/15,(Skills!T16*(1+Inputs!$B$35/100))/Skills!D16)))+0)/100)*I919)</f>
        <v/>
      </c>
      <c r="L919">
        <f>K919*(MIN(Inputs!$B$23+((C939=TRUE)*(F939-Calc!F22)),Inputs!$B$24+((C941=TRUE)*(F941-Calc!F24)))/100+(Inputs!$B$24+((C941=TRUE)*(F941-Calc!F24)))/100)/2</f>
        <v/>
      </c>
      <c r="M919">
        <f>L919*(1+(Inputs!$B$11+0+B951)/100)</f>
        <v/>
      </c>
      <c r="N919">
        <f>L919*(1-MIN((Inputs!$B$10+0+B946),100)/100)+M919*(MIN((Inputs!$B$10+0+B946),100)/100)</f>
        <v/>
      </c>
      <c r="O919">
        <f>(1-Summary!$B$55)*T919+Summary!$B$55*V919</f>
        <v/>
      </c>
      <c r="P919">
        <f>IF(B956=0,0,O919/B956)</f>
        <v/>
      </c>
      <c r="Q919" t="n">
        <v>0</v>
      </c>
      <c r="R919" t="n">
        <v>0</v>
      </c>
      <c r="S919">
        <f>IFERROR(O919/N919,0)</f>
        <v/>
      </c>
      <c r="T919">
        <f>IF(C919,(Skills!G2*N919*B950)*IF(Inputs!$B$39="pvp",1,1+(Inputs!$B$21+0+Skills!P2+((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0)</f>
        <v/>
      </c>
      <c r="U919">
        <f>MAX(0,(Inputs!$B$3-100)*3)+(Inputs!$B$29+1)+Inputs!$B$30</f>
        <v/>
      </c>
      <c r="V919">
        <f>IF(C919,(Skills!G2*N919*B950)*IF(Inputs!$B$39="pvp",1,(1+(Inputs!$B$22+Skills!Q2+((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MIN((6+Inputs!$B$34),Inputs!$B$38))),0)</f>
        <v/>
      </c>
    </row>
    <row r="920">
      <c r="A920">
        <f>Skills!A3</f>
        <v/>
      </c>
      <c r="B920">
        <f>Skills!B3</f>
        <v/>
      </c>
      <c r="C920">
        <f>Inputs!$B$3&gt;=50</f>
        <v/>
      </c>
      <c r="D920">
        <f>IF(Skills!C3=1,60+Inputs!$B$26+Inputs!$B$30,IF(Skills!C3=2,90+Inputs!$B$27+Inputs!$B$30,IF(Skills!C3=3,120+Inputs!$B$28+Inputs!$B$30,MAX(0,(Inputs!$B$3-100)*3)+(Inputs!$B$29+1)+Inputs!$B$30)))</f>
        <v/>
      </c>
      <c r="E920">
        <f>INDEX(FactorTable!$B$2:$Y$301, MATCH(ROUND(MIN(300,MAX(1,D920)),0), FactorTable!$A$2:$A$301,0), Skills!M3+1)</f>
        <v/>
      </c>
      <c r="F920">
        <f>IF(Skills!N3=TRUE,(Skills!L3/10)*(E920/1000),Skills!L3/10)+Skills!O3</f>
        <v/>
      </c>
      <c r="G920" t="inlineStr"/>
      <c r="H920" t="inlineStr"/>
      <c r="I920" t="inlineStr">
        <is>
          <t>1</t>
        </is>
      </c>
      <c r="J920" t="inlineStr"/>
      <c r="K920" t="inlineStr"/>
      <c r="L920" t="inlineStr"/>
      <c r="M920" t="inlineStr"/>
      <c r="N920" t="inlineStr"/>
      <c r="O920" t="inlineStr"/>
      <c r="P920" t="inlineStr"/>
      <c r="Q920" t="inlineStr"/>
      <c r="R920" t="inlineStr"/>
      <c r="S920" t="inlineStr"/>
      <c r="U920">
        <f>INDEX(FactorTable!$B$2:$Y$301, MATCH(ROUND(MIN(300,MAX(1,U919)),0), FactorTable!$A$2:$A$301,0), 22)</f>
        <v/>
      </c>
    </row>
    <row r="921">
      <c r="A921">
        <f>Skills!A4</f>
        <v/>
      </c>
      <c r="B921">
        <f>Skills!B4</f>
        <v/>
      </c>
      <c r="C921">
        <f>Inputs!$B$3&gt;=105</f>
        <v/>
      </c>
      <c r="D921">
        <f>IF(Skills!C4=1,60+Inputs!$B$26+Inputs!$B$30,IF(Skills!C4=2,90+Inputs!$B$27+Inputs!$B$30,IF(Skills!C4=3,120+Inputs!$B$28+Inputs!$B$30,MAX(0,(Inputs!$B$3-100)*3)+(Inputs!$B$29+1)+Inputs!$B$30)))</f>
        <v/>
      </c>
      <c r="E921">
        <f>INDEX(FactorTable!$B$2:$Y$301, MATCH(ROUND(MIN(300,MAX(1,D921)),0), FactorTable!$A$2:$A$301,0), Skills!M4+1)</f>
        <v/>
      </c>
      <c r="F921">
        <f>IF(Skills!N4=TRUE,(Skills!L4/10)*(E921/1000),Skills!L4/10)+Skills!O4</f>
        <v/>
      </c>
      <c r="G921" t="inlineStr"/>
      <c r="H921" t="inlineStr"/>
      <c r="I921" t="inlineStr">
        <is>
          <t>1</t>
        </is>
      </c>
      <c r="J921" t="inlineStr"/>
      <c r="K921" t="inlineStr"/>
      <c r="L921" t="inlineStr"/>
      <c r="M921" t="inlineStr"/>
      <c r="N921" t="inlineStr"/>
      <c r="O921" t="inlineStr"/>
      <c r="P921" t="inlineStr"/>
      <c r="Q921" t="inlineStr"/>
      <c r="R921" t="inlineStr"/>
      <c r="S921" t="inlineStr"/>
      <c r="U921">
        <f>290*U920/1000</f>
        <v/>
      </c>
    </row>
    <row r="922">
      <c r="A922">
        <f>Skills!A5</f>
        <v/>
      </c>
      <c r="B922">
        <f>Skills!B5</f>
        <v/>
      </c>
      <c r="C922">
        <f>Inputs!$B$3&gt;=117</f>
        <v/>
      </c>
      <c r="D922">
        <f>IF(Skills!C5=1,60+Inputs!$B$26+Inputs!$B$30,IF(Skills!C5=2,90+Inputs!$B$27+Inputs!$B$30,IF(Skills!C5=3,120+Inputs!$B$28+Inputs!$B$30,MAX(0,(Inputs!$B$3-100)*3)+(Inputs!$B$29+1)+Inputs!$B$30)))</f>
        <v/>
      </c>
      <c r="E922">
        <f>INDEX(FactorTable!$B$2:$Y$301, MATCH(ROUND(MIN(300,MAX(1,D922)),0), FactorTable!$A$2:$A$301,0), Skills!M5+1)</f>
        <v/>
      </c>
      <c r="F922">
        <f>IF(Skills!N5=TRUE,(Skills!L5/10)*(E922/1000),Skills!L5/10)+Skills!O5</f>
        <v/>
      </c>
      <c r="G922">
        <f>Skills!G5*IF(Skills!H5&gt;0,Skills!I5/Skills!H5,1)</f>
        <v/>
      </c>
      <c r="H922">
        <f>1-(1-Skills!J5/100)^Skills!K5</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nputs!$B$17/100)*(5000/(6000+Inputs!$B$43*(1-(Inputs!$B$20+0)/100)))*(1+(Inputs!$B$25+((C942=TRUE)*(F942-Calc!F25))+((C943=TRUE)*(F943-Calc!F26))+B952)/100)*(1+(IF(Skills!A5="DARK_IMPALE",Inputs!$B$18+0,Inputs!$B$19+((C940=TRUE)*(F940-Calc!F23))))/100)*((1+(((C930=TRUE)*F930*IF(AND(Inputs!$B$39&lt;&gt;"pvp",Inputs!$B$44&gt;0),(((R930-1)*(Skills!T13*(1+Inputs!$B$35/100))+MIN((Skills!T13*(1+Inputs!$B$35/100)),MAX(0,Inputs!$B$44-((R930-1)*Skills!D13))))/Inputs!$B$44),IF(Inputs!$B$39="pvp",MIN((Skills!T13*(1+Inputs!$B$35/100)),15)/15,(Skills!T13*(1+Inputs!$B$35/100))/Skills!D13)))+((C931=TRUE)*F931*IF(AND(Inputs!$B$39&lt;&gt;"pvp",Inputs!$B$44&gt;0),(((R931-1)*(Skills!T14*(1+Inputs!$B$35/100))+MIN((Skills!T14*(1+Inputs!$B$35/100)),MAX(0,Inputs!$B$44-((R931-1)*Skills!D14))))/Inputs!$B$44),IF(Inputs!$B$39="pvp",MIN((Skills!T14*(1+Inputs!$B$35/100)),15)/15,(Skills!T14*(1+Inputs!$B$35/100))/Skills!D14)))+((C932=TRUE)*F932*IF(AND(Inputs!$B$39&lt;&gt;"pvp",Inputs!$B$44&gt;0),(((R932-1)*(Skills!T15*(1+Inputs!$B$35/100))+MIN((Skills!T15*(1+Inputs!$B$35/100)),MAX(0,Inputs!$B$44-((R932-1)*Skills!D15))))/Inputs!$B$44),IF(Inputs!$B$39="pvp",MIN((Skills!T15*(1+Inputs!$B$35/100)),15)/15,(Skills!T15*(1+Inputs!$B$35/100))/Skills!D15)))+((C933=TRUE)*F933*IF(AND(Inputs!$B$39&lt;&gt;"pvp",Inputs!$B$44&gt;0),(((R933-1)*(Skills!T16*(1+Inputs!$B$35/100))+MIN((Skills!T16*(1+Inputs!$B$35/100)),MAX(0,Inputs!$B$44-((R933-1)*Skills!D16))))/Inputs!$B$44),IF(Inputs!$B$39="pvp",MIN((Skills!T16*(1+Inputs!$B$35/100)),15)/15,(Skills!T16*(1+Inputs!$B$35/100))/Skills!D16)))+0)/100)*I922)</f>
        <v/>
      </c>
      <c r="L922">
        <f>K922*(MIN(Inputs!$B$23+((C939=TRUE)*(F939-Calc!F22)),Inputs!$B$24+((C941=TRUE)*(F941-Calc!F24)))/100+(Inputs!$B$24+((C941=TRUE)*(F941-Calc!F24)))/100)/2</f>
        <v/>
      </c>
      <c r="M922">
        <f>L922*(1+(Inputs!$B$11+0+B951)/100)</f>
        <v/>
      </c>
      <c r="N922">
        <f>L922*(1-MIN((Inputs!$B$10+0+B946),100)/100)+M922*(MIN((Inputs!$B$10+0+B946),100)/100)</f>
        <v/>
      </c>
      <c r="O922">
        <f>(1-Summary!$B$55)*T922+Summary!$B$55*V922</f>
        <v/>
      </c>
      <c r="P922">
        <f>IF(B956=0,0,O922/B956)</f>
        <v/>
      </c>
      <c r="Q922">
        <f>IFERROR(1/IF(Inputs!$B$39="pvp",15,MAX(0.1,Skills!D5-IF(Skills!E5=TRUE,Inputs!$B$33,0))),0)</f>
        <v/>
      </c>
      <c r="R922">
        <f>IF(AND(Inputs!$B$39&lt;&gt;"pvp",Inputs!$B$44&gt;0),IF(MAX(0,Inputs!$B$44-B953)&lt;=0,0,(INT(MAX(0,Inputs!$B$44-B953)/IF(Inputs!$B$39="pvp",15,MAX(0.1,Skills!D5-IF(Skills!E5=TRUE,Inputs!$B$33,0))))+1)),0)</f>
        <v/>
      </c>
      <c r="S922">
        <f>IFERROR(O922/N922,0)</f>
        <v/>
      </c>
      <c r="T922">
        <f>IF(C922,(H922*N922*IF(AND(Inputs!$B$39&lt;&gt;"pvp",Inputs!$B$44&gt;0),((Skills!G5*((R922-1)*IF(Skills!H5&gt;0,Skills!I5/Skills!H5,1)+IF(Skills!H5&gt;0,MIN(Skills!I5,MAX(0,MAX(0,Inputs!$B$44-B953)-((R922-1)*IF(Inputs!$B$39="pvp",15,MAX(0.1,Skills!D5-IF(Skills!E5=TRUE,Inputs!$B$33,0))))))/Skills!H5,1)))/Inputs!$B$44),G922*Q922))*IF(Inputs!$B$39="pvp",1,1+(Inputs!$B$21+0+Skills!P5+((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0)</f>
        <v/>
      </c>
      <c r="V922">
        <f>IF(C922,(H922*N922*IF(AND(Inputs!$B$39&lt;&gt;"pvp",Inputs!$B$44&gt;0),((Skills!G5*((R922-1)*IF(Skills!H5&gt;0,Skills!I5/Skills!H5,1)+IF(Skills!H5&gt;0,MIN(Skills!I5,MAX(0,MAX(0,Inputs!$B$44-B953)-((R922-1)*IF(Inputs!$B$39="pvp",15,MAX(0.1,Skills!D5-IF(Skills!E5=TRUE,Inputs!$B$33,0))))))/Skills!H5,1)))/Inputs!$B$44),G922*Q922))*IF(Inputs!$B$39="pvp",1,(1+(Inputs!$B$22+Skills!Q5+((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MIN(Skills!R5,Inputs!$B$38))),0)</f>
        <v/>
      </c>
    </row>
    <row r="923">
      <c r="A923">
        <f>Skills!A6</f>
        <v/>
      </c>
      <c r="B923">
        <f>Skills!B6</f>
        <v/>
      </c>
      <c r="C923">
        <f>Inputs!$B$3&gt;=103</f>
        <v/>
      </c>
      <c r="D923">
        <f>IF(Skills!C6=1,60+Inputs!$B$26+Inputs!$B$30,IF(Skills!C6=2,90+Inputs!$B$27+Inputs!$B$30,IF(Skills!C6=3,120+Inputs!$B$28+Inputs!$B$30,MAX(0,(Inputs!$B$3-100)*3)+(Inputs!$B$29+1)+Inputs!$B$30)))</f>
        <v/>
      </c>
      <c r="E923">
        <f>INDEX(FactorTable!$B$2:$Y$301, MATCH(ROUND(MIN(300,MAX(1,D923)),0), FactorTable!$A$2:$A$301,0), Skills!M6+1)</f>
        <v/>
      </c>
      <c r="F923">
        <f>IF(Skills!N6=TRUE,(Skills!L6/10)*(E923/1000),Skills!L6/10)+Skills!O6</f>
        <v/>
      </c>
      <c r="G923">
        <f>Skills!G6*IF(Skills!H6&gt;0,Skills!I6/Skills!H6,1)</f>
        <v/>
      </c>
      <c r="H923">
        <f>1-(1-Skills!J6/100)^Skills!K6</f>
        <v/>
      </c>
      <c r="I923" t="inlineStr">
        <is>
          <t>1</t>
        </is>
      </c>
      <c r="J923">
        <f>((Inputs!$B$6*(1+Inputs!$B$7/100))+(((Inputs!$B$13*(1+Inputs!$B$14/100))-(Inputs!$B$13*(1+Inputs!$B$14/100)))+0.25*(Inputs!$B$15-Inputs!$B$15))*(1+Inputs!$B$7/100))*(F923/100)</f>
        <v/>
      </c>
      <c r="K923">
        <f>J923*(1+(((Inputs!$B$13+IF(Inputs!$B$3&gt;=38,(10*INDEX(FactorTable!$B$2:$Y$301, MATCH(ROUND(MIN(300,MAX(1,Inputs!$B$3)),0), FactorTable!$A$2:$A$301,0), 23)/1000)/100*(Inputs!$B$8*(1+Inputs!$B$9/100)),0))*(1+Inputs!$B$14/100))*0.01+Inputs!$B$15*0.0025)/100)*(1+Inputs!$B$16/100)*(1+Inputs!$B$17/100)*(5000/(6000+Inputs!$B$43*(1-(Inputs!$B$20+0)/100)))*(1+(Inputs!$B$25+((C942=TRUE)*(F942-Calc!F25))+((C943=TRUE)*(F943-Calc!F26))+B952)/100)*(1+(IF(Skills!A6="DARK_IMPALE",Inputs!$B$18+0,Inputs!$B$19+((C940=TRUE)*(F940-Calc!F23))))/100)*((1+(((C930=TRUE)*F930*IF(AND(Inputs!$B$39&lt;&gt;"pvp",Inputs!$B$44&gt;0),(((R930-1)*(Skills!T13*(1+Inputs!$B$35/100))+MIN((Skills!T13*(1+Inputs!$B$35/100)),MAX(0,Inputs!$B$44-((R930-1)*Skills!D13))))/Inputs!$B$44),IF(Inputs!$B$39="pvp",MIN((Skills!T13*(1+Inputs!$B$35/100)),15)/15,(Skills!T13*(1+Inputs!$B$35/100))/Skills!D13)))+((C931=TRUE)*F931*IF(AND(Inputs!$B$39&lt;&gt;"pvp",Inputs!$B$44&gt;0),(((R931-1)*(Skills!T14*(1+Inputs!$B$35/100))+MIN((Skills!T14*(1+Inputs!$B$35/100)),MAX(0,Inputs!$B$44-((R931-1)*Skills!D14))))/Inputs!$B$44),IF(Inputs!$B$39="pvp",MIN((Skills!T14*(1+Inputs!$B$35/100)),15)/15,(Skills!T14*(1+Inputs!$B$35/100))/Skills!D14)))+((C932=TRUE)*F932*IF(AND(Inputs!$B$39&lt;&gt;"pvp",Inputs!$B$44&gt;0),(((R932-1)*(Skills!T15*(1+Inputs!$B$35/100))+MIN((Skills!T15*(1+Inputs!$B$35/100)),MAX(0,Inputs!$B$44-((R932-1)*Skills!D15))))/Inputs!$B$44),IF(Inputs!$B$39="pvp",MIN((Skills!T15*(1+Inputs!$B$35/100)),15)/15,(Skills!T15*(1+Inputs!$B$35/100))/Skills!D15)))+((C933=TRUE)*F933*IF(AND(Inputs!$B$39&lt;&gt;"pvp",Inputs!$B$44&gt;0),(((R933-1)*(Skills!T16*(1+Inputs!$B$35/100))+MIN((Skills!T16*(1+Inputs!$B$35/100)),MAX(0,Inputs!$B$44-((R933-1)*Skills!D16))))/Inputs!$B$44),IF(Inputs!$B$39="pvp",MIN((Skills!T16*(1+Inputs!$B$35/100)),15)/15,(Skills!T16*(1+Inputs!$B$35/100))/Skills!D16)))+0)/100)*I923)</f>
        <v/>
      </c>
      <c r="L923">
        <f>K923*(MIN(Inputs!$B$23+((C939=TRUE)*(F939-Calc!F22)),Inputs!$B$24+((C941=TRUE)*(F941-Calc!F24)))/100+(Inputs!$B$24+((C941=TRUE)*(F941-Calc!F24)))/100)/2</f>
        <v/>
      </c>
      <c r="M923">
        <f>L923*(1+(Inputs!$B$11+0+B951)/100)</f>
        <v/>
      </c>
      <c r="N923">
        <f>L923*(1-MIN((Inputs!$B$10+0+B946),100)/100)+M923*(MIN((Inputs!$B$10+0+B946),100)/100)</f>
        <v/>
      </c>
      <c r="O923">
        <f>(1-Summary!$B$55)*T923+Summary!$B$55*V923</f>
        <v/>
      </c>
      <c r="P923">
        <f>IF(B956=0,0,O923/B956)</f>
        <v/>
      </c>
      <c r="Q923">
        <f>IFERROR(1/IF(Inputs!$B$39="pvp",15,MAX(0.1,Skills!D6-IF(Skills!E6=TRUE,Inputs!$B$33,0))),0)</f>
        <v/>
      </c>
      <c r="R923">
        <f>IF(AND(Inputs!$B$39&lt;&gt;"pvp",Inputs!$B$44&gt;0),IF(MAX(0,Inputs!$B$44-B953)&lt;=0,0,(INT(MAX(0,Inputs!$B$44-B953)/IF(Inputs!$B$39="pvp",15,MAX(0.1,Skills!D6-IF(Skills!E6=TRUE,Inputs!$B$33,0))))+1)),0)</f>
        <v/>
      </c>
      <c r="S923">
        <f>IFERROR(O923/N923,0)</f>
        <v/>
      </c>
      <c r="T923">
        <f>IF(C923,(H923*N923*IF(AND(Inputs!$B$39&lt;&gt;"pvp",Inputs!$B$44&gt;0),((Skills!G6*((R923-1)*IF(Skills!H6&gt;0,Skills!I6/Skills!H6,1)+IF(Skills!H6&gt;0,MIN(Skills!I6,MAX(0,MAX(0,Inputs!$B$44-B953)-((R923-1)*IF(Inputs!$B$39="pvp",15,MAX(0.1,Skills!D6-IF(Skills!E6=TRUE,Inputs!$B$33,0))))))/Skills!H6,1)))/Inputs!$B$44),G923*Q923))*IF(Inputs!$B$39="pvp",1,1+(Inputs!$B$21+0+Skills!P6+((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0)</f>
        <v/>
      </c>
      <c r="V923">
        <f>IF(C923,(H923*N923*IF(AND(Inputs!$B$39&lt;&gt;"pvp",Inputs!$B$44&gt;0),((Skills!G6*((R923-1)*IF(Skills!H6&gt;0,Skills!I6/Skills!H6,1)+IF(Skills!H6&gt;0,MIN(Skills!I6,MAX(0,MAX(0,Inputs!$B$44-B953)-((R923-1)*IF(Inputs!$B$39="pvp",15,MAX(0.1,Skills!D6-IF(Skills!E6=TRUE,Inputs!$B$33,0))))))/Skills!H6,1)))/Inputs!$B$44),G923*Q923))*IF(Inputs!$B$39="pvp",1,(1+(Inputs!$B$22+Skills!Q6+((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MIN(Skills!R6,Inputs!$B$38))),0)</f>
        <v/>
      </c>
    </row>
    <row r="924">
      <c r="A924">
        <f>Skills!A7</f>
        <v/>
      </c>
      <c r="B924">
        <f>Skills!B7</f>
        <v/>
      </c>
      <c r="C924">
        <f>Inputs!$B$3&gt;=40</f>
        <v/>
      </c>
      <c r="D924">
        <f>IF(Skills!C7=1,60+Inputs!$B$26+Inputs!$B$30,IF(Skills!C7=2,90+Inputs!$B$27+Inputs!$B$30,IF(Skills!C7=3,120+Inputs!$B$28+Inputs!$B$30,MAX(0,(Inputs!$B$3-100)*3)+(Inputs!$B$29+1)+Inputs!$B$30)))</f>
        <v/>
      </c>
      <c r="E924">
        <f>INDEX(FactorTable!$B$2:$Y$301, MATCH(ROUND(MIN(300,MAX(1,D924)),0), FactorTable!$A$2:$A$301,0), Skills!M7+1)</f>
        <v/>
      </c>
      <c r="F924">
        <f>IF(Skills!N7=TRUE,(Skills!L7/10)*(E924/1000),Skills!L7/10)+Skills!O7</f>
        <v/>
      </c>
      <c r="G924">
        <f>Skills!G7*IF(Skills!H7&gt;0,Skills!I7/Skills!H7,1)</f>
        <v/>
      </c>
      <c r="H924">
        <f>1-(1-Skills!J7/100)^Skills!K7</f>
        <v/>
      </c>
      <c r="I924" t="inlineStr">
        <is>
          <t>1</t>
        </is>
      </c>
      <c r="J924">
        <f>((Inputs!$B$6*(1+Inputs!$B$7/100))+(((Inputs!$B$13*(1+Inputs!$B$14/100))-(Inputs!$B$13*(1+Inputs!$B$14/100)))+0.25*(Inputs!$B$15-Inputs!$B$15))*(1+Inputs!$B$7/100))*(F924/100)</f>
        <v/>
      </c>
      <c r="K924">
        <f>J924*(1+(((Inputs!$B$13+IF(Inputs!$B$3&gt;=38,(10*INDEX(FactorTable!$B$2:$Y$301, MATCH(ROUND(MIN(300,MAX(1,Inputs!$B$3)),0), FactorTable!$A$2:$A$301,0), 23)/1000)/100*(Inputs!$B$8*(1+Inputs!$B$9/100)),0))*(1+Inputs!$B$14/100))*0.01+Inputs!$B$15*0.0025)/100)*(1+Inputs!$B$16/100)*(1+Inputs!$B$17/100)*(5000/(6000+Inputs!$B$43*(1-(Inputs!$B$20+0)/100)))*(1+(Inputs!$B$25+((C942=TRUE)*(F942-Calc!F25))+((C943=TRUE)*(F943-Calc!F26))+B952)/100)*(1+0.75*IF(C928=TRUE,F928,0)/100)*(1+(IF(Skills!A7="DARK_IMPALE",Inputs!$B$18+0,Inputs!$B$19+((C940=TRUE)*(F940-Calc!F23))))/100)*((1+(((C930=TRUE)*F930*IF(AND(Inputs!$B$39&lt;&gt;"pvp",Inputs!$B$44&gt;0),(((R930-1)*(Skills!T13*(1+Inputs!$B$35/100))+MIN((Skills!T13*(1+Inputs!$B$35/100)),MAX(0,Inputs!$B$44-((R930-1)*Skills!D13))))/Inputs!$B$44),IF(Inputs!$B$39="pvp",MIN((Skills!T13*(1+Inputs!$B$35/100)),15)/15,(Skills!T13*(1+Inputs!$B$35/100))/Skills!D13)))+((C931=TRUE)*F931*IF(AND(Inputs!$B$39&lt;&gt;"pvp",Inputs!$B$44&gt;0),(((R931-1)*(Skills!T14*(1+Inputs!$B$35/100))+MIN((Skills!T14*(1+Inputs!$B$35/100)),MAX(0,Inputs!$B$44-((R931-1)*Skills!D14))))/Inputs!$B$44),IF(Inputs!$B$39="pvp",MIN((Skills!T14*(1+Inputs!$B$35/100)),15)/15,(Skills!T14*(1+Inputs!$B$35/100))/Skills!D14)))+((C932=TRUE)*F932*IF(AND(Inputs!$B$39&lt;&gt;"pvp",Inputs!$B$44&gt;0),(((R932-1)*(Skills!T15*(1+Inputs!$B$35/100))+MIN((Skills!T15*(1+Inputs!$B$35/100)),MAX(0,Inputs!$B$44-((R932-1)*Skills!D15))))/Inputs!$B$44),IF(Inputs!$B$39="pvp",MIN((Skills!T15*(1+Inputs!$B$35/100)),15)/15,(Skills!T15*(1+Inputs!$B$35/100))/Skills!D15)))+((C933=TRUE)*F933*IF(AND(Inputs!$B$39&lt;&gt;"pvp",Inputs!$B$44&gt;0),(((R933-1)*(Skills!T16*(1+Inputs!$B$35/100))+MIN((Skills!T16*(1+Inputs!$B$35/100)),MAX(0,Inputs!$B$44-((R933-1)*Skills!D16))))/Inputs!$B$44),IF(Inputs!$B$39="pvp",MIN((Skills!T16*(1+Inputs!$B$35/100)),15)/15,(Skills!T16*(1+Inputs!$B$35/100))/Skills!D16)))+0)/100)*I924)</f>
        <v/>
      </c>
      <c r="L924">
        <f>K924*(MIN(Inputs!$B$23+((C939=TRUE)*(F939-Calc!F22)),Inputs!$B$24+((C941=TRUE)*(F941-Calc!F24)))/100+(Inputs!$B$24+((C941=TRUE)*(F941-Calc!F24)))/100)/2</f>
        <v/>
      </c>
      <c r="M924">
        <f>L924*(1+(Inputs!$B$11+0+B951)/100)</f>
        <v/>
      </c>
      <c r="N924">
        <f>L924*(1-MIN((Inputs!$B$10+0+B946),100)/100)+M924*(MIN((Inputs!$B$10+0+B946),100)/100)</f>
        <v/>
      </c>
      <c r="O924">
        <f>(1-Summary!$B$55)*T924+Summary!$B$55*V924</f>
        <v/>
      </c>
      <c r="P924">
        <f>IF(B956=0,0,O924/B956)</f>
        <v/>
      </c>
      <c r="Q924">
        <f>IFERROR(1/IF(Inputs!$B$39="pvp",15,MAX(0.1,Skills!D7-IF(Skills!E7=TRUE,Inputs!$B$33,0))),0)</f>
        <v/>
      </c>
      <c r="R924">
        <f>IF(AND(Inputs!$B$39&lt;&gt;"pvp",Inputs!$B$44&gt;0),IF(MAX(0,Inputs!$B$44-B953)&lt;=0,0,(INT(MAX(0,Inputs!$B$44-B953)/IF(Inputs!$B$39="pvp",15,MAX(0.1,Skills!D7-IF(Skills!E7=TRUE,Inputs!$B$33,0))))+1)),0)</f>
        <v/>
      </c>
      <c r="S924">
        <f>IFERROR(O924/N924,0)</f>
        <v/>
      </c>
      <c r="T924">
        <f>IF(C924,(H924*N924*IF(AND(Inputs!$B$39&lt;&gt;"pvp",Inputs!$B$44&gt;0),((Skills!G7*((R924-1)*IF(Skills!H7&gt;0,Skills!I7/Skills!H7,1)+IF(Skills!H7&gt;0,MIN(Skills!I7,MAX(0,MAX(0,Inputs!$B$44-B953)-((R924-1)*IF(Inputs!$B$39="pvp",15,MAX(0.1,Skills!D7-IF(Skills!E7=TRUE,Inputs!$B$33,0))))))/Skills!H7,1)))/Inputs!$B$44),G924*Q924))*IF(Inputs!$B$39="pvp",1,1+(Inputs!$B$21+0+Skills!P7+((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0)</f>
        <v/>
      </c>
      <c r="V924">
        <f>IF(C924,(H924*N924*IF(AND(Inputs!$B$39&lt;&gt;"pvp",Inputs!$B$44&gt;0),((Skills!G7*((R924-1)*IF(Skills!H7&gt;0,Skills!I7/Skills!H7,1)+IF(Skills!H7&gt;0,MIN(Skills!I7,MAX(0,MAX(0,Inputs!$B$44-B953)-((R924-1)*IF(Inputs!$B$39="pvp",15,MAX(0.1,Skills!D7-IF(Skills!E7=TRUE,Inputs!$B$33,0))))))/Skills!H7,1)))/Inputs!$B$44),G924*Q924))*IF(Inputs!$B$39="pvp",1,(1+(Inputs!$B$22+Skills!Q7+((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MIN(Skills!R7,Inputs!$B$38))),0)</f>
        <v/>
      </c>
    </row>
    <row r="925">
      <c r="A925">
        <f>Skills!A8</f>
        <v/>
      </c>
      <c r="B925">
        <f>Skills!B8</f>
        <v/>
      </c>
      <c r="C925">
        <f>Inputs!$B$3&gt;=75</f>
        <v/>
      </c>
      <c r="D925">
        <f>IF(Skills!C8=1,60+Inputs!$B$26+Inputs!$B$30,IF(Skills!C8=2,90+Inputs!$B$27+Inputs!$B$30,IF(Skills!C8=3,120+Inputs!$B$28+Inputs!$B$30,MAX(0,(Inputs!$B$3-100)*3)+(Inputs!$B$29+1)+Inputs!$B$30)))</f>
        <v/>
      </c>
      <c r="E925">
        <f>INDEX(FactorTable!$B$2:$Y$301, MATCH(ROUND(MIN(300,MAX(1,D925)),0), FactorTable!$A$2:$A$301,0), Skills!M8+1)</f>
        <v/>
      </c>
      <c r="F925">
        <f>IF(Skills!N8=TRUE,(Skills!L8/10)*(E925/1000),Skills!L8/10)+Skills!O8</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Skills!A9</f>
        <v/>
      </c>
      <c r="B926">
        <f>Skills!B9</f>
        <v/>
      </c>
      <c r="C926">
        <f>Inputs!$B$3&gt;=60</f>
        <v/>
      </c>
      <c r="D926">
        <f>IF(Skills!C9=1,60+Inputs!$B$26+Inputs!$B$30,IF(Skills!C9=2,90+Inputs!$B$27+Inputs!$B$30,IF(Skills!C9=3,120+Inputs!$B$28+Inputs!$B$30,MAX(0,(Inputs!$B$3-100)*3)+(Inputs!$B$29+1)+Inputs!$B$30)))</f>
        <v/>
      </c>
      <c r="E926">
        <f>INDEX(FactorTable!$B$2:$Y$301, MATCH(ROUND(MIN(300,MAX(1,D926)),0), FactorTable!$A$2:$A$301,0), Skills!M9+1)</f>
        <v/>
      </c>
      <c r="F926">
        <f>IF(Skills!N9=TRUE,(Skills!L9/10)*(E926/1000),Skills!L9/10)+Skills!O9</f>
        <v/>
      </c>
      <c r="G926">
        <f>Skills!G9*IF(Skills!H9&gt;0,Skills!I9/Skills!H9,1)</f>
        <v/>
      </c>
      <c r="H926">
        <f>1-(1-Skills!J9/100)^Skills!K9</f>
        <v/>
      </c>
      <c r="I926" t="inlineStr">
        <is>
          <t>1</t>
        </is>
      </c>
      <c r="J926">
        <f>((Inputs!$B$6*(1+Inputs!$B$7/100))+(((Inputs!$B$13*(1+Inputs!$B$14/100))-(Inputs!$B$13*(1+Inputs!$B$14/100)))+0.25*(Inputs!$B$15-Inputs!$B$15))*(1+Inputs!$B$7/100))*(F926/100)</f>
        <v/>
      </c>
      <c r="K926">
        <f>J926*(1+(((Inputs!$B$13+IF(Inputs!$B$3&gt;=38,(10*INDEX(FactorTable!$B$2:$Y$301, MATCH(ROUND(MIN(300,MAX(1,Inputs!$B$3)),0), FactorTable!$A$2:$A$301,0), 23)/1000)/100*(Inputs!$B$8*(1+Inputs!$B$9/100)),0))*(1+Inputs!$B$14/100))*0.01+Inputs!$B$15*0.0025)/100)*(1+Inputs!$B$16/100)*(1+Inputs!$B$17/100)*(5000/(6000+Inputs!$B$43*(1-(Inputs!$B$20+0)/100)))*(1+(Inputs!$B$25+((C942=TRUE)*(F942-Calc!F25))+((C943=TRUE)*(F943-Calc!F26))+B952)/100)*(1+1.0*IF(C928=TRUE,F928,0)/100)*(1+(IF(Skills!A9="DARK_IMPALE",Inputs!$B$18+0,Inputs!$B$19+((C940=TRUE)*(F940-Calc!F23))))/100)*((1+(((C930=TRUE)*F930*IF(AND(Inputs!$B$39&lt;&gt;"pvp",Inputs!$B$44&gt;0),(((R930-1)*(Skills!T13*(1+Inputs!$B$35/100))+MIN((Skills!T13*(1+Inputs!$B$35/100)),MAX(0,Inputs!$B$44-((R930-1)*Skills!D13))))/Inputs!$B$44),IF(Inputs!$B$39="pvp",MIN((Skills!T13*(1+Inputs!$B$35/100)),15)/15,(Skills!T13*(1+Inputs!$B$35/100))/Skills!D13)))+((C931=TRUE)*F931*IF(AND(Inputs!$B$39&lt;&gt;"pvp",Inputs!$B$44&gt;0),(((R931-1)*(Skills!T14*(1+Inputs!$B$35/100))+MIN((Skills!T14*(1+Inputs!$B$35/100)),MAX(0,Inputs!$B$44-((R931-1)*Skills!D14))))/Inputs!$B$44),IF(Inputs!$B$39="pvp",MIN((Skills!T14*(1+Inputs!$B$35/100)),15)/15,(Skills!T14*(1+Inputs!$B$35/100))/Skills!D14)))+((C932=TRUE)*F932*IF(AND(Inputs!$B$39&lt;&gt;"pvp",Inputs!$B$44&gt;0),(((R932-1)*(Skills!T15*(1+Inputs!$B$35/100))+MIN((Skills!T15*(1+Inputs!$B$35/100)),MAX(0,Inputs!$B$44-((R932-1)*Skills!D15))))/Inputs!$B$44),IF(Inputs!$B$39="pvp",MIN((Skills!T15*(1+Inputs!$B$35/100)),15)/15,(Skills!T15*(1+Inputs!$B$35/100))/Skills!D15)))+((C933=TRUE)*F933*IF(AND(Inputs!$B$39&lt;&gt;"pvp",Inputs!$B$44&gt;0),(((R933-1)*(Skills!T16*(1+Inputs!$B$35/100))+MIN((Skills!T16*(1+Inputs!$B$35/100)),MAX(0,Inputs!$B$44-((R933-1)*Skills!D16))))/Inputs!$B$44),IF(Inputs!$B$39="pvp",MIN((Skills!T16*(1+Inputs!$B$35/100)),15)/15,(Skills!T16*(1+Inputs!$B$35/100))/Skills!D16)))+0)/100)*I926)</f>
        <v/>
      </c>
      <c r="L926">
        <f>K926*(MIN(Inputs!$B$23+((C939=TRUE)*(F939-Calc!F22)),Inputs!$B$24+((C941=TRUE)*(F941-Calc!F24)))/100+(Inputs!$B$24+((C941=TRUE)*(F941-Calc!F24)))/100)/2</f>
        <v/>
      </c>
      <c r="M926">
        <f>L926*(1+(Inputs!$B$11+0+B951)/100)</f>
        <v/>
      </c>
      <c r="N926">
        <f>L926*(1-MIN((Inputs!$B$10+0+B946),100)/100)+M926*(MIN((Inputs!$B$10+0+B946),100)/100)</f>
        <v/>
      </c>
      <c r="O926">
        <f>(1-Summary!$B$55)*T926+Summary!$B$55*V926</f>
        <v/>
      </c>
      <c r="P926">
        <f>IF(B956=0,0,O926/B956)</f>
        <v/>
      </c>
      <c r="Q926">
        <f>IFERROR(1/IF(Inputs!$B$39="pvp",15,MAX(0.1,Skills!D9-IF(Skills!E9=TRUE,Inputs!$B$33,0))),0)</f>
        <v/>
      </c>
      <c r="R926">
        <f>IF(AND(Inputs!$B$39&lt;&gt;"pvp",Inputs!$B$44&gt;0),IF(MAX(0,Inputs!$B$44-B953)&lt;=0,0,(INT(MAX(0,Inputs!$B$44-B953)/IF(Inputs!$B$39="pvp",15,MAX(0.1,Skills!D9-IF(Skills!E9=TRUE,Inputs!$B$33,0))))+1)),0)</f>
        <v/>
      </c>
      <c r="S926">
        <f>IFERROR(O926/N926,0)</f>
        <v/>
      </c>
      <c r="T926">
        <f>IF(C926,(H926*N926*IF(AND(Inputs!$B$39&lt;&gt;"pvp",Inputs!$B$44&gt;0),((Skills!G9*((R926-1)*IF(Skills!H9&gt;0,Skills!I9/Skills!H9,1)+IF(Skills!H9&gt;0,MIN(Skills!I9,MAX(0,MAX(0,Inputs!$B$44-B953)-((R926-1)*IF(Inputs!$B$39="pvp",15,MAX(0.1,Skills!D9-IF(Skills!E9=TRUE,Inputs!$B$33,0))))))/Skills!H9,1)))/Inputs!$B$44),G926*Q926))*IF(Inputs!$B$39="pvp",1,1+(Inputs!$B$21+0+Skills!P9+((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0)</f>
        <v/>
      </c>
      <c r="V926">
        <f>IF(C926,(H926*N926*IF(AND(Inputs!$B$39&lt;&gt;"pvp",Inputs!$B$44&gt;0),((Skills!G9*((R926-1)*IF(Skills!H9&gt;0,Skills!I9/Skills!H9,1)+IF(Skills!H9&gt;0,MIN(Skills!I9,MAX(0,MAX(0,Inputs!$B$44-B953)-((R926-1)*IF(Inputs!$B$39="pvp",15,MAX(0.1,Skills!D9-IF(Skills!E9=TRUE,Inputs!$B$33,0))))))/Skills!H9,1)))/Inputs!$B$44),G926*Q926))*IF(Inputs!$B$39="pvp",1,(1+(Inputs!$B$22+Skills!Q9+((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MIN(Skills!R9,Inputs!$B$38))),0)</f>
        <v/>
      </c>
    </row>
    <row r="927">
      <c r="A927">
        <f>Skills!A10</f>
        <v/>
      </c>
      <c r="B927">
        <f>Skills!B10</f>
        <v/>
      </c>
      <c r="C927">
        <f>Inputs!$B$3&gt;=110</f>
        <v/>
      </c>
      <c r="D927">
        <f>IF(Skills!C10=1,60+Inputs!$B$26+Inputs!$B$30,IF(Skills!C10=2,90+Inputs!$B$27+Inputs!$B$30,IF(Skills!C10=3,120+Inputs!$B$28+Inputs!$B$30,MAX(0,(Inputs!$B$3-100)*3)+(Inputs!$B$29+1)+Inputs!$B$30)))</f>
        <v/>
      </c>
      <c r="E927">
        <f>INDEX(FactorTable!$B$2:$Y$301, MATCH(ROUND(MIN(300,MAX(1,D927)),0), FactorTable!$A$2:$A$301,0), Skills!M10+1)</f>
        <v/>
      </c>
      <c r="F927">
        <f>IF(Skills!N10=TRUE,(Skills!L10/10)*(E927/1000),Skills!L10/10)+Skills!O10</f>
        <v/>
      </c>
      <c r="G927">
        <f>Skills!G10*IF(Skills!H10&gt;0,Skills!I10/Skills!H10,1)</f>
        <v/>
      </c>
      <c r="H927">
        <f>1-(1-Skills!J10/100)^Skills!K10</f>
        <v/>
      </c>
      <c r="I927" t="inlineStr">
        <is>
          <t>1</t>
        </is>
      </c>
      <c r="J927">
        <f>((Inputs!$B$6*(1+Inputs!$B$7/100))+(((Inputs!$B$13*(1+Inputs!$B$14/100))-(Inputs!$B$13*(1+Inputs!$B$14/100)))+0.25*(Inputs!$B$15-Inputs!$B$15))*(1+Inputs!$B$7/100))*(F927/100)</f>
        <v/>
      </c>
      <c r="K927">
        <f>J927*(1+(((Inputs!$B$13+IF(Inputs!$B$3&gt;=38,(10*INDEX(FactorTable!$B$2:$Y$301, MATCH(ROUND(MIN(300,MAX(1,Inputs!$B$3)),0), FactorTable!$A$2:$A$301,0), 23)/1000)/100*(Inputs!$B$8*(1+Inputs!$B$9/100)),0))*(1+Inputs!$B$14/100))*0.01+Inputs!$B$15*0.0025)/100)*(1+Inputs!$B$16/100)*(1+Inputs!$B$17/100)*(5000/(6000+Inputs!$B$43*(1-(Inputs!$B$20+0)/100)))*(1+(Inputs!$B$25+((C942=TRUE)*(F942-Calc!F25))+((C943=TRUE)*(F943-Calc!F26))+B952)/100)*(1+(IF(Skills!A10="DARK_IMPALE",Inputs!$B$18+0,Inputs!$B$19+((C940=TRUE)*(F940-Calc!F23))))/100)*((1+(((C930=TRUE)*F930*IF(AND(Inputs!$B$39&lt;&gt;"pvp",Inputs!$B$44&gt;0),(((R930-1)*(Skills!T13*(1+Inputs!$B$35/100))+MIN((Skills!T13*(1+Inputs!$B$35/100)),MAX(0,Inputs!$B$44-((R930-1)*Skills!D13))))/Inputs!$B$44),IF(Inputs!$B$39="pvp",MIN((Skills!T13*(1+Inputs!$B$35/100)),15)/15,(Skills!T13*(1+Inputs!$B$35/100))/Skills!D13)))+((C931=TRUE)*F931*IF(AND(Inputs!$B$39&lt;&gt;"pvp",Inputs!$B$44&gt;0),(((R931-1)*(Skills!T14*(1+Inputs!$B$35/100))+MIN((Skills!T14*(1+Inputs!$B$35/100)),MAX(0,Inputs!$B$44-((R931-1)*Skills!D14))))/Inputs!$B$44),IF(Inputs!$B$39="pvp",MIN((Skills!T14*(1+Inputs!$B$35/100)),15)/15,(Skills!T14*(1+Inputs!$B$35/100))/Skills!D14)))+((C932=TRUE)*F932*IF(AND(Inputs!$B$39&lt;&gt;"pvp",Inputs!$B$44&gt;0),(((R932-1)*(Skills!T15*(1+Inputs!$B$35/100))+MIN((Skills!T15*(1+Inputs!$B$35/100)),MAX(0,Inputs!$B$44-((R932-1)*Skills!D15))))/Inputs!$B$44),IF(Inputs!$B$39="pvp",MIN((Skills!T15*(1+Inputs!$B$35/100)),15)/15,(Skills!T15*(1+Inputs!$B$35/100))/Skills!D15)))+((C933=TRUE)*F933*IF(AND(Inputs!$B$39&lt;&gt;"pvp",Inputs!$B$44&gt;0),(((R933-1)*(Skills!T16*(1+Inputs!$B$35/100))+MIN((Skills!T16*(1+Inputs!$B$35/100)),MAX(0,Inputs!$B$44-((R933-1)*Skills!D16))))/Inputs!$B$44),IF(Inputs!$B$39="pvp",MIN((Skills!T16*(1+Inputs!$B$35/100)),15)/15,(Skills!T16*(1+Inputs!$B$35/100))/Skills!D16)))+0)/100)*I927)</f>
        <v/>
      </c>
      <c r="L927">
        <f>K927*(MIN(Inputs!$B$23+((C939=TRUE)*(F939-Calc!F22)),Inputs!$B$24+((C941=TRUE)*(F941-Calc!F24)))/100+(Inputs!$B$24+((C941=TRUE)*(F941-Calc!F24)))/100)/2</f>
        <v/>
      </c>
      <c r="M927">
        <f>L927*(1+(Inputs!$B$11+0+B951)/100)</f>
        <v/>
      </c>
      <c r="N927">
        <f>L927*(1-MIN((Inputs!$B$10+0+B946),100)/100)+M927*(MIN((Inputs!$B$10+0+B946),100)/100)</f>
        <v/>
      </c>
      <c r="O927">
        <f>(1-Summary!$B$55)*T927+Summary!$B$55*V927</f>
        <v/>
      </c>
      <c r="P927">
        <f>IF(B956=0,0,O927/B956)</f>
        <v/>
      </c>
      <c r="Q927">
        <f>IFERROR(1/IF(Inputs!$B$39="pvp",15,MAX(0.1,Skills!D10-IF(Skills!E10=TRUE,Inputs!$B$33,0))),0)</f>
        <v/>
      </c>
      <c r="R927">
        <f>IF(AND(Inputs!$B$39&lt;&gt;"pvp",Inputs!$B$44&gt;0),IF(MAX(0,Inputs!$B$44-B953)&lt;=0,0,(INT(MAX(0,Inputs!$B$44-B953)/IF(Inputs!$B$39="pvp",15,MAX(0.1,Skills!D10-IF(Skills!E10=TRUE,Inputs!$B$33,0))))+1)),0)</f>
        <v/>
      </c>
      <c r="S927">
        <f>IFERROR(O927/N927,0)</f>
        <v/>
      </c>
      <c r="T927">
        <f>IF(C927,(H927*N927*IF(AND(Inputs!$B$39&lt;&gt;"pvp",Inputs!$B$44&gt;0),((Skills!G10*((R927-1)*IF(Skills!H10&gt;0,Skills!I10/Skills!H10,1)+IF(Skills!H10&gt;0,MIN(Skills!I10,MAX(0,MAX(0,Inputs!$B$44-B953)-((R927-1)*IF(Inputs!$B$39="pvp",15,MAX(0.1,Skills!D10-IF(Skills!E10=TRUE,Inputs!$B$33,0))))))/Skills!H10,1)))/Inputs!$B$44),G927*Q927))*IF(Inputs!$B$39="pvp",1,1+(Inputs!$B$21+0+Skills!P10+((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0)</f>
        <v/>
      </c>
      <c r="V927">
        <f>IF(C927,(H927*N927*IF(AND(Inputs!$B$39&lt;&gt;"pvp",Inputs!$B$44&gt;0),((Skills!G10*((R927-1)*IF(Skills!H10&gt;0,Skills!I10/Skills!H10,1)+IF(Skills!H10&gt;0,MIN(Skills!I10,MAX(0,MAX(0,Inputs!$B$44-B953)-((R927-1)*IF(Inputs!$B$39="pvp",15,MAX(0.1,Skills!D10-IF(Skills!E10=TRUE,Inputs!$B$33,0))))))/Skills!H10,1)))/Inputs!$B$44),G927*Q927))*IF(Inputs!$B$39="pvp",1,(1+(Inputs!$B$22+Skills!Q10+((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MIN(Skills!R10,Inputs!$B$38))),0)</f>
        <v/>
      </c>
    </row>
    <row r="928">
      <c r="A928">
        <f>Skills!A11</f>
        <v/>
      </c>
      <c r="B928">
        <f>Skills!B11</f>
        <v/>
      </c>
      <c r="C928">
        <f>Inputs!$B$3&gt;=100</f>
        <v/>
      </c>
      <c r="D928">
        <f>IF(Skills!C11=1,60+Inputs!$B$26+Inputs!$B$30,IF(Skills!C11=2,90+Inputs!$B$27+Inputs!$B$30,IF(Skills!C11=3,120+Inputs!$B$28+Inputs!$B$30,MAX(0,(Inputs!$B$3-100)*3)+(Inputs!$B$29+1)+Inputs!$B$30)))</f>
        <v/>
      </c>
      <c r="E928">
        <f>INDEX(FactorTable!$B$2:$Y$301, MATCH(ROUND(MIN(300,MAX(1,D928)),0), FactorTable!$A$2:$A$301,0), Skills!M11+1)</f>
        <v/>
      </c>
      <c r="F928">
        <f>IF(Skills!N11=TRUE,(Skills!L11/10)*(E928/1000),Skills!L11/10)+Skills!O11</f>
        <v/>
      </c>
      <c r="G928" t="inlineStr"/>
      <c r="H928" t="inlineStr"/>
      <c r="I928" t="inlineStr">
        <is>
          <t>1</t>
        </is>
      </c>
      <c r="J928" t="inlineStr"/>
      <c r="K928" t="inlineStr"/>
      <c r="L928" t="inlineStr"/>
      <c r="M928" t="inlineStr"/>
      <c r="N928" t="inlineStr"/>
      <c r="O928" t="inlineStr"/>
      <c r="P928" t="inlineStr"/>
      <c r="Q928" t="inlineStr"/>
      <c r="R928" t="inlineStr"/>
      <c r="S928" t="inlineStr"/>
    </row>
    <row r="929">
      <c r="A929">
        <f>Skills!A12</f>
        <v/>
      </c>
      <c r="B929">
        <f>Skills!B12</f>
        <v/>
      </c>
      <c r="C929">
        <f>Inputs!$B$3&gt;=63</f>
        <v/>
      </c>
      <c r="D929">
        <f>IF(Skills!C12=1,60+Inputs!$B$26+Inputs!$B$30,IF(Skills!C12=2,90+Inputs!$B$27+Inputs!$B$30,IF(Skills!C12=3,120+Inputs!$B$28+Inputs!$B$30,MAX(0,(Inputs!$B$3-100)*3)+(Inputs!$B$29+1)+Inputs!$B$30)))</f>
        <v/>
      </c>
      <c r="E929">
        <f>INDEX(FactorTable!$B$2:$Y$301, MATCH(ROUND(MIN(300,MAX(1,D929)),0), FactorTable!$A$2:$A$301,0), Skills!M12+1)</f>
        <v/>
      </c>
      <c r="F929">
        <f>IF(Skills!N12=TRUE,(Skills!L12/10)*(E929/1000),Skills!L12/10)+Skills!O12</f>
        <v/>
      </c>
      <c r="G929">
        <f>Skills!G12*IF(Skills!H12&gt;0,Skills!I12/Skills!H12,1)</f>
        <v/>
      </c>
      <c r="H929">
        <f>1-(1-Skills!J12/100)^Skills!K12</f>
        <v/>
      </c>
      <c r="I929" t="inlineStr">
        <is>
          <t>1</t>
        </is>
      </c>
      <c r="J929">
        <f>((Inputs!$B$6*(1+Inputs!$B$7/100))+(((Inputs!$B$13*(1+Inputs!$B$14/100))-(Inputs!$B$13*(1+Inputs!$B$14/100)))+0.25*(Inputs!$B$15-Inputs!$B$15))*(1+Inputs!$B$7/100))*(F929/100)</f>
        <v/>
      </c>
      <c r="K929">
        <f>J929*(1+(((Inputs!$B$13+IF(Inputs!$B$3&gt;=38,(10*INDEX(FactorTable!$B$2:$Y$301, MATCH(ROUND(MIN(300,MAX(1,Inputs!$B$3)),0), FactorTable!$A$2:$A$301,0), 23)/1000)/100*(Inputs!$B$8*(1+Inputs!$B$9/100)),0))*(1+Inputs!$B$14/100))*0.01+Inputs!$B$15*0.0025)/100)*(1+Inputs!$B$16/100)*(1+Inputs!$B$17/100)*(5000/(6000+Inputs!$B$43*(1-(Inputs!$B$20+0)/100)))*(1+(Inputs!$B$25+((C942=TRUE)*(F942-Calc!F25))+((C943=TRUE)*(F943-Calc!F26))+B952)/100)*(1+0.75*IF(C928=TRUE,F928,0)/100)*(1+(IF(Skills!A12="DARK_IMPALE",Inputs!$B$18+0,Inputs!$B$19+((C940=TRUE)*(F940-Calc!F23))))/100)*((1+(((C930=TRUE)*F930*IF(AND(Inputs!$B$39&lt;&gt;"pvp",Inputs!$B$44&gt;0),(((R930-1)*(Skills!T13*(1+Inputs!$B$35/100))+MIN((Skills!T13*(1+Inputs!$B$35/100)),MAX(0,Inputs!$B$44-((R930-1)*Skills!D13))))/Inputs!$B$44),IF(Inputs!$B$39="pvp",MIN((Skills!T13*(1+Inputs!$B$35/100)),15)/15,(Skills!T13*(1+Inputs!$B$35/100))/Skills!D13)))+((C931=TRUE)*F931*IF(AND(Inputs!$B$39&lt;&gt;"pvp",Inputs!$B$44&gt;0),(((R931-1)*(Skills!T14*(1+Inputs!$B$35/100))+MIN((Skills!T14*(1+Inputs!$B$35/100)),MAX(0,Inputs!$B$44-((R931-1)*Skills!D14))))/Inputs!$B$44),IF(Inputs!$B$39="pvp",MIN((Skills!T14*(1+Inputs!$B$35/100)),15)/15,(Skills!T14*(1+Inputs!$B$35/100))/Skills!D14)))+((C932=TRUE)*F932*IF(AND(Inputs!$B$39&lt;&gt;"pvp",Inputs!$B$44&gt;0),(((R932-1)*(Skills!T15*(1+Inputs!$B$35/100))+MIN((Skills!T15*(1+Inputs!$B$35/100)),MAX(0,Inputs!$B$44-((R932-1)*Skills!D15))))/Inputs!$B$44),IF(Inputs!$B$39="pvp",MIN((Skills!T15*(1+Inputs!$B$35/100)),15)/15,(Skills!T15*(1+Inputs!$B$35/100))/Skills!D15)))+((C933=TRUE)*F933*IF(AND(Inputs!$B$39&lt;&gt;"pvp",Inputs!$B$44&gt;0),(((R933-1)*(Skills!T16*(1+Inputs!$B$35/100))+MIN((Skills!T16*(1+Inputs!$B$35/100)),MAX(0,Inputs!$B$44-((R933-1)*Skills!D16))))/Inputs!$B$44),IF(Inputs!$B$39="pvp",MIN((Skills!T16*(1+Inputs!$B$35/100)),15)/15,(Skills!T16*(1+Inputs!$B$35/100))/Skills!D16)))+0)/100)*I929)</f>
        <v/>
      </c>
      <c r="L929">
        <f>K929*(MIN(Inputs!$B$23+((C939=TRUE)*(F939-Calc!F22)),Inputs!$B$24+((C941=TRUE)*(F941-Calc!F24)))/100+(Inputs!$B$24+((C941=TRUE)*(F941-Calc!F24)))/100)/2</f>
        <v/>
      </c>
      <c r="M929">
        <f>L929*(1+(Inputs!$B$11+0+B951)/100)</f>
        <v/>
      </c>
      <c r="N929">
        <f>L929*(1-MIN((Inputs!$B$10+0+B946),100)/100)+M929*(MIN((Inputs!$B$10+0+B946),100)/100)</f>
        <v/>
      </c>
      <c r="O929">
        <f>(1-Summary!$B$55)*T929+Summary!$B$55*V929</f>
        <v/>
      </c>
      <c r="P929">
        <f>IF(B956=0,0,O929/B956)</f>
        <v/>
      </c>
      <c r="Q929">
        <f>IFERROR(1/IF(Inputs!$B$39="pvp",15,MAX(0.1,Skills!D12-IF(Skills!E12=TRUE,Inputs!$B$33,0))),0)</f>
        <v/>
      </c>
      <c r="R929">
        <f>IF(AND(Inputs!$B$39&lt;&gt;"pvp",Inputs!$B$44&gt;0),IF(MAX(0,Inputs!$B$44-B953)&lt;=0,0,(INT(MAX(0,Inputs!$B$44-B953)/IF(Inputs!$B$39="pvp",15,MAX(0.1,Skills!D12-IF(Skills!E12=TRUE,Inputs!$B$33,0))))+1)),0)</f>
        <v/>
      </c>
      <c r="S929">
        <f>IFERROR(O929/N929,0)</f>
        <v/>
      </c>
      <c r="T929">
        <f>IF(C929,(H929*N929*IF(AND(Inputs!$B$39&lt;&gt;"pvp",Inputs!$B$44&gt;0),((Skills!G12*((R929-1)*IF(Skills!H12&gt;0,Skills!I12/Skills!H12,1)+IF(Skills!H12&gt;0,MIN(Skills!I12,MAX(0,MAX(0,Inputs!$B$44-B953)-((R929-1)*IF(Inputs!$B$39="pvp",15,MAX(0.1,Skills!D12-IF(Skills!E12=TRUE,Inputs!$B$33,0))))))/Skills!H12,1)))/Inputs!$B$44),G929*Q929))*IF(Inputs!$B$39="pvp",1,1+(Inputs!$B$21+0+Skills!P12+((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0)</f>
        <v/>
      </c>
      <c r="V929">
        <f>IF(C929,(H929*N929*IF(AND(Inputs!$B$39&lt;&gt;"pvp",Inputs!$B$44&gt;0),((Skills!G12*((R929-1)*IF(Skills!H12&gt;0,Skills!I12/Skills!H12,1)+IF(Skills!H12&gt;0,MIN(Skills!I12,MAX(0,MAX(0,Inputs!$B$44-B953)-((R929-1)*IF(Inputs!$B$39="pvp",15,MAX(0.1,Skills!D12-IF(Skills!E12=TRUE,Inputs!$B$33,0))))))/Skills!H12,1)))/Inputs!$B$44),G929*Q929))*IF(Inputs!$B$39="pvp",1,(1+(Inputs!$B$22+Skills!Q12+((C934=TRUE)*F934*IF(AND(Inputs!$B$39&lt;&gt;"pvp",Inputs!$B$44&gt;0),(((R934-1)*(Skills!T17*(1+Inputs!$B$35/100))+MIN((Skills!T17*(1+Inputs!$B$35/100)),MAX(0,Inputs!$B$44-((R934-1)*Skills!D17))))/Inputs!$B$44),IF(Inputs!$B$39="pvp",MIN((Skills!T17*(1+Inputs!$B$35/100)),15)/15,(Skills!T17*(1+Inputs!$B$35/100))/Skills!D17)))+((C931=TRUE)*IF(Inputs!$B$39="pvp",20,(1-Summary!$B$55)*(20)+Summary!$B$55*(0))*IF(AND(Inputs!$B$39&lt;&gt;"pvp",Inputs!$B$44&gt;0),(((R931-1)*(Skills!T14*(1+Inputs!$B$35/100))+MIN((Skills!T14*(1+Inputs!$B$35/100)),MAX(0,Inputs!$B$44-((R931-1)*Skills!D14))))/Inputs!$B$44),IF(Inputs!$B$39="pvp",MIN((Skills!T14*(1+Inputs!$B$35/100)),15)/15,(Skills!T14*(1+Inputs!$B$35/100))/Skills!D14))))/100)*(MIN(Skills!R12,Inputs!$B$38))),0)</f>
        <v/>
      </c>
    </row>
    <row r="930">
      <c r="A930">
        <f>Skills!A13</f>
        <v/>
      </c>
      <c r="B930">
        <f>Skills!B13</f>
        <v/>
      </c>
      <c r="C930">
        <f>Inputs!$B$3&gt;=69</f>
        <v/>
      </c>
      <c r="D930">
        <f>IF(Skills!C13=1,60+Inputs!$B$26+Inputs!$B$30,IF(Skills!C13=2,90+Inputs!$B$27+Inputs!$B$30,IF(Skills!C13=3,120+Inputs!$B$28+Inputs!$B$30,MAX(0,(Inputs!$B$3-100)*3)+(Inputs!$B$29+1)+Inputs!$B$30)))</f>
        <v/>
      </c>
      <c r="E930">
        <f>INDEX(FactorTable!$B$2:$Y$301, MATCH(ROUND(MIN(300,MAX(1,D930)),0), FactorTable!$A$2:$A$301,0), Skills!M13+1)</f>
        <v/>
      </c>
      <c r="F930">
        <f>IF(Skills!N13=TRUE,(Skills!L13/10)*(E930/1000),Skills!L13/10)+Skills!O13</f>
        <v/>
      </c>
      <c r="G930">
        <f>Skills!G13*IF(Skills!H13&gt;0,Skills!I13/Skills!H13,1)</f>
        <v/>
      </c>
      <c r="H930">
        <f>1-(1-Skills!J13/100)^Skills!K13</f>
        <v/>
      </c>
      <c r="I930" t="inlineStr">
        <is>
          <t>1</t>
        </is>
      </c>
      <c r="J930" t="inlineStr"/>
      <c r="K930" t="inlineStr"/>
      <c r="L930" t="inlineStr"/>
      <c r="M930" t="inlineStr"/>
      <c r="N930" t="inlineStr"/>
      <c r="O930">
        <f>(1-Summary!$B$55)*T930+Summary!$B$55*V930</f>
        <v/>
      </c>
      <c r="P930">
        <f>IF(B956=0,0,O930/B956)</f>
        <v/>
      </c>
      <c r="Q930">
        <f>IFERROR(1/IF(Inputs!$B$39="pvp",15,MAX(0.1,Skills!D13-IF(Skills!E13=TRUE,Inputs!$B$33,0))),0)</f>
        <v/>
      </c>
      <c r="R930">
        <f>IF(AND(Inputs!$B$39&lt;&gt;"pvp",Inputs!$B$44&gt;0),IF(Inputs!$B$44&lt;=0,0,(INT(Inputs!$B$44/IF(Inputs!$B$39="pvp",15,MAX(0.1,Skills!D13-IF(Skills!E13=TRUE,Inputs!$B$33,0))))+1)),0)</f>
        <v/>
      </c>
      <c r="S930">
        <f>IFERROR(O930/N930,0)</f>
        <v/>
      </c>
      <c r="T930" t="n">
        <v>0</v>
      </c>
      <c r="V930" t="n">
        <v>0</v>
      </c>
    </row>
    <row r="931">
      <c r="A931">
        <f>Skills!A14</f>
        <v/>
      </c>
      <c r="B931">
        <f>Skills!B14</f>
        <v/>
      </c>
      <c r="C931">
        <f>Inputs!$B$3&gt;=115</f>
        <v/>
      </c>
      <c r="D931">
        <f>IF(Skills!C14=1,60+Inputs!$B$26+Inputs!$B$30,IF(Skills!C14=2,90+Inputs!$B$27+Inputs!$B$30,IF(Skills!C14=3,120+Inputs!$B$28+Inputs!$B$30,MAX(0,(Inputs!$B$3-100)*3)+(Inputs!$B$29+1)+Inputs!$B$30)))</f>
        <v/>
      </c>
      <c r="E931">
        <f>INDEX(FactorTable!$B$2:$Y$301, MATCH(ROUND(MIN(300,MAX(1,D931)),0), FactorTable!$A$2:$A$301,0), Skills!M14+1)</f>
        <v/>
      </c>
      <c r="F931">
        <f>IF(Skills!N14=TRUE,(Skills!L14/10)*(E931/1000),Skills!L14/10)+Skills!O14</f>
        <v/>
      </c>
      <c r="G931">
        <f>Skills!G14*IF(Skills!H14&gt;0,Skills!I14/Skills!H14,1)</f>
        <v/>
      </c>
      <c r="H931">
        <f>1-(1-Skills!J14/100)^Skills!K14</f>
        <v/>
      </c>
      <c r="I931" t="inlineStr">
        <is>
          <t>1</t>
        </is>
      </c>
      <c r="J931" t="inlineStr"/>
      <c r="K931" t="inlineStr"/>
      <c r="L931" t="inlineStr"/>
      <c r="M931" t="inlineStr"/>
      <c r="N931" t="inlineStr"/>
      <c r="O931">
        <f>(1-Summary!$B$55)*T931+Summary!$B$55*V931</f>
        <v/>
      </c>
      <c r="P931">
        <f>IF(B956=0,0,O931/B956)</f>
        <v/>
      </c>
      <c r="Q931">
        <f>IFERROR(1/IF(Inputs!$B$39="pvp",15,MAX(0.1,Skills!D14-IF(Skills!E14=TRUE,Inputs!$B$33,0))),0)</f>
        <v/>
      </c>
      <c r="R931">
        <f>IF(AND(Inputs!$B$39&lt;&gt;"pvp",Inputs!$B$44&gt;0),IF(Inputs!$B$44&lt;=0,0,(INT(Inputs!$B$44/IF(Inputs!$B$39="pvp",15,MAX(0.1,Skills!D14-IF(Skills!E14=TRUE,Inputs!$B$33,0))))+1)),0)</f>
        <v/>
      </c>
      <c r="S931">
        <f>IFERROR(O931/N931,0)</f>
        <v/>
      </c>
      <c r="T931" t="n">
        <v>0</v>
      </c>
      <c r="V931" t="n">
        <v>0</v>
      </c>
    </row>
    <row r="932">
      <c r="A932">
        <f>Skills!A15</f>
        <v/>
      </c>
      <c r="B932">
        <f>Skills!B15</f>
        <v/>
      </c>
      <c r="C932">
        <f>Inputs!$B$3&gt;=66</f>
        <v/>
      </c>
      <c r="D932">
        <f>IF(Skills!C15=1,60+Inputs!$B$26+Inputs!$B$30,IF(Skills!C15=2,90+Inputs!$B$27+Inputs!$B$30,IF(Skills!C15=3,120+Inputs!$B$28+Inputs!$B$30,MAX(0,(Inputs!$B$3-100)*3)+(Inputs!$B$29+1)+Inputs!$B$30)))</f>
        <v/>
      </c>
      <c r="E932">
        <f>INDEX(FactorTable!$B$2:$Y$301, MATCH(ROUND(MIN(300,MAX(1,D932)),0), FactorTable!$A$2:$A$301,0), Skills!M15+1)</f>
        <v/>
      </c>
      <c r="F932">
        <f>IF(Skills!N15=TRUE,(Skills!L15/10)*(E932/1000),Skills!L15/10)+Skills!O15</f>
        <v/>
      </c>
      <c r="G932">
        <f>Skills!G15*IF(Skills!H15&gt;0,Skills!I15/Skills!H15,1)</f>
        <v/>
      </c>
      <c r="H932">
        <f>1-(1-Skills!J15/100)^Skills!K15</f>
        <v/>
      </c>
      <c r="I932" t="inlineStr">
        <is>
          <t>1</t>
        </is>
      </c>
      <c r="J932" t="inlineStr"/>
      <c r="K932" t="inlineStr"/>
      <c r="L932" t="inlineStr"/>
      <c r="M932" t="inlineStr"/>
      <c r="N932" t="inlineStr"/>
      <c r="O932">
        <f>(1-Summary!$B$55)*T932+Summary!$B$55*V932</f>
        <v/>
      </c>
      <c r="P932">
        <f>IF(B956=0,0,O932/B956)</f>
        <v/>
      </c>
      <c r="Q932">
        <f>IFERROR(1/IF(Inputs!$B$39="pvp",15,MAX(0.1,Skills!D15-IF(Skills!E15=TRUE,Inputs!$B$33,0))),0)</f>
        <v/>
      </c>
      <c r="R932">
        <f>IF(AND(Inputs!$B$39&lt;&gt;"pvp",Inputs!$B$44&gt;0),IF(Inputs!$B$44&lt;=0,0,(INT(Inputs!$B$44/IF(Inputs!$B$39="pvp",15,MAX(0.1,Skills!D15-IF(Skills!E15=TRUE,Inputs!$B$33,0))))+1)),0)</f>
        <v/>
      </c>
      <c r="S932">
        <f>IFERROR(O932/N932,0)</f>
        <v/>
      </c>
      <c r="T932" t="n">
        <v>0</v>
      </c>
      <c r="V932" t="n">
        <v>0</v>
      </c>
    </row>
    <row r="933">
      <c r="A933">
        <f>Skills!A16</f>
        <v/>
      </c>
      <c r="B933">
        <f>Skills!B16</f>
        <v/>
      </c>
      <c r="C933">
        <f>Inputs!$B$3&gt;=45</f>
        <v/>
      </c>
      <c r="D933">
        <f>IF(Skills!C16=1,60+Inputs!$B$26+Inputs!$B$30,IF(Skills!C16=2,90+Inputs!$B$27+Inputs!$B$30,IF(Skills!C16=3,120+Inputs!$B$28+Inputs!$B$30,MAX(0,(Inputs!$B$3-100)*3)+(Inputs!$B$29+1)+Inputs!$B$30)))</f>
        <v/>
      </c>
      <c r="E933">
        <f>INDEX(FactorTable!$B$2:$Y$301, MATCH(ROUND(MIN(300,MAX(1,D933)),0), FactorTable!$A$2:$A$301,0), Skills!M16+1)</f>
        <v/>
      </c>
      <c r="F933">
        <f>IF(Skills!N16=TRUE,(Skills!L16/10)*(E933/1000),Skills!L16/10)+Skills!O16</f>
        <v/>
      </c>
      <c r="G933">
        <f>Skills!G16*IF(Skills!H16&gt;0,Skills!I16/Skills!H16,1)</f>
        <v/>
      </c>
      <c r="H933">
        <f>1-(1-Skills!J16/100)^Skills!K16</f>
        <v/>
      </c>
      <c r="I933" t="inlineStr">
        <is>
          <t>1</t>
        </is>
      </c>
      <c r="J933" t="inlineStr"/>
      <c r="K933" t="inlineStr"/>
      <c r="L933" t="inlineStr"/>
      <c r="M933" t="inlineStr"/>
      <c r="N933" t="inlineStr"/>
      <c r="O933">
        <f>(1-Summary!$B$55)*T933+Summary!$B$55*V933</f>
        <v/>
      </c>
      <c r="P933">
        <f>IF(B956=0,0,O933/B956)</f>
        <v/>
      </c>
      <c r="Q933">
        <f>IFERROR(1/IF(Inputs!$B$39="pvp",15,MAX(0.1,Skills!D16-IF(Skills!E16=TRUE,Inputs!$B$33,0))),0)</f>
        <v/>
      </c>
      <c r="R933">
        <f>IF(AND(Inputs!$B$39&lt;&gt;"pvp",Inputs!$B$44&gt;0),IF(Inputs!$B$44&lt;=0,0,(INT(Inputs!$B$44/IF(Inputs!$B$39="pvp",15,MAX(0.1,Skills!D16-IF(Skills!E16=TRUE,Inputs!$B$33,0))))+1)),0)</f>
        <v/>
      </c>
      <c r="S933">
        <f>IFERROR(O933/N933,0)</f>
        <v/>
      </c>
      <c r="T933" t="n">
        <v>0</v>
      </c>
      <c r="V933" t="n">
        <v>0</v>
      </c>
    </row>
    <row r="934">
      <c r="A934">
        <f>Skills!A17</f>
        <v/>
      </c>
      <c r="B934">
        <f>Skills!B17</f>
        <v/>
      </c>
      <c r="C934">
        <f>Inputs!$B$3&gt;=35</f>
        <v/>
      </c>
      <c r="D934">
        <f>IF(Skills!C17=1,60+Inputs!$B$26+Inputs!$B$30,IF(Skills!C17=2,90+Inputs!$B$27+Inputs!$B$30,IF(Skills!C17=3,120+Inputs!$B$28+Inputs!$B$30,MAX(0,(Inputs!$B$3-100)*3)+(Inputs!$B$29+1)+Inputs!$B$30)))</f>
        <v/>
      </c>
      <c r="E934">
        <f>INDEX(FactorTable!$B$2:$Y$301, MATCH(ROUND(MIN(300,MAX(1,D934)),0), FactorTable!$A$2:$A$301,0), Skills!M17+1)</f>
        <v/>
      </c>
      <c r="F934">
        <f>IF(Skills!N17=TRUE,(Skills!L17/10)*(E934/1000),Skills!L17/10)+Skills!O17</f>
        <v/>
      </c>
      <c r="G934">
        <f>Skills!G17*IF(Skills!H17&gt;0,Skills!I17/Skills!H17,1)</f>
        <v/>
      </c>
      <c r="H934">
        <f>1-(1-Skills!J17/100)^Skills!K17</f>
        <v/>
      </c>
      <c r="I934" t="inlineStr">
        <is>
          <t>1</t>
        </is>
      </c>
      <c r="J934" t="inlineStr"/>
      <c r="K934" t="inlineStr"/>
      <c r="L934" t="inlineStr"/>
      <c r="M934" t="inlineStr"/>
      <c r="N934" t="inlineStr"/>
      <c r="O934">
        <f>(1-Summary!$B$55)*T934+Summary!$B$55*V934</f>
        <v/>
      </c>
      <c r="P934">
        <f>IF(B956=0,0,O934/B956)</f>
        <v/>
      </c>
      <c r="Q934">
        <f>IFERROR(1/IF(Inputs!$B$39="pvp",15,MAX(0.1,Skills!D17-IF(Skills!E17=TRUE,Inputs!$B$33,0))),0)</f>
        <v/>
      </c>
      <c r="R934">
        <f>IF(AND(Inputs!$B$39&lt;&gt;"pvp",Inputs!$B$44&gt;0),IF(Inputs!$B$44&lt;=0,0,(INT(Inputs!$B$44/IF(Inputs!$B$39="pvp",15,MAX(0.1,Skills!D17-IF(Skills!E17=TRUE,Inputs!$B$33,0))))+1)),0)</f>
        <v/>
      </c>
      <c r="S934">
        <f>IFERROR(O934/N934,0)</f>
        <v/>
      </c>
      <c r="T934" t="n">
        <v>0</v>
      </c>
      <c r="V934" t="n">
        <v>0</v>
      </c>
    </row>
    <row r="935">
      <c r="A935">
        <f>Skills!A18</f>
        <v/>
      </c>
      <c r="B935">
        <f>Skills!B18</f>
        <v/>
      </c>
      <c r="C935">
        <f>Inputs!$B$3&gt;=72</f>
        <v/>
      </c>
      <c r="D935">
        <f>IF(Skills!C18=1,60+Inputs!$B$26+Inputs!$B$30,IF(Skills!C18=2,90+Inputs!$B$27+Inputs!$B$30,IF(Skills!C18=3,120+Inputs!$B$28+Inputs!$B$30,MAX(0,(Inputs!$B$3-100)*3)+(Inputs!$B$29+1)+Inputs!$B$30)))</f>
        <v/>
      </c>
      <c r="E935">
        <f>INDEX(FactorTable!$B$2:$Y$301, MATCH(ROUND(MIN(300,MAX(1,D935)),0), FactorTable!$A$2:$A$301,0), Skills!M18+1)</f>
        <v/>
      </c>
      <c r="F935">
        <f>IF(Skills!N18=TRUE,(Skills!L18/10)*(E935/1000),Skills!L18/10)+Skills!O18</f>
        <v/>
      </c>
      <c r="G935">
        <f>Skills!G18*IF(Skills!H18&gt;0,Skills!I18/Skills!H18,1)</f>
        <v/>
      </c>
      <c r="H935">
        <f>1-(1-Skills!J18/100)^Skills!K18</f>
        <v/>
      </c>
      <c r="I935" t="inlineStr">
        <is>
          <t>1</t>
        </is>
      </c>
      <c r="J935" t="inlineStr"/>
      <c r="K935" t="inlineStr"/>
      <c r="L935" t="inlineStr"/>
      <c r="M935" t="inlineStr"/>
      <c r="N935" t="inlineStr"/>
      <c r="O935">
        <f>(1-Summary!$B$55)*T935+Summary!$B$55*V935</f>
        <v/>
      </c>
      <c r="P935">
        <f>IF(B956=0,0,O935/B956)</f>
        <v/>
      </c>
      <c r="Q935">
        <f>IFERROR(1/IF(Inputs!$B$39="pvp",15,MAX(0.1,Skills!D18-IF(Skills!E18=TRUE,Inputs!$B$33,0))),0)</f>
        <v/>
      </c>
      <c r="R935">
        <f>IF(AND(Inputs!$B$39&lt;&gt;"pvp",Inputs!$B$44&gt;0),IF(Inputs!$B$44&lt;=0,0,(INT(Inputs!$B$44/IF(Inputs!$B$39="pvp",15,MAX(0.1,Skills!D18-IF(Skills!E18=TRUE,Inputs!$B$33,0))))+1)),0)</f>
        <v/>
      </c>
      <c r="S935">
        <f>IFERROR(O935/N935,0)</f>
        <v/>
      </c>
      <c r="T935" t="n">
        <v>0</v>
      </c>
      <c r="V935" t="n">
        <v>0</v>
      </c>
    </row>
    <row r="936">
      <c r="A936">
        <f>Skills!A19</f>
        <v/>
      </c>
      <c r="B936">
        <f>Skills!B19</f>
        <v/>
      </c>
      <c r="C936">
        <f>Inputs!$B$3&gt;=72</f>
        <v/>
      </c>
      <c r="D936">
        <f>IF(Skills!C19=1,60+Inputs!$B$26+Inputs!$B$30,IF(Skills!C19=2,90+Inputs!$B$27+Inputs!$B$30,IF(Skills!C19=3,120+Inputs!$B$28+Inputs!$B$30,MAX(0,(Inputs!$B$3-100)*3)+(Inputs!$B$29+1)+Inputs!$B$30)))</f>
        <v/>
      </c>
      <c r="E936">
        <f>INDEX(FactorTable!$B$2:$Y$301, MATCH(ROUND(MIN(300,MAX(1,D936)),0), FactorTable!$A$2:$A$301,0), Skills!M19+1)</f>
        <v/>
      </c>
      <c r="F936">
        <f>IF(Skills!N19=TRUE,(Skills!L19/10)*(E936/1000),Skills!L19/10)+Skills!O19</f>
        <v/>
      </c>
      <c r="G936">
        <f>Skills!G19*IF(Skills!H19&gt;0,Skills!I19/Skills!H19,1)</f>
        <v/>
      </c>
      <c r="H936">
        <f>1-(1-Skills!J19/100)^Skills!K19</f>
        <v/>
      </c>
      <c r="I936" t="inlineStr">
        <is>
          <t>1</t>
        </is>
      </c>
      <c r="J936" t="inlineStr"/>
      <c r="K936" t="inlineStr"/>
      <c r="L936" t="inlineStr"/>
      <c r="M936" t="inlineStr"/>
      <c r="N936" t="inlineStr"/>
      <c r="O936">
        <f>(1-Summary!$B$55)*T936+Summary!$B$55*V936</f>
        <v/>
      </c>
      <c r="P936">
        <f>IF(B956=0,0,O936/B956)</f>
        <v/>
      </c>
      <c r="Q936">
        <f>IFERROR(1/IF(Inputs!$B$39="pvp",15,MAX(0.1,Skills!D19-IF(Skills!E19=TRUE,Inputs!$B$33,0))),0)</f>
        <v/>
      </c>
      <c r="R936">
        <f>IF(AND(Inputs!$B$39&lt;&gt;"pvp",Inputs!$B$44&gt;0),IF(Inputs!$B$44&lt;=0,0,(INT(Inputs!$B$44/IF(Inputs!$B$39="pvp",15,MAX(0.1,Skills!D19-IF(Skills!E19=TRUE,Inputs!$B$33,0))))+1)),0)</f>
        <v/>
      </c>
      <c r="S936">
        <f>IFERROR(O936/N936,0)</f>
        <v/>
      </c>
      <c r="T936" t="n">
        <v>0</v>
      </c>
      <c r="V936" t="n">
        <v>0</v>
      </c>
    </row>
    <row r="937">
      <c r="A937">
        <f>Skills!A20</f>
        <v/>
      </c>
      <c r="B937">
        <f>Skills!B20</f>
        <v/>
      </c>
      <c r="C937">
        <f>TRUE</f>
        <v/>
      </c>
      <c r="D937">
        <f>IF(Skills!C20=1,60+Inputs!$B$26+Inputs!$B$30,IF(Skills!C20=2,90+Inputs!$B$27+Inputs!$B$30,IF(Skills!C20=3,120+Inputs!$B$28+Inputs!$B$30,MAX(0,(Inputs!$B$3-100)*3)+(Inputs!$B$29+1)+Inputs!$B$30)))</f>
        <v/>
      </c>
      <c r="E937">
        <f>INDEX(FactorTable!$B$2:$Y$301, MATCH(ROUND(MIN(300,MAX(1,D937)),0), FactorTable!$A$2:$A$301,0), Skills!M20+1)</f>
        <v/>
      </c>
      <c r="F937">
        <f>IF(Skills!N20=TRUE,(Skills!L20/10)*(E937/1000),Skills!L20/10)+Skills!O20</f>
        <v/>
      </c>
      <c r="G937">
        <f>Skills!G20*IF(Skills!H20&gt;0,Skills!I20/Skills!H20,1)</f>
        <v/>
      </c>
      <c r="H937">
        <f>1-(1-Skills!J20/100)^Skills!K20</f>
        <v/>
      </c>
      <c r="I937" t="inlineStr">
        <is>
          <t>1</t>
        </is>
      </c>
      <c r="J937" t="inlineStr"/>
      <c r="K937" t="inlineStr"/>
      <c r="L937" t="inlineStr"/>
      <c r="M937" t="inlineStr"/>
      <c r="N937" t="inlineStr"/>
      <c r="O937">
        <f>(1-Summary!$B$55)*T937+Summary!$B$55*V937</f>
        <v/>
      </c>
      <c r="P937">
        <f>IF(B956=0,0,O937/B956)</f>
        <v/>
      </c>
      <c r="Q937">
        <f>IFERROR(1/IF(Inputs!$B$39="pvp",15,MAX(0.1,Skills!D20-IF(Skills!E20=TRUE,Inputs!$B$33,0))),0)</f>
        <v/>
      </c>
      <c r="R937">
        <f>IF(AND(Inputs!$B$39&lt;&gt;"pvp",Inputs!$B$44&gt;0),IF(Inputs!$B$44&lt;=0,0,(INT(Inputs!$B$44/IF(Inputs!$B$39="pvp",15,MAX(0.1,Skills!D20-IF(Skills!E20=TRUE,Inputs!$B$33,0))))+1)),0)</f>
        <v/>
      </c>
      <c r="S937">
        <f>IFERROR(O937/N937,0)</f>
        <v/>
      </c>
      <c r="T937" t="n">
        <v>0</v>
      </c>
      <c r="V937" t="n">
        <v>0</v>
      </c>
    </row>
    <row r="938">
      <c r="A938">
        <f>Skills!A21</f>
        <v/>
      </c>
      <c r="B938">
        <f>Skills!B21</f>
        <v/>
      </c>
      <c r="C938">
        <f>Inputs!$B$3&gt;=33</f>
        <v/>
      </c>
      <c r="D938">
        <f>IF(Skills!C21=1,60+Inputs!$B$26+Inputs!$B$30,IF(Skills!C21=2,90+Inputs!$B$27+Inputs!$B$30,IF(Skills!C21=3,120+Inputs!$B$28+Inputs!$B$30,MAX(0,(Inputs!$B$3-100)*3)+(Inputs!$B$29+1)+Inputs!$B$30)))</f>
        <v/>
      </c>
      <c r="E938">
        <f>INDEX(FactorTable!$B$2:$Y$301, MATCH(ROUND(MIN(300,MAX(1,D938)),0), FactorTable!$A$2:$A$301,0), Skills!M21+1)</f>
        <v/>
      </c>
      <c r="F938">
        <f>IF(Skills!N21=TRUE,(Skills!L21/10)*(E938/1000),Skills!L21/10)+Skills!O21</f>
        <v/>
      </c>
      <c r="G938">
        <f>Skills!G21*IF(Skills!H21&gt;0,Skills!I21/Skills!H21,1)</f>
        <v/>
      </c>
      <c r="H938">
        <f>1-(1-Skills!J21/100)^Skills!K21</f>
        <v/>
      </c>
      <c r="I938" t="inlineStr">
        <is>
          <t>1</t>
        </is>
      </c>
      <c r="J938" t="inlineStr"/>
      <c r="K938" t="inlineStr"/>
      <c r="L938" t="inlineStr"/>
      <c r="M938" t="inlineStr"/>
      <c r="N938" t="inlineStr"/>
      <c r="O938">
        <f>(1-Summary!$B$55)*T938+Summary!$B$55*V938</f>
        <v/>
      </c>
      <c r="P938">
        <f>IF(B956=0,0,O938/B956)</f>
        <v/>
      </c>
      <c r="Q938" t="n">
        <v>0</v>
      </c>
      <c r="R938" t="n">
        <v>0</v>
      </c>
      <c r="S938">
        <f>IFERROR(O938/N938,0)</f>
        <v/>
      </c>
      <c r="T938" t="n">
        <v>0</v>
      </c>
      <c r="V938" t="n">
        <v>0</v>
      </c>
    </row>
    <row r="939">
      <c r="A939">
        <f>Skills!A22</f>
        <v/>
      </c>
      <c r="B939">
        <f>Skills!B22</f>
        <v/>
      </c>
      <c r="C939">
        <f>Inputs!$B$3&gt;=43</f>
        <v/>
      </c>
      <c r="D939">
        <f>IF(Skills!C22=1,60+Inputs!$B$26+Inputs!$B$30,IF(Skills!C22=2,90+Inputs!$B$27+Inputs!$B$30,IF(Skills!C22=3,120+Inputs!$B$28+Inputs!$B$30,MAX(0,(Inputs!$B$3-100)*3)+(Inputs!$B$29+1)+Inputs!$B$30)))</f>
        <v/>
      </c>
      <c r="E939">
        <f>INDEX(FactorTable!$B$2:$Y$301, MATCH(ROUND(MIN(300,MAX(1,D939)),0), FactorTable!$A$2:$A$301,0), Skills!M22+1)</f>
        <v/>
      </c>
      <c r="F939">
        <f>IF(Skills!N22=TRUE,(Skills!L22/10)*(E939/1000),Skills!L22/10)+Skills!O22</f>
        <v/>
      </c>
      <c r="G939">
        <f>Skills!G22*IF(Skills!H22&gt;0,Skills!I22/Skills!H22,1)</f>
        <v/>
      </c>
      <c r="H939">
        <f>1-(1-Skills!J22/100)^Skills!K22</f>
        <v/>
      </c>
      <c r="I939" t="inlineStr">
        <is>
          <t>1</t>
        </is>
      </c>
      <c r="J939" t="inlineStr"/>
      <c r="K939" t="inlineStr"/>
      <c r="L939" t="inlineStr"/>
      <c r="M939" t="inlineStr"/>
      <c r="N939" t="inlineStr"/>
      <c r="O939">
        <f>(1-Summary!$B$55)*T939+Summary!$B$55*V939</f>
        <v/>
      </c>
      <c r="P939">
        <f>IF(B956=0,0,O939/B956)</f>
        <v/>
      </c>
      <c r="Q939" t="n">
        <v>0</v>
      </c>
      <c r="R939" t="n">
        <v>0</v>
      </c>
      <c r="S939">
        <f>IFERROR(O939/N939,0)</f>
        <v/>
      </c>
      <c r="T939" t="n">
        <v>0</v>
      </c>
      <c r="V939" t="n">
        <v>0</v>
      </c>
    </row>
    <row r="940">
      <c r="A940">
        <f>Skills!A23</f>
        <v/>
      </c>
      <c r="B940">
        <f>Skills!B23</f>
        <v/>
      </c>
      <c r="C940">
        <f>Inputs!$B$3&gt;=120</f>
        <v/>
      </c>
      <c r="D940">
        <f>IF(Skills!C23=1,60+Inputs!$B$26+Inputs!$B$30,IF(Skills!C23=2,90+Inputs!$B$27+Inputs!$B$30,IF(Skills!C23=3,120+Inputs!$B$28+Inputs!$B$30,MAX(0,(Inputs!$B$3-100)*3)+(Inputs!$B$29+1)+Inputs!$B$30)))</f>
        <v/>
      </c>
      <c r="E940">
        <f>INDEX(FactorTable!$B$2:$Y$301, MATCH(ROUND(MIN(300,MAX(1,D940)),0), FactorTable!$A$2:$A$301,0), Skills!M23+1)</f>
        <v/>
      </c>
      <c r="F940">
        <f>IF(Skills!N23=TRUE,(Skills!L23/10)*(E940/1000),Skills!L23/10)+Skills!O23</f>
        <v/>
      </c>
      <c r="G940">
        <f>Skills!G23*IF(Skills!H23&gt;0,Skills!I23/Skills!H23,1)</f>
        <v/>
      </c>
      <c r="H940">
        <f>1-(1-Skills!J23/100)^Skills!K23</f>
        <v/>
      </c>
      <c r="I940" t="inlineStr">
        <is>
          <t>1</t>
        </is>
      </c>
      <c r="J940" t="inlineStr"/>
      <c r="K940" t="inlineStr"/>
      <c r="L940" t="inlineStr"/>
      <c r="M940" t="inlineStr"/>
      <c r="N940" t="inlineStr"/>
      <c r="O940">
        <f>(1-Summary!$B$55)*T940+Summary!$B$55*V940</f>
        <v/>
      </c>
      <c r="P940">
        <f>IF(B956=0,0,O940/B956)</f>
        <v/>
      </c>
      <c r="Q940" t="n">
        <v>0</v>
      </c>
      <c r="R940" t="n">
        <v>0</v>
      </c>
      <c r="S940">
        <f>IFERROR(O940/N940,0)</f>
        <v/>
      </c>
      <c r="T940" t="n">
        <v>0</v>
      </c>
      <c r="V940" t="n">
        <v>0</v>
      </c>
    </row>
    <row r="941">
      <c r="A941">
        <f>Skills!A24</f>
        <v/>
      </c>
      <c r="B941">
        <f>Skills!B24</f>
        <v/>
      </c>
      <c r="C941">
        <f>Inputs!$B$3&gt;=120</f>
        <v/>
      </c>
      <c r="D941">
        <f>IF(Skills!C24=1,60+Inputs!$B$26+Inputs!$B$30,IF(Skills!C24=2,90+Inputs!$B$27+Inputs!$B$30,IF(Skills!C24=3,120+Inputs!$B$28+Inputs!$B$30,MAX(0,(Inputs!$B$3-100)*3)+(Inputs!$B$29+1)+Inputs!$B$30)))</f>
        <v/>
      </c>
      <c r="E941">
        <f>INDEX(FactorTable!$B$2:$Y$301, MATCH(ROUND(MIN(300,MAX(1,D941)),0), FactorTable!$A$2:$A$301,0), Skills!M24+1)</f>
        <v/>
      </c>
      <c r="F941">
        <f>IF(Skills!N24=TRUE,(Skills!L24/10)*(E941/1000),Skills!L24/10)+Skills!O24</f>
        <v/>
      </c>
      <c r="G941">
        <f>Skills!G24*IF(Skills!H24&gt;0,Skills!I24/Skills!H24,1)</f>
        <v/>
      </c>
      <c r="H941">
        <f>1-(1-Skills!J24/100)^Skills!K24</f>
        <v/>
      </c>
      <c r="I941" t="inlineStr">
        <is>
          <t>1</t>
        </is>
      </c>
      <c r="J941" t="inlineStr"/>
      <c r="K941" t="inlineStr"/>
      <c r="L941" t="inlineStr"/>
      <c r="M941" t="inlineStr"/>
      <c r="N941" t="inlineStr"/>
      <c r="O941">
        <f>(1-Summary!$B$55)*T941+Summary!$B$55*V941</f>
        <v/>
      </c>
      <c r="P941">
        <f>IF(B956=0,0,O941/B956)</f>
        <v/>
      </c>
      <c r="Q941" t="n">
        <v>0</v>
      </c>
      <c r="R941" t="n">
        <v>0</v>
      </c>
      <c r="S941">
        <f>IFERROR(O941/N941,0)</f>
        <v/>
      </c>
      <c r="T941" t="n">
        <v>0</v>
      </c>
      <c r="V941" t="n">
        <v>0</v>
      </c>
    </row>
    <row r="942">
      <c r="A942">
        <f>Skills!A25</f>
        <v/>
      </c>
      <c r="B942">
        <f>Skills!B25</f>
        <v/>
      </c>
      <c r="C942">
        <f>Inputs!$B$3&gt;=125</f>
        <v/>
      </c>
      <c r="D942">
        <f>IF(Skills!C25=1,60+Inputs!$B$26+Inputs!$B$30,IF(Skills!C25=2,90+Inputs!$B$27+Inputs!$B$30,IF(Skills!C25=3,120+Inputs!$B$28+Inputs!$B$30,MAX(0,(Inputs!$B$3-100)*3)+(Inputs!$B$29+1)+Inputs!$B$30)))</f>
        <v/>
      </c>
      <c r="E942">
        <f>INDEX(FactorTable!$B$2:$Y$301, MATCH(ROUND(MIN(300,MAX(1,D942)),0), FactorTable!$A$2:$A$301,0), Skills!M25+1)</f>
        <v/>
      </c>
      <c r="F942">
        <f>IF(Skills!N25=TRUE,(Skills!L25/10)*(E942/1000),Skills!L25/10)+Skills!O25</f>
        <v/>
      </c>
      <c r="G942">
        <f>Skills!G25*IF(Skills!H25&gt;0,Skills!I25/Skills!H25,1)</f>
        <v/>
      </c>
      <c r="H942">
        <f>1-(1-Skills!J25/100)^Skills!K25</f>
        <v/>
      </c>
      <c r="I942" t="inlineStr">
        <is>
          <t>1</t>
        </is>
      </c>
      <c r="J942" t="inlineStr"/>
      <c r="K942" t="inlineStr"/>
      <c r="L942" t="inlineStr"/>
      <c r="M942" t="inlineStr"/>
      <c r="N942" t="inlineStr"/>
      <c r="O942">
        <f>(1-Summary!$B$55)*T942+Summary!$B$55*V942</f>
        <v/>
      </c>
      <c r="P942">
        <f>IF(B956=0,0,O942/B956)</f>
        <v/>
      </c>
      <c r="Q942" t="n">
        <v>0</v>
      </c>
      <c r="R942" t="n">
        <v>0</v>
      </c>
      <c r="S942">
        <f>IFERROR(O942/N942,0)</f>
        <v/>
      </c>
      <c r="T942" t="n">
        <v>0</v>
      </c>
      <c r="V942" t="n">
        <v>0</v>
      </c>
    </row>
    <row r="943">
      <c r="A943">
        <f>Skills!A26</f>
        <v/>
      </c>
      <c r="B943">
        <f>Skills!B26</f>
        <v/>
      </c>
      <c r="C943">
        <f>Inputs!$B$3&gt;=107</f>
        <v/>
      </c>
      <c r="D943">
        <f>IF(Skills!C26=1,60+Inputs!$B$26+Inputs!$B$30,IF(Skills!C26=2,90+Inputs!$B$27+Inputs!$B$30,IF(Skills!C26=3,120+Inputs!$B$28+Inputs!$B$30,MAX(0,(Inputs!$B$3-100)*3)+(Inputs!$B$29+1)+Inputs!$B$30)))</f>
        <v/>
      </c>
      <c r="E943">
        <f>INDEX(FactorTable!$B$2:$Y$301, MATCH(ROUND(MIN(300,MAX(1,D943)),0), FactorTable!$A$2:$A$301,0), Skills!M26+1)</f>
        <v/>
      </c>
      <c r="F943">
        <f>IF(Skills!N26=TRUE,(Skills!L26/10)*(E943/1000),Skills!L26/10)+Skills!O26</f>
        <v/>
      </c>
      <c r="G943">
        <f>Skills!G26*IF(Skills!H26&gt;0,Skills!I26/Skills!H26,1)</f>
        <v/>
      </c>
      <c r="H943">
        <f>1-(1-Skills!J26/100)^Skills!K26</f>
        <v/>
      </c>
      <c r="I943" t="inlineStr">
        <is>
          <t>1</t>
        </is>
      </c>
      <c r="J943" t="inlineStr"/>
      <c r="K943" t="inlineStr"/>
      <c r="L943" t="inlineStr"/>
      <c r="M943" t="inlineStr"/>
      <c r="N943" t="inlineStr"/>
      <c r="O943">
        <f>(1-Summary!$B$55)*T943+Summary!$B$55*V943</f>
        <v/>
      </c>
      <c r="P943">
        <f>IF(B956=0,0,O943/B956)</f>
        <v/>
      </c>
      <c r="Q943" t="n">
        <v>0</v>
      </c>
      <c r="R943" t="n">
        <v>0</v>
      </c>
      <c r="S943">
        <f>IFERROR(O943/N943,0)</f>
        <v/>
      </c>
      <c r="T943" t="n">
        <v>0</v>
      </c>
      <c r="V943" t="n">
        <v>0</v>
      </c>
    </row>
    <row r="945">
      <c r="A945" t="inlineStr">
        <is>
          <t>Attack% Bucket Multiplier</t>
        </is>
      </c>
      <c r="B945">
        <f>(1+(((C930=TRUE)*F930*IF(AND(Inputs!$B$39&lt;&gt;"pvp",Inputs!$B$44&gt;0),(((R930-1)*(Skills!T13*(1+Inputs!$B$35/100))+MIN((Skills!T13*(1+Inputs!$B$35/100)),MAX(0,Inputs!$B$44-((R930-1)*Skills!D13))))/Inputs!$B$44),IF(Inputs!$B$39="pvp",MIN((Skills!T13*(1+Inputs!$B$35/100)),15)/15,(Skills!T13*(1+Inputs!$B$35/100))/Skills!D13)))+((C931=TRUE)*F931*IF(AND(Inputs!$B$39&lt;&gt;"pvp",Inputs!$B$44&gt;0),(((R931-1)*(Skills!T14*(1+Inputs!$B$35/100))+MIN((Skills!T14*(1+Inputs!$B$35/100)),MAX(0,Inputs!$B$44-((R931-1)*Skills!D14))))/Inputs!$B$44),IF(Inputs!$B$39="pvp",MIN((Skills!T14*(1+Inputs!$B$35/100)),15)/15,(Skills!T14*(1+Inputs!$B$35/100))/Skills!D14)))+((C932=TRUE)*F932*IF(AND(Inputs!$B$39&lt;&gt;"pvp",Inputs!$B$44&gt;0),(((R932-1)*(Skills!T15*(1+Inputs!$B$35/100))+MIN((Skills!T15*(1+Inputs!$B$35/100)),MAX(0,Inputs!$B$44-((R932-1)*Skills!D15))))/Inputs!$B$44),IF(Inputs!$B$39="pvp",MIN((Skills!T15*(1+Inputs!$B$35/100)),15)/15,(Skills!T15*(1+Inputs!$B$35/100))/Skills!D15)))+((C933=TRUE)*F933*IF(AND(Inputs!$B$39&lt;&gt;"pvp",Inputs!$B$44&gt;0),(((R933-1)*(Skills!T16*(1+Inputs!$B$35/100))+MIN((Skills!T16*(1+Inputs!$B$35/100)),MAX(0,Inputs!$B$44-((R933-1)*Skills!D16))))/Inputs!$B$44),IF(Inputs!$B$39="pvp",MIN((Skills!T16*(1+Inputs!$B$35/100)),15)/15,(Skills!T16*(1+Inputs!$B$35/100))/Skills!D16)))+0)/100)</f>
        <v/>
      </c>
    </row>
    <row r="946">
      <c r="A946" t="inlineStr">
        <is>
          <t>Global Crit Rate Bonus % (Lord of Darkness)</t>
        </is>
      </c>
      <c r="B946">
        <f>((C935=TRUE)*F935*(Skills!J18/100)*IF(AND(Inputs!$B$39&lt;&gt;"pvp",Inputs!$B$44&gt;0),(((R935-1)*(Skills!T18*(1+Inputs!$B$35/100))+MIN((Skills!T18*(1+Inputs!$B$35/100)),MAX(0,Inputs!$B$44-((R935-1)*Skills!D18))))/Inputs!$B$44),IF(Inputs!$B$39="pvp",MIN((Skills!T18*(1+Inputs!$B$35/100)),15)/15,(Skills!T18*(1+Inputs!$B$35/100))/Skills!D18)))</f>
        <v/>
      </c>
    </row>
    <row r="947">
      <c r="A947" t="inlineStr">
        <is>
          <t>Attack Speed Buff Bonus %</t>
        </is>
      </c>
      <c r="B947">
        <f>((C937=TRUE)*F937*IF(AND(Inputs!$B$39&lt;&gt;"pvp",Inputs!$B$44&gt;0),(((R937-1)*(Skills!T20*(1+Inputs!$B$35/100))+MIN((Skills!T20*(1+Inputs!$B$35/100)),MAX(0,Inputs!$B$44-((R937-1)*Skills!D20))))/Inputs!$B$44),IF(Inputs!$B$39="pvp",MIN((Skills!T20*(1+Inputs!$B$35/100)),15)/15,(Skills!T20*(1+Inputs!$B$35/100))/Skills!D20)))</f>
        <v/>
      </c>
    </row>
    <row r="948">
      <c r="A948" t="inlineStr">
        <is>
          <t>Actions Per Second</t>
        </is>
      </c>
      <c r="B948">
        <f>1+MIN(150,150*(1-(1-(Inputs!$B$12+((C938=TRUE)*(F938-Calc!F21)))/150)*(1-B947/150)))/100</f>
        <v/>
      </c>
    </row>
    <row r="949">
      <c r="A949" t="inlineStr">
        <is>
          <t>Skill + Buff Cast Rate</t>
        </is>
      </c>
      <c r="B949">
        <f>IF(AND(Inputs!$B$39&lt;&gt;"pvp",Inputs!$B$44&gt;0),SUMPRODUCT((Skills!E2:E26=TRUE)*(C919:C943=TRUE)*R919:R943*Skills!F2:F26)/Inputs!$B$44,SUMPRODUCT((Skills!E2:E26=TRUE)*(C919:C943=TRUE)*Q919:Q943*Skills!F2:F26))</f>
        <v/>
      </c>
    </row>
    <row r="950">
      <c r="A950" t="inlineStr">
        <is>
          <t>Dark Impale Casts Per Second</t>
        </is>
      </c>
      <c r="B950">
        <f>MAX(0,B948-B949)</f>
        <v/>
      </c>
    </row>
    <row r="951">
      <c r="A951" t="inlineStr">
        <is>
          <t>Global Critical Damage Bonus % (Lord of Darkness)</t>
        </is>
      </c>
      <c r="B951">
        <f>((C936=TRUE)*F936*(Skills!J19/100)*IF(AND(Inputs!$B$39&lt;&gt;"pvp",Inputs!$B$44&gt;0),(((R936-1)*(Skills!T19*(1+Inputs!$B$35/100))+MIN((Skills!T19*(1+Inputs!$B$35/100)),MAX(0,Inputs!$B$44-((R936-1)*Skills!D19))))/Inputs!$B$44),IF(Inputs!$B$39="pvp",MIN((Skills!T19*(1+Inputs!$B$35/100)),15)/15,(Skills!T19*(1+Inputs!$B$35/100))/Skills!D19)))</f>
        <v/>
      </c>
    </row>
    <row r="952">
      <c r="A952" t="inlineStr">
        <is>
          <t>Global Final Damage Bonus % (unused)</t>
        </is>
      </c>
      <c r="B952" t="n">
        <v>0</v>
      </c>
    </row>
    <row r="953">
      <c r="A953" t="inlineStr">
        <is>
          <t>Buff-Casting Startup Delay (s, fixed-duration only)</t>
        </is>
      </c>
      <c r="B953">
        <f>IF(AND(Inputs!$B$39&lt;&gt;"pvp",Inputs!$B$44&gt;0),SUMPRODUCT((Skills!T2:T26&gt;0)*(Skills!E2:E26=TRUE)*(C919:C943=TRUE))/B948,0)</f>
        <v/>
      </c>
    </row>
    <row r="954">
      <c r="A954" t="inlineStr">
        <is>
          <t>Boss-Only Total DPS (this block's swept value)</t>
        </is>
      </c>
      <c r="B954">
        <f>SUM(T919:T943)</f>
        <v/>
      </c>
    </row>
    <row r="955">
      <c r="A955" t="inlineStr">
        <is>
          <t>Normal-Only Total DPS (this block's swept value)</t>
        </is>
      </c>
      <c r="B955">
        <f>SUM(V919:V943)</f>
        <v/>
      </c>
    </row>
    <row r="956">
      <c r="A956" s="5" t="inlineStr">
        <is>
          <t>TOTAL DPS</t>
        </is>
      </c>
      <c r="B956" s="5">
        <f>SUM(O919:O943)</f>
        <v/>
      </c>
    </row>
    <row r="959">
      <c r="A959" s="5" t="inlineStr">
        <is>
          <t>Stat: Skill Level Bonus — All Skills</t>
        </is>
      </c>
    </row>
    <row r="960">
      <c r="A960" s="9" t="inlineStr">
        <is>
          <t>Key</t>
        </is>
      </c>
      <c r="B960" s="9" t="inlineStr">
        <is>
          <t>Name</t>
        </is>
      </c>
      <c r="C960" s="9" t="inlineStr">
        <is>
          <t>Unlocked</t>
        </is>
      </c>
      <c r="D960" s="9" t="inlineStr">
        <is>
          <t>InputLevel</t>
        </is>
      </c>
      <c r="E960" s="9" t="inlineStr">
        <is>
          <t>Factor</t>
        </is>
      </c>
      <c r="F960" s="9" t="inlineStr">
        <is>
          <t>CoefficientPercent</t>
        </is>
      </c>
      <c r="G960" s="9" t="inlineStr">
        <is>
          <t>EffectiveHits</t>
        </is>
      </c>
      <c r="H960" s="9" t="inlineStr">
        <is>
          <t>ProcProbability</t>
        </is>
      </c>
      <c r="I960" s="9" t="inlineStr">
        <is>
          <t>MapleHeroMultiplier</t>
        </is>
      </c>
      <c r="J960" s="9" t="inlineStr">
        <is>
          <t>BaseDamage</t>
        </is>
      </c>
      <c r="K960" s="9" t="inlineStr">
        <is>
          <t>BaseHitDamage</t>
        </is>
      </c>
      <c r="L960" s="9" t="inlineStr">
        <is>
          <t>NonCritAvg</t>
        </is>
      </c>
      <c r="M960" s="9" t="inlineStr">
        <is>
          <t>CritAvg</t>
        </is>
      </c>
      <c r="N960" s="9" t="inlineStr">
        <is>
          <t>ExpectedDamage(perHit)</t>
        </is>
      </c>
      <c r="O960" s="9" t="inlineStr">
        <is>
          <t>DPS</t>
        </is>
      </c>
      <c r="P960" s="9" t="inlineStr">
        <is>
          <t>% of Total</t>
        </is>
      </c>
      <c r="Q960" s="9" t="inlineStr">
        <is>
          <t>InvCooldown</t>
        </is>
      </c>
      <c r="R960" s="9" t="inlineStr">
        <is>
          <t>CastsInFight</t>
        </is>
      </c>
      <c r="S960" s="9" t="inlineStr">
        <is>
          <t>HitRate(perSec)</t>
        </is>
      </c>
      <c r="U960" t="inlineStr">
        <is>
          <t>helpers</t>
        </is>
      </c>
    </row>
    <row r="961">
      <c r="A961">
        <f>Skills!A2</f>
        <v/>
      </c>
      <c r="B961">
        <f>Skills!B2</f>
        <v/>
      </c>
      <c r="C961">
        <f>Inputs!$B$3&gt;=100</f>
        <v/>
      </c>
      <c r="D961" t="inlineStr"/>
      <c r="E961" t="inlineStr"/>
      <c r="F961">
        <f>U963+Skills!O2</f>
        <v/>
      </c>
      <c r="G961">
        <f>Skills!G2*IF(Skills!H2&gt;0,Skills!I2/Skills!H2,1)</f>
        <v/>
      </c>
      <c r="H961">
        <f>1-(1-Skills!J2/100)^Skills!K2</f>
        <v/>
      </c>
      <c r="I961" t="inlineStr">
        <is>
          <t>1</t>
        </is>
      </c>
      <c r="J961">
        <f>((Inputs!$B$6*(1+Inputs!$B$7/100))+(((Inputs!$B$13*(1+Inputs!$B$14/100))-(Inputs!$B$13*(1+Inputs!$B$14/100)))+0.25*(Inputs!$B$15-Inputs!$B$15))*(1+Inputs!$B$7/100))*(F961/100)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nputs!$B$17/100)*(5000/(6000+Inputs!$B$43*(1-(Inputs!$B$20+0)/100)))*(1+(Inputs!$B$25+((C984=TRUE)*(F984-Calc!F25))+((C985=TRUE)*(F985-Calc!F26))+B994)/100)*(1+(IF(Skills!A2="DARK_IMPALE",Inputs!$B$18+0,Inputs!$B$19+((C982=TRUE)*(F982-Calc!F23))))/100)*((1+(((C972=TRUE)*F972*IF(AND(Inputs!$B$39&lt;&gt;"pvp",Inputs!$B$44&gt;0),(((R972-1)*(Skills!T13*(1+Inputs!$B$35/100))+MIN((Skills!T13*(1+Inputs!$B$35/100)),MAX(0,Inputs!$B$44-((R972-1)*Skills!D13))))/Inputs!$B$44),IF(Inputs!$B$39="pvp",MIN((Skills!T13*(1+Inputs!$B$35/100)),15)/15,(Skills!T13*(1+Inputs!$B$35/100))/Skills!D13)))+((C973=TRUE)*F973*IF(AND(Inputs!$B$39&lt;&gt;"pvp",Inputs!$B$44&gt;0),(((R973-1)*(Skills!T14*(1+Inputs!$B$35/100))+MIN((Skills!T14*(1+Inputs!$B$35/100)),MAX(0,Inputs!$B$44-((R973-1)*Skills!D14))))/Inputs!$B$44),IF(Inputs!$B$39="pvp",MIN((Skills!T14*(1+Inputs!$B$35/100)),15)/15,(Skills!T14*(1+Inputs!$B$35/100))/Skills!D14)))+((C974=TRUE)*F974*IF(AND(Inputs!$B$39&lt;&gt;"pvp",Inputs!$B$44&gt;0),(((R974-1)*(Skills!T15*(1+Inputs!$B$35/100))+MIN((Skills!T15*(1+Inputs!$B$35/100)),MAX(0,Inputs!$B$44-((R974-1)*Skills!D15))))/Inputs!$B$44),IF(Inputs!$B$39="pvp",MIN((Skills!T15*(1+Inputs!$B$35/100)),15)/15,(Skills!T15*(1+Inputs!$B$35/100))/Skills!D15)))+((C975=TRUE)*F975*IF(AND(Inputs!$B$39&lt;&gt;"pvp",Inputs!$B$44&gt;0),(((R975-1)*(Skills!T16*(1+Inputs!$B$35/100))+MIN((Skills!T16*(1+Inputs!$B$35/100)),MAX(0,Inputs!$B$44-((R975-1)*Skills!D16))))/Inputs!$B$44),IF(Inputs!$B$39="pvp",MIN((Skills!T16*(1+Inputs!$B$35/100)),15)/15,(Skills!T16*(1+Inputs!$B$35/100))/Skills!D16)))+0)/100)*I961)</f>
        <v/>
      </c>
      <c r="L961">
        <f>K961*(MIN(Inputs!$B$23+((C981=TRUE)*(F981-Calc!F22)),Inputs!$B$24+((C983=TRUE)*(F983-Calc!F24)))/100+(Inputs!$B$24+((C983=TRUE)*(F983-Calc!F24)))/100)/2</f>
        <v/>
      </c>
      <c r="M961">
        <f>L961*(1+(Inputs!$B$11+0+B993)/100)</f>
        <v/>
      </c>
      <c r="N961">
        <f>L961*(1-MIN((Inputs!$B$10+0+B988),100)/100)+M961*(MIN((Inputs!$B$10+0+B988),100)/100)</f>
        <v/>
      </c>
      <c r="O961">
        <f>(1-Summary!$B$55)*T961+Summary!$B$55*V961</f>
        <v/>
      </c>
      <c r="P961">
        <f>IF(B998=0,0,O961/B998)</f>
        <v/>
      </c>
      <c r="Q961" t="n">
        <v>0</v>
      </c>
      <c r="R961" t="n">
        <v>0</v>
      </c>
      <c r="S961">
        <f>IFERROR(O961/N961,0)</f>
        <v/>
      </c>
      <c r="T961">
        <f>IF(C961,(Skills!G2*N961*B992)*IF(Inputs!$B$39="pvp",1,1+(Inputs!$B$21+0+Skills!P2+((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0)</f>
        <v/>
      </c>
      <c r="U961">
        <f>MAX(0,(Inputs!$B$3-100)*3)+Inputs!$B$29+(Inputs!$B$30+1)</f>
        <v/>
      </c>
      <c r="V961">
        <f>IF(C961,(Skills!G2*N961*B992)*IF(Inputs!$B$39="pvp",1,(1+(Inputs!$B$22+Skills!Q2+((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MIN((6+Inputs!$B$34),Inputs!$B$38))),0)</f>
        <v/>
      </c>
    </row>
    <row r="962">
      <c r="A962">
        <f>Skills!A3</f>
        <v/>
      </c>
      <c r="B962">
        <f>Skills!B3</f>
        <v/>
      </c>
      <c r="C962">
        <f>Inputs!$B$3&gt;=50</f>
        <v/>
      </c>
      <c r="D962">
        <f>IF(Skills!C3=1,60+Inputs!$B$26+(Inputs!$B$30+1),IF(Skills!C3=2,90+Inputs!$B$27+(Inputs!$B$30+1),IF(Skills!C3=3,120+Inputs!$B$28+(Inputs!$B$30+1),MAX(0,(Inputs!$B$3-100)*3)+Inputs!$B$29+(Inputs!$B$30+1))))</f>
        <v/>
      </c>
      <c r="E962">
        <f>INDEX(FactorTable!$B$2:$Y$301, MATCH(ROUND(MIN(300,MAX(1,D962)),0), FactorTable!$A$2:$A$301,0), Skills!M3+1)</f>
        <v/>
      </c>
      <c r="F962">
        <f>IF(Skills!N3=TRUE,(Skills!L3/10)*(E962/1000),Skills!L3/10)+Skills!O3</f>
        <v/>
      </c>
      <c r="G962" t="inlineStr"/>
      <c r="H962" t="inlineStr"/>
      <c r="I962" t="inlineStr">
        <is>
          <t>1</t>
        </is>
      </c>
      <c r="J962" t="inlineStr"/>
      <c r="K962" t="inlineStr"/>
      <c r="L962" t="inlineStr"/>
      <c r="M962" t="inlineStr"/>
      <c r="N962" t="inlineStr"/>
      <c r="O962" t="inlineStr"/>
      <c r="P962" t="inlineStr"/>
      <c r="Q962" t="inlineStr"/>
      <c r="R962" t="inlineStr"/>
      <c r="S962" t="inlineStr"/>
      <c r="U962">
        <f>INDEX(FactorTable!$B$2:$Y$301, MATCH(ROUND(MIN(300,MAX(1,U961)),0), FactorTable!$A$2:$A$301,0), 22)</f>
        <v/>
      </c>
    </row>
    <row r="963">
      <c r="A963">
        <f>Skills!A4</f>
        <v/>
      </c>
      <c r="B963">
        <f>Skills!B4</f>
        <v/>
      </c>
      <c r="C963">
        <f>Inputs!$B$3&gt;=105</f>
        <v/>
      </c>
      <c r="D963">
        <f>IF(Skills!C4=1,60+Inputs!$B$26+(Inputs!$B$30+1),IF(Skills!C4=2,90+Inputs!$B$27+(Inputs!$B$30+1),IF(Skills!C4=3,120+Inputs!$B$28+(Inputs!$B$30+1),MAX(0,(Inputs!$B$3-100)*3)+Inputs!$B$29+(Inputs!$B$30+1))))</f>
        <v/>
      </c>
      <c r="E963">
        <f>INDEX(FactorTable!$B$2:$Y$301, MATCH(ROUND(MIN(300,MAX(1,D963)),0), FactorTable!$A$2:$A$301,0), Skills!M4+1)</f>
        <v/>
      </c>
      <c r="F963">
        <f>IF(Skills!N4=TRUE,(Skills!L4/10)*(E963/1000),Skills!L4/10)+Skills!O4</f>
        <v/>
      </c>
      <c r="G963" t="inlineStr"/>
      <c r="H963" t="inlineStr"/>
      <c r="I963" t="inlineStr">
        <is>
          <t>1</t>
        </is>
      </c>
      <c r="J963" t="inlineStr"/>
      <c r="K963" t="inlineStr"/>
      <c r="L963" t="inlineStr"/>
      <c r="M963" t="inlineStr"/>
      <c r="N963" t="inlineStr"/>
      <c r="O963" t="inlineStr"/>
      <c r="P963" t="inlineStr"/>
      <c r="Q963" t="inlineStr"/>
      <c r="R963" t="inlineStr"/>
      <c r="S963" t="inlineStr"/>
      <c r="U963">
        <f>290*U962/1000</f>
        <v/>
      </c>
    </row>
    <row r="964">
      <c r="A964">
        <f>Skills!A5</f>
        <v/>
      </c>
      <c r="B964">
        <f>Skills!B5</f>
        <v/>
      </c>
      <c r="C964">
        <f>Inputs!$B$3&gt;=117</f>
        <v/>
      </c>
      <c r="D964">
        <f>IF(Skills!C5=1,60+Inputs!$B$26+(Inputs!$B$30+1),IF(Skills!C5=2,90+Inputs!$B$27+(Inputs!$B$30+1),IF(Skills!C5=3,120+Inputs!$B$28+(Inputs!$B$30+1),MAX(0,(Inputs!$B$3-100)*3)+Inputs!$B$29+(Inputs!$B$30+1))))</f>
        <v/>
      </c>
      <c r="E964">
        <f>INDEX(FactorTable!$B$2:$Y$301, MATCH(ROUND(MIN(300,MAX(1,D964)),0), FactorTable!$A$2:$A$301,0), Skills!M5+1)</f>
        <v/>
      </c>
      <c r="F964">
        <f>IF(Skills!N5=TRUE,(Skills!L5/10)*(E964/1000),Skills!L5/10)+Skills!O5</f>
        <v/>
      </c>
      <c r="G964">
        <f>Skills!G5*IF(Skills!H5&gt;0,Skills!I5/Skills!H5,1)</f>
        <v/>
      </c>
      <c r="H964">
        <f>1-(1-Skills!J5/100)^Skills!K5</f>
        <v/>
      </c>
      <c r="I964" t="inlineStr">
        <is>
          <t>1</t>
        </is>
      </c>
      <c r="J964">
        <f>((Inputs!$B$6*(1+Inputs!$B$7/100))+(((Inputs!$B$13*(1+Inputs!$B$14/100))-(Inputs!$B$13*(1+Inputs!$B$14/100)))+0.25*(Inputs!$B$15-Inputs!$B$15))*(1+Inputs!$B$7/100))*(F964/100)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nputs!$B$17/100)*(5000/(6000+Inputs!$B$43*(1-(Inputs!$B$20+0)/100)))*(1+(Inputs!$B$25+((C984=TRUE)*(F984-Calc!F25))+((C985=TRUE)*(F985-Calc!F26))+B994)/100)*(1+(IF(Skills!A5="DARK_IMPALE",Inputs!$B$18+0,Inputs!$B$19+((C982=TRUE)*(F982-Calc!F23))))/100)*((1+(((C972=TRUE)*F972*IF(AND(Inputs!$B$39&lt;&gt;"pvp",Inputs!$B$44&gt;0),(((R972-1)*(Skills!T13*(1+Inputs!$B$35/100))+MIN((Skills!T13*(1+Inputs!$B$35/100)),MAX(0,Inputs!$B$44-((R972-1)*Skills!D13))))/Inputs!$B$44),IF(Inputs!$B$39="pvp",MIN((Skills!T13*(1+Inputs!$B$35/100)),15)/15,(Skills!T13*(1+Inputs!$B$35/100))/Skills!D13)))+((C973=TRUE)*F973*IF(AND(Inputs!$B$39&lt;&gt;"pvp",Inputs!$B$44&gt;0),(((R973-1)*(Skills!T14*(1+Inputs!$B$35/100))+MIN((Skills!T14*(1+Inputs!$B$35/100)),MAX(0,Inputs!$B$44-((R973-1)*Skills!D14))))/Inputs!$B$44),IF(Inputs!$B$39="pvp",MIN((Skills!T14*(1+Inputs!$B$35/100)),15)/15,(Skills!T14*(1+Inputs!$B$35/100))/Skills!D14)))+((C974=TRUE)*F974*IF(AND(Inputs!$B$39&lt;&gt;"pvp",Inputs!$B$44&gt;0),(((R974-1)*(Skills!T15*(1+Inputs!$B$35/100))+MIN((Skills!T15*(1+Inputs!$B$35/100)),MAX(0,Inputs!$B$44-((R974-1)*Skills!D15))))/Inputs!$B$44),IF(Inputs!$B$39="pvp",MIN((Skills!T15*(1+Inputs!$B$35/100)),15)/15,(Skills!T15*(1+Inputs!$B$35/100))/Skills!D15)))+((C975=TRUE)*F975*IF(AND(Inputs!$B$39&lt;&gt;"pvp",Inputs!$B$44&gt;0),(((R975-1)*(Skills!T16*(1+Inputs!$B$35/100))+MIN((Skills!T16*(1+Inputs!$B$35/100)),MAX(0,Inputs!$B$44-((R975-1)*Skills!D16))))/Inputs!$B$44),IF(Inputs!$B$39="pvp",MIN((Skills!T16*(1+Inputs!$B$35/100)),15)/15,(Skills!T16*(1+Inputs!$B$35/100))/Skills!D16)))+0)/100)*I964)</f>
        <v/>
      </c>
      <c r="L964">
        <f>K964*(MIN(Inputs!$B$23+((C981=TRUE)*(F981-Calc!F22)),Inputs!$B$24+((C983=TRUE)*(F983-Calc!F24)))/100+(Inputs!$B$24+((C983=TRUE)*(F983-Calc!F24)))/100)/2</f>
        <v/>
      </c>
      <c r="M964">
        <f>L964*(1+(Inputs!$B$11+0+B993)/100)</f>
        <v/>
      </c>
      <c r="N964">
        <f>L964*(1-MIN((Inputs!$B$10+0+B988),100)/100)+M964*(MIN((Inputs!$B$10+0+B988),100)/100)</f>
        <v/>
      </c>
      <c r="O964">
        <f>(1-Summary!$B$55)*T964+Summary!$B$55*V964</f>
        <v/>
      </c>
      <c r="P964">
        <f>IF(B998=0,0,O964/B998)</f>
        <v/>
      </c>
      <c r="Q964">
        <f>IFERROR(1/IF(Inputs!$B$39="pvp",15,MAX(0.1,Skills!D5-IF(Skills!E5=TRUE,Inputs!$B$33,0))),0)</f>
        <v/>
      </c>
      <c r="R964">
        <f>IF(AND(Inputs!$B$39&lt;&gt;"pvp",Inputs!$B$44&gt;0),IF(MAX(0,Inputs!$B$44-B995)&lt;=0,0,(INT(MAX(0,Inputs!$B$44-B995)/IF(Inputs!$B$39="pvp",15,MAX(0.1,Skills!D5-IF(Skills!E5=TRUE,Inputs!$B$33,0))))+1)),0)</f>
        <v/>
      </c>
      <c r="S964">
        <f>IFERROR(O964/N964,0)</f>
        <v/>
      </c>
      <c r="T964">
        <f>IF(C964,(H964*N964*IF(AND(Inputs!$B$39&lt;&gt;"pvp",Inputs!$B$44&gt;0),((Skills!G5*((R964-1)*IF(Skills!H5&gt;0,Skills!I5/Skills!H5,1)+IF(Skills!H5&gt;0,MIN(Skills!I5,MAX(0,MAX(0,Inputs!$B$44-B995)-((R964-1)*IF(Inputs!$B$39="pvp",15,MAX(0.1,Skills!D5-IF(Skills!E5=TRUE,Inputs!$B$33,0))))))/Skills!H5,1)))/Inputs!$B$44),G964*Q964))*IF(Inputs!$B$39="pvp",1,1+(Inputs!$B$21+0+Skills!P5+((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0)</f>
        <v/>
      </c>
      <c r="V964">
        <f>IF(C964,(H964*N964*IF(AND(Inputs!$B$39&lt;&gt;"pvp",Inputs!$B$44&gt;0),((Skills!G5*((R964-1)*IF(Skills!H5&gt;0,Skills!I5/Skills!H5,1)+IF(Skills!H5&gt;0,MIN(Skills!I5,MAX(0,MAX(0,Inputs!$B$44-B995)-((R964-1)*IF(Inputs!$B$39="pvp",15,MAX(0.1,Skills!D5-IF(Skills!E5=TRUE,Inputs!$B$33,0))))))/Skills!H5,1)))/Inputs!$B$44),G964*Q964))*IF(Inputs!$B$39="pvp",1,(1+(Inputs!$B$22+Skills!Q5+((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MIN(Skills!R5,Inputs!$B$38))),0)</f>
        <v/>
      </c>
    </row>
    <row r="965">
      <c r="A965">
        <f>Skills!A6</f>
        <v/>
      </c>
      <c r="B965">
        <f>Skills!B6</f>
        <v/>
      </c>
      <c r="C965">
        <f>Inputs!$B$3&gt;=103</f>
        <v/>
      </c>
      <c r="D965">
        <f>IF(Skills!C6=1,60+Inputs!$B$26+(Inputs!$B$30+1),IF(Skills!C6=2,90+Inputs!$B$27+(Inputs!$B$30+1),IF(Skills!C6=3,120+Inputs!$B$28+(Inputs!$B$30+1),MAX(0,(Inputs!$B$3-100)*3)+Inputs!$B$29+(Inputs!$B$30+1))))</f>
        <v/>
      </c>
      <c r="E965">
        <f>INDEX(FactorTable!$B$2:$Y$301, MATCH(ROUND(MIN(300,MAX(1,D965)),0), FactorTable!$A$2:$A$301,0), Skills!M6+1)</f>
        <v/>
      </c>
      <c r="F965">
        <f>IF(Skills!N6=TRUE,(Skills!L6/10)*(E965/1000),Skills!L6/10)+Skills!O6</f>
        <v/>
      </c>
      <c r="G965">
        <f>Skills!G6*IF(Skills!H6&gt;0,Skills!I6/Skills!H6,1)</f>
        <v/>
      </c>
      <c r="H965">
        <f>1-(1-Skills!J6/100)^Skills!K6</f>
        <v/>
      </c>
      <c r="I965" t="inlineStr">
        <is>
          <t>1</t>
        </is>
      </c>
      <c r="J965">
        <f>((Inputs!$B$6*(1+Inputs!$B$7/100))+(((Inputs!$B$13*(1+Inputs!$B$14/100))-(Inputs!$B$13*(1+Inputs!$B$14/100)))+0.25*(Inputs!$B$15-Inputs!$B$15))*(1+Inputs!$B$7/100))*(F965/100)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nputs!$B$17/100)*(5000/(6000+Inputs!$B$43*(1-(Inputs!$B$20+0)/100)))*(1+(Inputs!$B$25+((C984=TRUE)*(F984-Calc!F25))+((C985=TRUE)*(F985-Calc!F26))+B994)/100)*(1+(IF(Skills!A6="DARK_IMPALE",Inputs!$B$18+0,Inputs!$B$19+((C982=TRUE)*(F982-Calc!F23))))/100)*((1+(((C972=TRUE)*F972*IF(AND(Inputs!$B$39&lt;&gt;"pvp",Inputs!$B$44&gt;0),(((R972-1)*(Skills!T13*(1+Inputs!$B$35/100))+MIN((Skills!T13*(1+Inputs!$B$35/100)),MAX(0,Inputs!$B$44-((R972-1)*Skills!D13))))/Inputs!$B$44),IF(Inputs!$B$39="pvp",MIN((Skills!T13*(1+Inputs!$B$35/100)),15)/15,(Skills!T13*(1+Inputs!$B$35/100))/Skills!D13)))+((C973=TRUE)*F973*IF(AND(Inputs!$B$39&lt;&gt;"pvp",Inputs!$B$44&gt;0),(((R973-1)*(Skills!T14*(1+Inputs!$B$35/100))+MIN((Skills!T14*(1+Inputs!$B$35/100)),MAX(0,Inputs!$B$44-((R973-1)*Skills!D14))))/Inputs!$B$44),IF(Inputs!$B$39="pvp",MIN((Skills!T14*(1+Inputs!$B$35/100)),15)/15,(Skills!T14*(1+Inputs!$B$35/100))/Skills!D14)))+((C974=TRUE)*F974*IF(AND(Inputs!$B$39&lt;&gt;"pvp",Inputs!$B$44&gt;0),(((R974-1)*(Skills!T15*(1+Inputs!$B$35/100))+MIN((Skills!T15*(1+Inputs!$B$35/100)),MAX(0,Inputs!$B$44-((R974-1)*Skills!D15))))/Inputs!$B$44),IF(Inputs!$B$39="pvp",MIN((Skills!T15*(1+Inputs!$B$35/100)),15)/15,(Skills!T15*(1+Inputs!$B$35/100))/Skills!D15)))+((C975=TRUE)*F975*IF(AND(Inputs!$B$39&lt;&gt;"pvp",Inputs!$B$44&gt;0),(((R975-1)*(Skills!T16*(1+Inputs!$B$35/100))+MIN((Skills!T16*(1+Inputs!$B$35/100)),MAX(0,Inputs!$B$44-((R975-1)*Skills!D16))))/Inputs!$B$44),IF(Inputs!$B$39="pvp",MIN((Skills!T16*(1+Inputs!$B$35/100)),15)/15,(Skills!T16*(1+Inputs!$B$35/100))/Skills!D16)))+0)/100)*I965)</f>
        <v/>
      </c>
      <c r="L965">
        <f>K965*(MIN(Inputs!$B$23+((C981=TRUE)*(F981-Calc!F22)),Inputs!$B$24+((C983=TRUE)*(F983-Calc!F24)))/100+(Inputs!$B$24+((C983=TRUE)*(F983-Calc!F24)))/100)/2</f>
        <v/>
      </c>
      <c r="M965">
        <f>L965*(1+(Inputs!$B$11+0+B993)/100)</f>
        <v/>
      </c>
      <c r="N965">
        <f>L965*(1-MIN((Inputs!$B$10+0+B988),100)/100)+M965*(MIN((Inputs!$B$10+0+B988),100)/100)</f>
        <v/>
      </c>
      <c r="O965">
        <f>(1-Summary!$B$55)*T965+Summary!$B$55*V965</f>
        <v/>
      </c>
      <c r="P965">
        <f>IF(B998=0,0,O965/B998)</f>
        <v/>
      </c>
      <c r="Q965">
        <f>IFERROR(1/IF(Inputs!$B$39="pvp",15,MAX(0.1,Skills!D6-IF(Skills!E6=TRUE,Inputs!$B$33,0))),0)</f>
        <v/>
      </c>
      <c r="R965">
        <f>IF(AND(Inputs!$B$39&lt;&gt;"pvp",Inputs!$B$44&gt;0),IF(MAX(0,Inputs!$B$44-B995)&lt;=0,0,(INT(MAX(0,Inputs!$B$44-B995)/IF(Inputs!$B$39="pvp",15,MAX(0.1,Skills!D6-IF(Skills!E6=TRUE,Inputs!$B$33,0))))+1)),0)</f>
        <v/>
      </c>
      <c r="S965">
        <f>IFERROR(O965/N965,0)</f>
        <v/>
      </c>
      <c r="T965">
        <f>IF(C965,(H965*N965*IF(AND(Inputs!$B$39&lt;&gt;"pvp",Inputs!$B$44&gt;0),((Skills!G6*((R965-1)*IF(Skills!H6&gt;0,Skills!I6/Skills!H6,1)+IF(Skills!H6&gt;0,MIN(Skills!I6,MAX(0,MAX(0,Inputs!$B$44-B995)-((R965-1)*IF(Inputs!$B$39="pvp",15,MAX(0.1,Skills!D6-IF(Skills!E6=TRUE,Inputs!$B$33,0))))))/Skills!H6,1)))/Inputs!$B$44),G965*Q965))*IF(Inputs!$B$39="pvp",1,1+(Inputs!$B$21+0+Skills!P6+((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0)</f>
        <v/>
      </c>
      <c r="V965">
        <f>IF(C965,(H965*N965*IF(AND(Inputs!$B$39&lt;&gt;"pvp",Inputs!$B$44&gt;0),((Skills!G6*((R965-1)*IF(Skills!H6&gt;0,Skills!I6/Skills!H6,1)+IF(Skills!H6&gt;0,MIN(Skills!I6,MAX(0,MAX(0,Inputs!$B$44-B995)-((R965-1)*IF(Inputs!$B$39="pvp",15,MAX(0.1,Skills!D6-IF(Skills!E6=TRUE,Inputs!$B$33,0))))))/Skills!H6,1)))/Inputs!$B$44),G965*Q965))*IF(Inputs!$B$39="pvp",1,(1+(Inputs!$B$22+Skills!Q6+((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MIN(Skills!R6,Inputs!$B$38))),0)</f>
        <v/>
      </c>
    </row>
    <row r="966">
      <c r="A966">
        <f>Skills!A7</f>
        <v/>
      </c>
      <c r="B966">
        <f>Skills!B7</f>
        <v/>
      </c>
      <c r="C966">
        <f>Inputs!$B$3&gt;=40</f>
        <v/>
      </c>
      <c r="D966">
        <f>IF(Skills!C7=1,60+Inputs!$B$26+(Inputs!$B$30+1),IF(Skills!C7=2,90+Inputs!$B$27+(Inputs!$B$30+1),IF(Skills!C7=3,120+Inputs!$B$28+(Inputs!$B$30+1),MAX(0,(Inputs!$B$3-100)*3)+Inputs!$B$29+(Inputs!$B$30+1))))</f>
        <v/>
      </c>
      <c r="E966">
        <f>INDEX(FactorTable!$B$2:$Y$301, MATCH(ROUND(MIN(300,MAX(1,D966)),0), FactorTable!$A$2:$A$301,0), Skills!M7+1)</f>
        <v/>
      </c>
      <c r="F966">
        <f>IF(Skills!N7=TRUE,(Skills!L7/10)*(E966/1000),Skills!L7/10)+Skills!O7</f>
        <v/>
      </c>
      <c r="G966">
        <f>Skills!G7*IF(Skills!H7&gt;0,Skills!I7/Skills!H7,1)</f>
        <v/>
      </c>
      <c r="H966">
        <f>1-(1-Skills!J7/100)^Skills!K7</f>
        <v/>
      </c>
      <c r="I966" t="inlineStr">
        <is>
          <t>1</t>
        </is>
      </c>
      <c r="J966">
        <f>((Inputs!$B$6*(1+Inputs!$B$7/100))+(((Inputs!$B$13*(1+Inputs!$B$14/100))-(Inputs!$B$13*(1+Inputs!$B$14/100)))+0.25*(Inputs!$B$15-Inputs!$B$15))*(1+Inputs!$B$7/100))*(F966/100)</f>
        <v/>
      </c>
      <c r="K966">
        <f>J966*(1+(((Inputs!$B$13+IF(Inputs!$B$3&gt;=38,(10*INDEX(FactorTable!$B$2:$Y$301, MATCH(ROUND(MIN(300,MAX(1,Inputs!$B$3)),0), FactorTable!$A$2:$A$301,0), 23)/1000)/100*(Inputs!$B$8*(1+Inputs!$B$9/100)),0))*(1+Inputs!$B$14/100))*0.01+Inputs!$B$15*0.0025)/100)*(1+Inputs!$B$16/100)*(1+Inputs!$B$17/100)*(5000/(6000+Inputs!$B$43*(1-(Inputs!$B$20+0)/100)))*(1+(Inputs!$B$25+((C984=TRUE)*(F984-Calc!F25))+((C985=TRUE)*(F985-Calc!F26))+B994)/100)*(1+0.75*IF(C970=TRUE,F970,0)/100)*(1+(IF(Skills!A7="DARK_IMPALE",Inputs!$B$18+0,Inputs!$B$19+((C982=TRUE)*(F982-Calc!F23))))/100)*((1+(((C972=TRUE)*F972*IF(AND(Inputs!$B$39&lt;&gt;"pvp",Inputs!$B$44&gt;0),(((R972-1)*(Skills!T13*(1+Inputs!$B$35/100))+MIN((Skills!T13*(1+Inputs!$B$35/100)),MAX(0,Inputs!$B$44-((R972-1)*Skills!D13))))/Inputs!$B$44),IF(Inputs!$B$39="pvp",MIN((Skills!T13*(1+Inputs!$B$35/100)),15)/15,(Skills!T13*(1+Inputs!$B$35/100))/Skills!D13)))+((C973=TRUE)*F973*IF(AND(Inputs!$B$39&lt;&gt;"pvp",Inputs!$B$44&gt;0),(((R973-1)*(Skills!T14*(1+Inputs!$B$35/100))+MIN((Skills!T14*(1+Inputs!$B$35/100)),MAX(0,Inputs!$B$44-((R973-1)*Skills!D14))))/Inputs!$B$44),IF(Inputs!$B$39="pvp",MIN((Skills!T14*(1+Inputs!$B$35/100)),15)/15,(Skills!T14*(1+Inputs!$B$35/100))/Skills!D14)))+((C974=TRUE)*F974*IF(AND(Inputs!$B$39&lt;&gt;"pvp",Inputs!$B$44&gt;0),(((R974-1)*(Skills!T15*(1+Inputs!$B$35/100))+MIN((Skills!T15*(1+Inputs!$B$35/100)),MAX(0,Inputs!$B$44-((R974-1)*Skills!D15))))/Inputs!$B$44),IF(Inputs!$B$39="pvp",MIN((Skills!T15*(1+Inputs!$B$35/100)),15)/15,(Skills!T15*(1+Inputs!$B$35/100))/Skills!D15)))+((C975=TRUE)*F975*IF(AND(Inputs!$B$39&lt;&gt;"pvp",Inputs!$B$44&gt;0),(((R975-1)*(Skills!T16*(1+Inputs!$B$35/100))+MIN((Skills!T16*(1+Inputs!$B$35/100)),MAX(0,Inputs!$B$44-((R975-1)*Skills!D16))))/Inputs!$B$44),IF(Inputs!$B$39="pvp",MIN((Skills!T16*(1+Inputs!$B$35/100)),15)/15,(Skills!T16*(1+Inputs!$B$35/100))/Skills!D16)))+0)/100)*I966)</f>
        <v/>
      </c>
      <c r="L966">
        <f>K966*(MIN(Inputs!$B$23+((C981=TRUE)*(F981-Calc!F22)),Inputs!$B$24+((C983=TRUE)*(F983-Calc!F24)))/100+(Inputs!$B$24+((C983=TRUE)*(F983-Calc!F24)))/100)/2</f>
        <v/>
      </c>
      <c r="M966">
        <f>L966*(1+(Inputs!$B$11+0+B993)/100)</f>
        <v/>
      </c>
      <c r="N966">
        <f>L966*(1-MIN((Inputs!$B$10+0+B988),100)/100)+M966*(MIN((Inputs!$B$10+0+B988),100)/100)</f>
        <v/>
      </c>
      <c r="O966">
        <f>(1-Summary!$B$55)*T966+Summary!$B$55*V966</f>
        <v/>
      </c>
      <c r="P966">
        <f>IF(B998=0,0,O966/B998)</f>
        <v/>
      </c>
      <c r="Q966">
        <f>IFERROR(1/IF(Inputs!$B$39="pvp",15,MAX(0.1,Skills!D7-IF(Skills!E7=TRUE,Inputs!$B$33,0))),0)</f>
        <v/>
      </c>
      <c r="R966">
        <f>IF(AND(Inputs!$B$39&lt;&gt;"pvp",Inputs!$B$44&gt;0),IF(MAX(0,Inputs!$B$44-B995)&lt;=0,0,(INT(MAX(0,Inputs!$B$44-B995)/IF(Inputs!$B$39="pvp",15,MAX(0.1,Skills!D7-IF(Skills!E7=TRUE,Inputs!$B$33,0))))+1)),0)</f>
        <v/>
      </c>
      <c r="S966">
        <f>IFERROR(O966/N966,0)</f>
        <v/>
      </c>
      <c r="T966">
        <f>IF(C966,(H966*N966*IF(AND(Inputs!$B$39&lt;&gt;"pvp",Inputs!$B$44&gt;0),((Skills!G7*((R966-1)*IF(Skills!H7&gt;0,Skills!I7/Skills!H7,1)+IF(Skills!H7&gt;0,MIN(Skills!I7,MAX(0,MAX(0,Inputs!$B$44-B995)-((R966-1)*IF(Inputs!$B$39="pvp",15,MAX(0.1,Skills!D7-IF(Skills!E7=TRUE,Inputs!$B$33,0))))))/Skills!H7,1)))/Inputs!$B$44),G966*Q966))*IF(Inputs!$B$39="pvp",1,1+(Inputs!$B$21+0+Skills!P7+((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0)</f>
        <v/>
      </c>
      <c r="V966">
        <f>IF(C966,(H966*N966*IF(AND(Inputs!$B$39&lt;&gt;"pvp",Inputs!$B$44&gt;0),((Skills!G7*((R966-1)*IF(Skills!H7&gt;0,Skills!I7/Skills!H7,1)+IF(Skills!H7&gt;0,MIN(Skills!I7,MAX(0,MAX(0,Inputs!$B$44-B995)-((R966-1)*IF(Inputs!$B$39="pvp",15,MAX(0.1,Skills!D7-IF(Skills!E7=TRUE,Inputs!$B$33,0))))))/Skills!H7,1)))/Inputs!$B$44),G966*Q966))*IF(Inputs!$B$39="pvp",1,(1+(Inputs!$B$22+Skills!Q7+((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MIN(Skills!R7,Inputs!$B$38))),0)</f>
        <v/>
      </c>
    </row>
    <row r="967">
      <c r="A967">
        <f>Skills!A8</f>
        <v/>
      </c>
      <c r="B967">
        <f>Skills!B8</f>
        <v/>
      </c>
      <c r="C967">
        <f>Inputs!$B$3&gt;=75</f>
        <v/>
      </c>
      <c r="D967">
        <f>IF(Skills!C8=1,60+Inputs!$B$26+(Inputs!$B$30+1),IF(Skills!C8=2,90+Inputs!$B$27+(Inputs!$B$30+1),IF(Skills!C8=3,120+Inputs!$B$28+(Inputs!$B$30+1),MAX(0,(Inputs!$B$3-100)*3)+Inputs!$B$29+(Inputs!$B$30+1))))</f>
        <v/>
      </c>
      <c r="E967">
        <f>INDEX(FactorTable!$B$2:$Y$301, MATCH(ROUND(MIN(300,MAX(1,D967)),0), FactorTable!$A$2:$A$301,0), Skills!M8+1)</f>
        <v/>
      </c>
      <c r="F967">
        <f>IF(Skills!N8=TRUE,(Skills!L8/10)*(E967/1000),Skills!L8/10)+Skills!O8</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Skills!A9</f>
        <v/>
      </c>
      <c r="B968">
        <f>Skills!B9</f>
        <v/>
      </c>
      <c r="C968">
        <f>Inputs!$B$3&gt;=60</f>
        <v/>
      </c>
      <c r="D968">
        <f>IF(Skills!C9=1,60+Inputs!$B$26+(Inputs!$B$30+1),IF(Skills!C9=2,90+Inputs!$B$27+(Inputs!$B$30+1),IF(Skills!C9=3,120+Inputs!$B$28+(Inputs!$B$30+1),MAX(0,(Inputs!$B$3-100)*3)+Inputs!$B$29+(Inputs!$B$30+1))))</f>
        <v/>
      </c>
      <c r="E968">
        <f>INDEX(FactorTable!$B$2:$Y$301, MATCH(ROUND(MIN(300,MAX(1,D968)),0), FactorTable!$A$2:$A$301,0), Skills!M9+1)</f>
        <v/>
      </c>
      <c r="F968">
        <f>IF(Skills!N9=TRUE,(Skills!L9/10)*(E968/1000),Skills!L9/10)+Skills!O9</f>
        <v/>
      </c>
      <c r="G968">
        <f>Skills!G9*IF(Skills!H9&gt;0,Skills!I9/Skills!H9,1)</f>
        <v/>
      </c>
      <c r="H968">
        <f>1-(1-Skills!J9/100)^Skills!K9</f>
        <v/>
      </c>
      <c r="I968" t="inlineStr">
        <is>
          <t>1</t>
        </is>
      </c>
      <c r="J968">
        <f>((Inputs!$B$6*(1+Inputs!$B$7/100))+(((Inputs!$B$13*(1+Inputs!$B$14/100))-(Inputs!$B$13*(1+Inputs!$B$14/100)))+0.25*(Inputs!$B$15-Inputs!$B$15))*(1+Inputs!$B$7/100))*(F968/100)</f>
        <v/>
      </c>
      <c r="K968">
        <f>J968*(1+(((Inputs!$B$13+IF(Inputs!$B$3&gt;=38,(10*INDEX(FactorTable!$B$2:$Y$301, MATCH(ROUND(MIN(300,MAX(1,Inputs!$B$3)),0), FactorTable!$A$2:$A$301,0), 23)/1000)/100*(Inputs!$B$8*(1+Inputs!$B$9/100)),0))*(1+Inputs!$B$14/100))*0.01+Inputs!$B$15*0.0025)/100)*(1+Inputs!$B$16/100)*(1+Inputs!$B$17/100)*(5000/(6000+Inputs!$B$43*(1-(Inputs!$B$20+0)/100)))*(1+(Inputs!$B$25+((C984=TRUE)*(F984-Calc!F25))+((C985=TRUE)*(F985-Calc!F26))+B994)/100)*(1+1.0*IF(C970=TRUE,F970,0)/100)*(1+(IF(Skills!A9="DARK_IMPALE",Inputs!$B$18+0,Inputs!$B$19+((C982=TRUE)*(F982-Calc!F23))))/100)*((1+(((C972=TRUE)*F972*IF(AND(Inputs!$B$39&lt;&gt;"pvp",Inputs!$B$44&gt;0),(((R972-1)*(Skills!T13*(1+Inputs!$B$35/100))+MIN((Skills!T13*(1+Inputs!$B$35/100)),MAX(0,Inputs!$B$44-((R972-1)*Skills!D13))))/Inputs!$B$44),IF(Inputs!$B$39="pvp",MIN((Skills!T13*(1+Inputs!$B$35/100)),15)/15,(Skills!T13*(1+Inputs!$B$35/100))/Skills!D13)))+((C973=TRUE)*F973*IF(AND(Inputs!$B$39&lt;&gt;"pvp",Inputs!$B$44&gt;0),(((R973-1)*(Skills!T14*(1+Inputs!$B$35/100))+MIN((Skills!T14*(1+Inputs!$B$35/100)),MAX(0,Inputs!$B$44-((R973-1)*Skills!D14))))/Inputs!$B$44),IF(Inputs!$B$39="pvp",MIN((Skills!T14*(1+Inputs!$B$35/100)),15)/15,(Skills!T14*(1+Inputs!$B$35/100))/Skills!D14)))+((C974=TRUE)*F974*IF(AND(Inputs!$B$39&lt;&gt;"pvp",Inputs!$B$44&gt;0),(((R974-1)*(Skills!T15*(1+Inputs!$B$35/100))+MIN((Skills!T15*(1+Inputs!$B$35/100)),MAX(0,Inputs!$B$44-((R974-1)*Skills!D15))))/Inputs!$B$44),IF(Inputs!$B$39="pvp",MIN((Skills!T15*(1+Inputs!$B$35/100)),15)/15,(Skills!T15*(1+Inputs!$B$35/100))/Skills!D15)))+((C975=TRUE)*F975*IF(AND(Inputs!$B$39&lt;&gt;"pvp",Inputs!$B$44&gt;0),(((R975-1)*(Skills!T16*(1+Inputs!$B$35/100))+MIN((Skills!T16*(1+Inputs!$B$35/100)),MAX(0,Inputs!$B$44-((R975-1)*Skills!D16))))/Inputs!$B$44),IF(Inputs!$B$39="pvp",MIN((Skills!T16*(1+Inputs!$B$35/100)),15)/15,(Skills!T16*(1+Inputs!$B$35/100))/Skills!D16)))+0)/100)*I968)</f>
        <v/>
      </c>
      <c r="L968">
        <f>K968*(MIN(Inputs!$B$23+((C981=TRUE)*(F981-Calc!F22)),Inputs!$B$24+((C983=TRUE)*(F983-Calc!F24)))/100+(Inputs!$B$24+((C983=TRUE)*(F983-Calc!F24)))/100)/2</f>
        <v/>
      </c>
      <c r="M968">
        <f>L968*(1+(Inputs!$B$11+0+B993)/100)</f>
        <v/>
      </c>
      <c r="N968">
        <f>L968*(1-MIN((Inputs!$B$10+0+B988),100)/100)+M968*(MIN((Inputs!$B$10+0+B988),100)/100)</f>
        <v/>
      </c>
      <c r="O968">
        <f>(1-Summary!$B$55)*T968+Summary!$B$55*V968</f>
        <v/>
      </c>
      <c r="P968">
        <f>IF(B998=0,0,O968/B998)</f>
        <v/>
      </c>
      <c r="Q968">
        <f>IFERROR(1/IF(Inputs!$B$39="pvp",15,MAX(0.1,Skills!D9-IF(Skills!E9=TRUE,Inputs!$B$33,0))),0)</f>
        <v/>
      </c>
      <c r="R968">
        <f>IF(AND(Inputs!$B$39&lt;&gt;"pvp",Inputs!$B$44&gt;0),IF(MAX(0,Inputs!$B$44-B995)&lt;=0,0,(INT(MAX(0,Inputs!$B$44-B995)/IF(Inputs!$B$39="pvp",15,MAX(0.1,Skills!D9-IF(Skills!E9=TRUE,Inputs!$B$33,0))))+1)),0)</f>
        <v/>
      </c>
      <c r="S968">
        <f>IFERROR(O968/N968,0)</f>
        <v/>
      </c>
      <c r="T968">
        <f>IF(C968,(H968*N968*IF(AND(Inputs!$B$39&lt;&gt;"pvp",Inputs!$B$44&gt;0),((Skills!G9*((R968-1)*IF(Skills!H9&gt;0,Skills!I9/Skills!H9,1)+IF(Skills!H9&gt;0,MIN(Skills!I9,MAX(0,MAX(0,Inputs!$B$44-B995)-((R968-1)*IF(Inputs!$B$39="pvp",15,MAX(0.1,Skills!D9-IF(Skills!E9=TRUE,Inputs!$B$33,0))))))/Skills!H9,1)))/Inputs!$B$44),G968*Q968))*IF(Inputs!$B$39="pvp",1,1+(Inputs!$B$21+0+Skills!P9+((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0)</f>
        <v/>
      </c>
      <c r="V968">
        <f>IF(C968,(H968*N968*IF(AND(Inputs!$B$39&lt;&gt;"pvp",Inputs!$B$44&gt;0),((Skills!G9*((R968-1)*IF(Skills!H9&gt;0,Skills!I9/Skills!H9,1)+IF(Skills!H9&gt;0,MIN(Skills!I9,MAX(0,MAX(0,Inputs!$B$44-B995)-((R968-1)*IF(Inputs!$B$39="pvp",15,MAX(0.1,Skills!D9-IF(Skills!E9=TRUE,Inputs!$B$33,0))))))/Skills!H9,1)))/Inputs!$B$44),G968*Q968))*IF(Inputs!$B$39="pvp",1,(1+(Inputs!$B$22+Skills!Q9+((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MIN(Skills!R9,Inputs!$B$38))),0)</f>
        <v/>
      </c>
    </row>
    <row r="969">
      <c r="A969">
        <f>Skills!A10</f>
        <v/>
      </c>
      <c r="B969">
        <f>Skills!B10</f>
        <v/>
      </c>
      <c r="C969">
        <f>Inputs!$B$3&gt;=110</f>
        <v/>
      </c>
      <c r="D969">
        <f>IF(Skills!C10=1,60+Inputs!$B$26+(Inputs!$B$30+1),IF(Skills!C10=2,90+Inputs!$B$27+(Inputs!$B$30+1),IF(Skills!C10=3,120+Inputs!$B$28+(Inputs!$B$30+1),MAX(0,(Inputs!$B$3-100)*3)+Inputs!$B$29+(Inputs!$B$30+1))))</f>
        <v/>
      </c>
      <c r="E969">
        <f>INDEX(FactorTable!$B$2:$Y$301, MATCH(ROUND(MIN(300,MAX(1,D969)),0), FactorTable!$A$2:$A$301,0), Skills!M10+1)</f>
        <v/>
      </c>
      <c r="F969">
        <f>IF(Skills!N10=TRUE,(Skills!L10/10)*(E969/1000),Skills!L10/10)+Skills!O10</f>
        <v/>
      </c>
      <c r="G969">
        <f>Skills!G10*IF(Skills!H10&gt;0,Skills!I10/Skills!H10,1)</f>
        <v/>
      </c>
      <c r="H969">
        <f>1-(1-Skills!J10/100)^Skills!K10</f>
        <v/>
      </c>
      <c r="I969" t="inlineStr">
        <is>
          <t>1</t>
        </is>
      </c>
      <c r="J969">
        <f>((Inputs!$B$6*(1+Inputs!$B$7/100))+(((Inputs!$B$13*(1+Inputs!$B$14/100))-(Inputs!$B$13*(1+Inputs!$B$14/100)))+0.25*(Inputs!$B$15-Inputs!$B$15))*(1+Inputs!$B$7/100))*(F969/100)</f>
        <v/>
      </c>
      <c r="K969">
        <f>J969*(1+(((Inputs!$B$13+IF(Inputs!$B$3&gt;=38,(10*INDEX(FactorTable!$B$2:$Y$301, MATCH(ROUND(MIN(300,MAX(1,Inputs!$B$3)),0), FactorTable!$A$2:$A$301,0), 23)/1000)/100*(Inputs!$B$8*(1+Inputs!$B$9/100)),0))*(1+Inputs!$B$14/100))*0.01+Inputs!$B$15*0.0025)/100)*(1+Inputs!$B$16/100)*(1+Inputs!$B$17/100)*(5000/(6000+Inputs!$B$43*(1-(Inputs!$B$20+0)/100)))*(1+(Inputs!$B$25+((C984=TRUE)*(F984-Calc!F25))+((C985=TRUE)*(F985-Calc!F26))+B994)/100)*(1+(IF(Skills!A10="DARK_IMPALE",Inputs!$B$18+0,Inputs!$B$19+((C982=TRUE)*(F982-Calc!F23))))/100)*((1+(((C972=TRUE)*F972*IF(AND(Inputs!$B$39&lt;&gt;"pvp",Inputs!$B$44&gt;0),(((R972-1)*(Skills!T13*(1+Inputs!$B$35/100))+MIN((Skills!T13*(1+Inputs!$B$35/100)),MAX(0,Inputs!$B$44-((R972-1)*Skills!D13))))/Inputs!$B$44),IF(Inputs!$B$39="pvp",MIN((Skills!T13*(1+Inputs!$B$35/100)),15)/15,(Skills!T13*(1+Inputs!$B$35/100))/Skills!D13)))+((C973=TRUE)*F973*IF(AND(Inputs!$B$39&lt;&gt;"pvp",Inputs!$B$44&gt;0),(((R973-1)*(Skills!T14*(1+Inputs!$B$35/100))+MIN((Skills!T14*(1+Inputs!$B$35/100)),MAX(0,Inputs!$B$44-((R973-1)*Skills!D14))))/Inputs!$B$44),IF(Inputs!$B$39="pvp",MIN((Skills!T14*(1+Inputs!$B$35/100)),15)/15,(Skills!T14*(1+Inputs!$B$35/100))/Skills!D14)))+((C974=TRUE)*F974*IF(AND(Inputs!$B$39&lt;&gt;"pvp",Inputs!$B$44&gt;0),(((R974-1)*(Skills!T15*(1+Inputs!$B$35/100))+MIN((Skills!T15*(1+Inputs!$B$35/100)),MAX(0,Inputs!$B$44-((R974-1)*Skills!D15))))/Inputs!$B$44),IF(Inputs!$B$39="pvp",MIN((Skills!T15*(1+Inputs!$B$35/100)),15)/15,(Skills!T15*(1+Inputs!$B$35/100))/Skills!D15)))+((C975=TRUE)*F975*IF(AND(Inputs!$B$39&lt;&gt;"pvp",Inputs!$B$44&gt;0),(((R975-1)*(Skills!T16*(1+Inputs!$B$35/100))+MIN((Skills!T16*(1+Inputs!$B$35/100)),MAX(0,Inputs!$B$44-((R975-1)*Skills!D16))))/Inputs!$B$44),IF(Inputs!$B$39="pvp",MIN((Skills!T16*(1+Inputs!$B$35/100)),15)/15,(Skills!T16*(1+Inputs!$B$35/100))/Skills!D16)))+0)/100)*I969)</f>
        <v/>
      </c>
      <c r="L969">
        <f>K969*(MIN(Inputs!$B$23+((C981=TRUE)*(F981-Calc!F22)),Inputs!$B$24+((C983=TRUE)*(F983-Calc!F24)))/100+(Inputs!$B$24+((C983=TRUE)*(F983-Calc!F24)))/100)/2</f>
        <v/>
      </c>
      <c r="M969">
        <f>L969*(1+(Inputs!$B$11+0+B993)/100)</f>
        <v/>
      </c>
      <c r="N969">
        <f>L969*(1-MIN((Inputs!$B$10+0+B988),100)/100)+M969*(MIN((Inputs!$B$10+0+B988),100)/100)</f>
        <v/>
      </c>
      <c r="O969">
        <f>(1-Summary!$B$55)*T969+Summary!$B$55*V969</f>
        <v/>
      </c>
      <c r="P969">
        <f>IF(B998=0,0,O969/B998)</f>
        <v/>
      </c>
      <c r="Q969">
        <f>IFERROR(1/IF(Inputs!$B$39="pvp",15,MAX(0.1,Skills!D10-IF(Skills!E10=TRUE,Inputs!$B$33,0))),0)</f>
        <v/>
      </c>
      <c r="R969">
        <f>IF(AND(Inputs!$B$39&lt;&gt;"pvp",Inputs!$B$44&gt;0),IF(MAX(0,Inputs!$B$44-B995)&lt;=0,0,(INT(MAX(0,Inputs!$B$44-B995)/IF(Inputs!$B$39="pvp",15,MAX(0.1,Skills!D10-IF(Skills!E10=TRUE,Inputs!$B$33,0))))+1)),0)</f>
        <v/>
      </c>
      <c r="S969">
        <f>IFERROR(O969/N969,0)</f>
        <v/>
      </c>
      <c r="T969">
        <f>IF(C969,(H969*N969*IF(AND(Inputs!$B$39&lt;&gt;"pvp",Inputs!$B$44&gt;0),((Skills!G10*((R969-1)*IF(Skills!H10&gt;0,Skills!I10/Skills!H10,1)+IF(Skills!H10&gt;0,MIN(Skills!I10,MAX(0,MAX(0,Inputs!$B$44-B995)-((R969-1)*IF(Inputs!$B$39="pvp",15,MAX(0.1,Skills!D10-IF(Skills!E10=TRUE,Inputs!$B$33,0))))))/Skills!H10,1)))/Inputs!$B$44),G969*Q969))*IF(Inputs!$B$39="pvp",1,1+(Inputs!$B$21+0+Skills!P10+((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0)</f>
        <v/>
      </c>
      <c r="V969">
        <f>IF(C969,(H969*N969*IF(AND(Inputs!$B$39&lt;&gt;"pvp",Inputs!$B$44&gt;0),((Skills!G10*((R969-1)*IF(Skills!H10&gt;0,Skills!I10/Skills!H10,1)+IF(Skills!H10&gt;0,MIN(Skills!I10,MAX(0,MAX(0,Inputs!$B$44-B995)-((R969-1)*IF(Inputs!$B$39="pvp",15,MAX(0.1,Skills!D10-IF(Skills!E10=TRUE,Inputs!$B$33,0))))))/Skills!H10,1)))/Inputs!$B$44),G969*Q969))*IF(Inputs!$B$39="pvp",1,(1+(Inputs!$B$22+Skills!Q10+((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MIN(Skills!R10,Inputs!$B$38))),0)</f>
        <v/>
      </c>
    </row>
    <row r="970">
      <c r="A970">
        <f>Skills!A11</f>
        <v/>
      </c>
      <c r="B970">
        <f>Skills!B11</f>
        <v/>
      </c>
      <c r="C970">
        <f>Inputs!$B$3&gt;=100</f>
        <v/>
      </c>
      <c r="D970">
        <f>IF(Skills!C11=1,60+Inputs!$B$26+(Inputs!$B$30+1),IF(Skills!C11=2,90+Inputs!$B$27+(Inputs!$B$30+1),IF(Skills!C11=3,120+Inputs!$B$28+(Inputs!$B$30+1),MAX(0,(Inputs!$B$3-100)*3)+Inputs!$B$29+(Inputs!$B$30+1))))</f>
        <v/>
      </c>
      <c r="E970">
        <f>INDEX(FactorTable!$B$2:$Y$301, MATCH(ROUND(MIN(300,MAX(1,D970)),0), FactorTable!$A$2:$A$301,0), Skills!M11+1)</f>
        <v/>
      </c>
      <c r="F970">
        <f>IF(Skills!N11=TRUE,(Skills!L11/10)*(E970/1000),Skills!L11/10)+Skills!O11</f>
        <v/>
      </c>
      <c r="G970" t="inlineStr"/>
      <c r="H970" t="inlineStr"/>
      <c r="I970" t="inlineStr">
        <is>
          <t>1</t>
        </is>
      </c>
      <c r="J970" t="inlineStr"/>
      <c r="K970" t="inlineStr"/>
      <c r="L970" t="inlineStr"/>
      <c r="M970" t="inlineStr"/>
      <c r="N970" t="inlineStr"/>
      <c r="O970" t="inlineStr"/>
      <c r="P970" t="inlineStr"/>
      <c r="Q970" t="inlineStr"/>
      <c r="R970" t="inlineStr"/>
      <c r="S970" t="inlineStr"/>
    </row>
    <row r="971">
      <c r="A971">
        <f>Skills!A12</f>
        <v/>
      </c>
      <c r="B971">
        <f>Skills!B12</f>
        <v/>
      </c>
      <c r="C971">
        <f>Inputs!$B$3&gt;=63</f>
        <v/>
      </c>
      <c r="D971">
        <f>IF(Skills!C12=1,60+Inputs!$B$26+(Inputs!$B$30+1),IF(Skills!C12=2,90+Inputs!$B$27+(Inputs!$B$30+1),IF(Skills!C12=3,120+Inputs!$B$28+(Inputs!$B$30+1),MAX(0,(Inputs!$B$3-100)*3)+Inputs!$B$29+(Inputs!$B$30+1))))</f>
        <v/>
      </c>
      <c r="E971">
        <f>INDEX(FactorTable!$B$2:$Y$301, MATCH(ROUND(MIN(300,MAX(1,D971)),0), FactorTable!$A$2:$A$301,0), Skills!M12+1)</f>
        <v/>
      </c>
      <c r="F971">
        <f>IF(Skills!N12=TRUE,(Skills!L12/10)*(E971/1000),Skills!L12/10)+Skills!O12</f>
        <v/>
      </c>
      <c r="G971">
        <f>Skills!G12*IF(Skills!H12&gt;0,Skills!I12/Skills!H12,1)</f>
        <v/>
      </c>
      <c r="H971">
        <f>1-(1-Skills!J12/100)^Skills!K12</f>
        <v/>
      </c>
      <c r="I971" t="inlineStr">
        <is>
          <t>1</t>
        </is>
      </c>
      <c r="J971">
        <f>((Inputs!$B$6*(1+Inputs!$B$7/100))+(((Inputs!$B$13*(1+Inputs!$B$14/100))-(Inputs!$B$13*(1+Inputs!$B$14/100)))+0.25*(Inputs!$B$15-Inputs!$B$15))*(1+Inputs!$B$7/100))*(F971/100)</f>
        <v/>
      </c>
      <c r="K971">
        <f>J971*(1+(((Inputs!$B$13+IF(Inputs!$B$3&gt;=38,(10*INDEX(FactorTable!$B$2:$Y$301, MATCH(ROUND(MIN(300,MAX(1,Inputs!$B$3)),0), FactorTable!$A$2:$A$301,0), 23)/1000)/100*(Inputs!$B$8*(1+Inputs!$B$9/100)),0))*(1+Inputs!$B$14/100))*0.01+Inputs!$B$15*0.0025)/100)*(1+Inputs!$B$16/100)*(1+Inputs!$B$17/100)*(5000/(6000+Inputs!$B$43*(1-(Inputs!$B$20+0)/100)))*(1+(Inputs!$B$25+((C984=TRUE)*(F984-Calc!F25))+((C985=TRUE)*(F985-Calc!F26))+B994)/100)*(1+0.75*IF(C970=TRUE,F970,0)/100)*(1+(IF(Skills!A12="DARK_IMPALE",Inputs!$B$18+0,Inputs!$B$19+((C982=TRUE)*(F982-Calc!F23))))/100)*((1+(((C972=TRUE)*F972*IF(AND(Inputs!$B$39&lt;&gt;"pvp",Inputs!$B$44&gt;0),(((R972-1)*(Skills!T13*(1+Inputs!$B$35/100))+MIN((Skills!T13*(1+Inputs!$B$35/100)),MAX(0,Inputs!$B$44-((R972-1)*Skills!D13))))/Inputs!$B$44),IF(Inputs!$B$39="pvp",MIN((Skills!T13*(1+Inputs!$B$35/100)),15)/15,(Skills!T13*(1+Inputs!$B$35/100))/Skills!D13)))+((C973=TRUE)*F973*IF(AND(Inputs!$B$39&lt;&gt;"pvp",Inputs!$B$44&gt;0),(((R973-1)*(Skills!T14*(1+Inputs!$B$35/100))+MIN((Skills!T14*(1+Inputs!$B$35/100)),MAX(0,Inputs!$B$44-((R973-1)*Skills!D14))))/Inputs!$B$44),IF(Inputs!$B$39="pvp",MIN((Skills!T14*(1+Inputs!$B$35/100)),15)/15,(Skills!T14*(1+Inputs!$B$35/100))/Skills!D14)))+((C974=TRUE)*F974*IF(AND(Inputs!$B$39&lt;&gt;"pvp",Inputs!$B$44&gt;0),(((R974-1)*(Skills!T15*(1+Inputs!$B$35/100))+MIN((Skills!T15*(1+Inputs!$B$35/100)),MAX(0,Inputs!$B$44-((R974-1)*Skills!D15))))/Inputs!$B$44),IF(Inputs!$B$39="pvp",MIN((Skills!T15*(1+Inputs!$B$35/100)),15)/15,(Skills!T15*(1+Inputs!$B$35/100))/Skills!D15)))+((C975=TRUE)*F975*IF(AND(Inputs!$B$39&lt;&gt;"pvp",Inputs!$B$44&gt;0),(((R975-1)*(Skills!T16*(1+Inputs!$B$35/100))+MIN((Skills!T16*(1+Inputs!$B$35/100)),MAX(0,Inputs!$B$44-((R975-1)*Skills!D16))))/Inputs!$B$44),IF(Inputs!$B$39="pvp",MIN((Skills!T16*(1+Inputs!$B$35/100)),15)/15,(Skills!T16*(1+Inputs!$B$35/100))/Skills!D16)))+0)/100)*I971)</f>
        <v/>
      </c>
      <c r="L971">
        <f>K971*(MIN(Inputs!$B$23+((C981=TRUE)*(F981-Calc!F22)),Inputs!$B$24+((C983=TRUE)*(F983-Calc!F24)))/100+(Inputs!$B$24+((C983=TRUE)*(F983-Calc!F24)))/100)/2</f>
        <v/>
      </c>
      <c r="M971">
        <f>L971*(1+(Inputs!$B$11+0+B993)/100)</f>
        <v/>
      </c>
      <c r="N971">
        <f>L971*(1-MIN((Inputs!$B$10+0+B988),100)/100)+M971*(MIN((Inputs!$B$10+0+B988),100)/100)</f>
        <v/>
      </c>
      <c r="O971">
        <f>(1-Summary!$B$55)*T971+Summary!$B$55*V971</f>
        <v/>
      </c>
      <c r="P971">
        <f>IF(B998=0,0,O971/B998)</f>
        <v/>
      </c>
      <c r="Q971">
        <f>IFERROR(1/IF(Inputs!$B$39="pvp",15,MAX(0.1,Skills!D12-IF(Skills!E12=TRUE,Inputs!$B$33,0))),0)</f>
        <v/>
      </c>
      <c r="R971">
        <f>IF(AND(Inputs!$B$39&lt;&gt;"pvp",Inputs!$B$44&gt;0),IF(MAX(0,Inputs!$B$44-B995)&lt;=0,0,(INT(MAX(0,Inputs!$B$44-B995)/IF(Inputs!$B$39="pvp",15,MAX(0.1,Skills!D12-IF(Skills!E12=TRUE,Inputs!$B$33,0))))+1)),0)</f>
        <v/>
      </c>
      <c r="S971">
        <f>IFERROR(O971/N971,0)</f>
        <v/>
      </c>
      <c r="T971">
        <f>IF(C971,(H971*N971*IF(AND(Inputs!$B$39&lt;&gt;"pvp",Inputs!$B$44&gt;0),((Skills!G12*((R971-1)*IF(Skills!H12&gt;0,Skills!I12/Skills!H12,1)+IF(Skills!H12&gt;0,MIN(Skills!I12,MAX(0,MAX(0,Inputs!$B$44-B995)-((R971-1)*IF(Inputs!$B$39="pvp",15,MAX(0.1,Skills!D12-IF(Skills!E12=TRUE,Inputs!$B$33,0))))))/Skills!H12,1)))/Inputs!$B$44),G971*Q971))*IF(Inputs!$B$39="pvp",1,1+(Inputs!$B$21+0+Skills!P12+((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0)</f>
        <v/>
      </c>
      <c r="V971">
        <f>IF(C971,(H971*N971*IF(AND(Inputs!$B$39&lt;&gt;"pvp",Inputs!$B$44&gt;0),((Skills!G12*((R971-1)*IF(Skills!H12&gt;0,Skills!I12/Skills!H12,1)+IF(Skills!H12&gt;0,MIN(Skills!I12,MAX(0,MAX(0,Inputs!$B$44-B995)-((R971-1)*IF(Inputs!$B$39="pvp",15,MAX(0.1,Skills!D12-IF(Skills!E12=TRUE,Inputs!$B$33,0))))))/Skills!H12,1)))/Inputs!$B$44),G971*Q971))*IF(Inputs!$B$39="pvp",1,(1+(Inputs!$B$22+Skills!Q12+((C976=TRUE)*F976*IF(AND(Inputs!$B$39&lt;&gt;"pvp",Inputs!$B$44&gt;0),(((R976-1)*(Skills!T17*(1+Inputs!$B$35/100))+MIN((Skills!T17*(1+Inputs!$B$35/100)),MAX(0,Inputs!$B$44-((R976-1)*Skills!D17))))/Inputs!$B$44),IF(Inputs!$B$39="pvp",MIN((Skills!T17*(1+Inputs!$B$35/100)),15)/15,(Skills!T17*(1+Inputs!$B$35/100))/Skills!D17)))+((C973=TRUE)*IF(Inputs!$B$39="pvp",20,(1-Summary!$B$55)*(20)+Summary!$B$55*(0))*IF(AND(Inputs!$B$39&lt;&gt;"pvp",Inputs!$B$44&gt;0),(((R973-1)*(Skills!T14*(1+Inputs!$B$35/100))+MIN((Skills!T14*(1+Inputs!$B$35/100)),MAX(0,Inputs!$B$44-((R973-1)*Skills!D14))))/Inputs!$B$44),IF(Inputs!$B$39="pvp",MIN((Skills!T14*(1+Inputs!$B$35/100)),15)/15,(Skills!T14*(1+Inputs!$B$35/100))/Skills!D14))))/100)*(MIN(Skills!R12,Inputs!$B$38))),0)</f>
        <v/>
      </c>
    </row>
    <row r="972">
      <c r="A972">
        <f>Skills!A13</f>
        <v/>
      </c>
      <c r="B972">
        <f>Skills!B13</f>
        <v/>
      </c>
      <c r="C972">
        <f>Inputs!$B$3&gt;=69</f>
        <v/>
      </c>
      <c r="D972">
        <f>IF(Skills!C13=1,60+Inputs!$B$26+(Inputs!$B$30+1),IF(Skills!C13=2,90+Inputs!$B$27+(Inputs!$B$30+1),IF(Skills!C13=3,120+Inputs!$B$28+(Inputs!$B$30+1),MAX(0,(Inputs!$B$3-100)*3)+Inputs!$B$29+(Inputs!$B$30+1))))</f>
        <v/>
      </c>
      <c r="E972">
        <f>INDEX(FactorTable!$B$2:$Y$301, MATCH(ROUND(MIN(300,MAX(1,D972)),0), FactorTable!$A$2:$A$301,0), Skills!M13+1)</f>
        <v/>
      </c>
      <c r="F972">
        <f>IF(Skills!N13=TRUE,(Skills!L13/10)*(E972/1000),Skills!L13/10)+Skills!O13</f>
        <v/>
      </c>
      <c r="G972">
        <f>Skills!G13*IF(Skills!H13&gt;0,Skills!I13/Skills!H13,1)</f>
        <v/>
      </c>
      <c r="H972">
        <f>1-(1-Skills!J13/100)^Skills!K13</f>
        <v/>
      </c>
      <c r="I972" t="inlineStr">
        <is>
          <t>1</t>
        </is>
      </c>
      <c r="J972" t="inlineStr"/>
      <c r="K972" t="inlineStr"/>
      <c r="L972" t="inlineStr"/>
      <c r="M972" t="inlineStr"/>
      <c r="N972" t="inlineStr"/>
      <c r="O972">
        <f>(1-Summary!$B$55)*T972+Summary!$B$55*V972</f>
        <v/>
      </c>
      <c r="P972">
        <f>IF(B998=0,0,O972/B998)</f>
        <v/>
      </c>
      <c r="Q972">
        <f>IFERROR(1/IF(Inputs!$B$39="pvp",15,MAX(0.1,Skills!D13-IF(Skills!E13=TRUE,Inputs!$B$33,0))),0)</f>
        <v/>
      </c>
      <c r="R972">
        <f>IF(AND(Inputs!$B$39&lt;&gt;"pvp",Inputs!$B$44&gt;0),IF(Inputs!$B$44&lt;=0,0,(INT(Inputs!$B$44/IF(Inputs!$B$39="pvp",15,MAX(0.1,Skills!D13-IF(Skills!E13=TRUE,Inputs!$B$33,0))))+1)),0)</f>
        <v/>
      </c>
      <c r="S972">
        <f>IFERROR(O972/N972,0)</f>
        <v/>
      </c>
      <c r="T972" t="n">
        <v>0</v>
      </c>
      <c r="V972" t="n">
        <v>0</v>
      </c>
    </row>
    <row r="973">
      <c r="A973">
        <f>Skills!A14</f>
        <v/>
      </c>
      <c r="B973">
        <f>Skills!B14</f>
        <v/>
      </c>
      <c r="C973">
        <f>Inputs!$B$3&gt;=115</f>
        <v/>
      </c>
      <c r="D973">
        <f>IF(Skills!C14=1,60+Inputs!$B$26+(Inputs!$B$30+1),IF(Skills!C14=2,90+Inputs!$B$27+(Inputs!$B$30+1),IF(Skills!C14=3,120+Inputs!$B$28+(Inputs!$B$30+1),MAX(0,(Inputs!$B$3-100)*3)+Inputs!$B$29+(Inputs!$B$30+1))))</f>
        <v/>
      </c>
      <c r="E973">
        <f>INDEX(FactorTable!$B$2:$Y$301, MATCH(ROUND(MIN(300,MAX(1,D973)),0), FactorTable!$A$2:$A$301,0), Skills!M14+1)</f>
        <v/>
      </c>
      <c r="F973">
        <f>IF(Skills!N14=TRUE,(Skills!L14/10)*(E973/1000),Skills!L14/10)+Skills!O14</f>
        <v/>
      </c>
      <c r="G973">
        <f>Skills!G14*IF(Skills!H14&gt;0,Skills!I14/Skills!H14,1)</f>
        <v/>
      </c>
      <c r="H973">
        <f>1-(1-Skills!J14/100)^Skills!K14</f>
        <v/>
      </c>
      <c r="I973" t="inlineStr">
        <is>
          <t>1</t>
        </is>
      </c>
      <c r="J973" t="inlineStr"/>
      <c r="K973" t="inlineStr"/>
      <c r="L973" t="inlineStr"/>
      <c r="M973" t="inlineStr"/>
      <c r="N973" t="inlineStr"/>
      <c r="O973">
        <f>(1-Summary!$B$55)*T973+Summary!$B$55*V973</f>
        <v/>
      </c>
      <c r="P973">
        <f>IF(B998=0,0,O973/B998)</f>
        <v/>
      </c>
      <c r="Q973">
        <f>IFERROR(1/IF(Inputs!$B$39="pvp",15,MAX(0.1,Skills!D14-IF(Skills!E14=TRUE,Inputs!$B$33,0))),0)</f>
        <v/>
      </c>
      <c r="R973">
        <f>IF(AND(Inputs!$B$39&lt;&gt;"pvp",Inputs!$B$44&gt;0),IF(Inputs!$B$44&lt;=0,0,(INT(Inputs!$B$44/IF(Inputs!$B$39="pvp",15,MAX(0.1,Skills!D14-IF(Skills!E14=TRUE,Inputs!$B$33,0))))+1)),0)</f>
        <v/>
      </c>
      <c r="S973">
        <f>IFERROR(O973/N973,0)</f>
        <v/>
      </c>
      <c r="T973" t="n">
        <v>0</v>
      </c>
      <c r="V973" t="n">
        <v>0</v>
      </c>
    </row>
    <row r="974">
      <c r="A974">
        <f>Skills!A15</f>
        <v/>
      </c>
      <c r="B974">
        <f>Skills!B15</f>
        <v/>
      </c>
      <c r="C974">
        <f>Inputs!$B$3&gt;=66</f>
        <v/>
      </c>
      <c r="D974">
        <f>IF(Skills!C15=1,60+Inputs!$B$26+(Inputs!$B$30+1),IF(Skills!C15=2,90+Inputs!$B$27+(Inputs!$B$30+1),IF(Skills!C15=3,120+Inputs!$B$28+(Inputs!$B$30+1),MAX(0,(Inputs!$B$3-100)*3)+Inputs!$B$29+(Inputs!$B$30+1))))</f>
        <v/>
      </c>
      <c r="E974">
        <f>INDEX(FactorTable!$B$2:$Y$301, MATCH(ROUND(MIN(300,MAX(1,D974)),0), FactorTable!$A$2:$A$301,0), Skills!M15+1)</f>
        <v/>
      </c>
      <c r="F974">
        <f>IF(Skills!N15=TRUE,(Skills!L15/10)*(E974/1000),Skills!L15/10)+Skills!O15</f>
        <v/>
      </c>
      <c r="G974">
        <f>Skills!G15*IF(Skills!H15&gt;0,Skills!I15/Skills!H15,1)</f>
        <v/>
      </c>
      <c r="H974">
        <f>1-(1-Skills!J15/100)^Skills!K15</f>
        <v/>
      </c>
      <c r="I974" t="inlineStr">
        <is>
          <t>1</t>
        </is>
      </c>
      <c r="J974" t="inlineStr"/>
      <c r="K974" t="inlineStr"/>
      <c r="L974" t="inlineStr"/>
      <c r="M974" t="inlineStr"/>
      <c r="N974" t="inlineStr"/>
      <c r="O974">
        <f>(1-Summary!$B$55)*T974+Summary!$B$55*V974</f>
        <v/>
      </c>
      <c r="P974">
        <f>IF(B998=0,0,O974/B998)</f>
        <v/>
      </c>
      <c r="Q974">
        <f>IFERROR(1/IF(Inputs!$B$39="pvp",15,MAX(0.1,Skills!D15-IF(Skills!E15=TRUE,Inputs!$B$33,0))),0)</f>
        <v/>
      </c>
      <c r="R974">
        <f>IF(AND(Inputs!$B$39&lt;&gt;"pvp",Inputs!$B$44&gt;0),IF(Inputs!$B$44&lt;=0,0,(INT(Inputs!$B$44/IF(Inputs!$B$39="pvp",15,MAX(0.1,Skills!D15-IF(Skills!E15=TRUE,Inputs!$B$33,0))))+1)),0)</f>
        <v/>
      </c>
      <c r="S974">
        <f>IFERROR(O974/N974,0)</f>
        <v/>
      </c>
      <c r="T974" t="n">
        <v>0</v>
      </c>
      <c r="V974" t="n">
        <v>0</v>
      </c>
    </row>
    <row r="975">
      <c r="A975">
        <f>Skills!A16</f>
        <v/>
      </c>
      <c r="B975">
        <f>Skills!B16</f>
        <v/>
      </c>
      <c r="C975">
        <f>Inputs!$B$3&gt;=45</f>
        <v/>
      </c>
      <c r="D975">
        <f>IF(Skills!C16=1,60+Inputs!$B$26+(Inputs!$B$30+1),IF(Skills!C16=2,90+Inputs!$B$27+(Inputs!$B$30+1),IF(Skills!C16=3,120+Inputs!$B$28+(Inputs!$B$30+1),MAX(0,(Inputs!$B$3-100)*3)+Inputs!$B$29+(Inputs!$B$30+1))))</f>
        <v/>
      </c>
      <c r="E975">
        <f>INDEX(FactorTable!$B$2:$Y$301, MATCH(ROUND(MIN(300,MAX(1,D975)),0), FactorTable!$A$2:$A$301,0), Skills!M16+1)</f>
        <v/>
      </c>
      <c r="F975">
        <f>IF(Skills!N16=TRUE,(Skills!L16/10)*(E975/1000),Skills!L16/10)+Skills!O16</f>
        <v/>
      </c>
      <c r="G975">
        <f>Skills!G16*IF(Skills!H16&gt;0,Skills!I16/Skills!H16,1)</f>
        <v/>
      </c>
      <c r="H975">
        <f>1-(1-Skills!J16/100)^Skills!K16</f>
        <v/>
      </c>
      <c r="I975" t="inlineStr">
        <is>
          <t>1</t>
        </is>
      </c>
      <c r="J975" t="inlineStr"/>
      <c r="K975" t="inlineStr"/>
      <c r="L975" t="inlineStr"/>
      <c r="M975" t="inlineStr"/>
      <c r="N975" t="inlineStr"/>
      <c r="O975">
        <f>(1-Summary!$B$55)*T975+Summary!$B$55*V975</f>
        <v/>
      </c>
      <c r="P975">
        <f>IF(B998=0,0,O975/B998)</f>
        <v/>
      </c>
      <c r="Q975">
        <f>IFERROR(1/IF(Inputs!$B$39="pvp",15,MAX(0.1,Skills!D16-IF(Skills!E16=TRUE,Inputs!$B$33,0))),0)</f>
        <v/>
      </c>
      <c r="R975">
        <f>IF(AND(Inputs!$B$39&lt;&gt;"pvp",Inputs!$B$44&gt;0),IF(Inputs!$B$44&lt;=0,0,(INT(Inputs!$B$44/IF(Inputs!$B$39="pvp",15,MAX(0.1,Skills!D16-IF(Skills!E16=TRUE,Inputs!$B$33,0))))+1)),0)</f>
        <v/>
      </c>
      <c r="S975">
        <f>IFERROR(O975/N975,0)</f>
        <v/>
      </c>
      <c r="T975" t="n">
        <v>0</v>
      </c>
      <c r="V975" t="n">
        <v>0</v>
      </c>
    </row>
    <row r="976">
      <c r="A976">
        <f>Skills!A17</f>
        <v/>
      </c>
      <c r="B976">
        <f>Skills!B17</f>
        <v/>
      </c>
      <c r="C976">
        <f>Inputs!$B$3&gt;=35</f>
        <v/>
      </c>
      <c r="D976">
        <f>IF(Skills!C17=1,60+Inputs!$B$26+(Inputs!$B$30+1),IF(Skills!C17=2,90+Inputs!$B$27+(Inputs!$B$30+1),IF(Skills!C17=3,120+Inputs!$B$28+(Inputs!$B$30+1),MAX(0,(Inputs!$B$3-100)*3)+Inputs!$B$29+(Inputs!$B$30+1))))</f>
        <v/>
      </c>
      <c r="E976">
        <f>INDEX(FactorTable!$B$2:$Y$301, MATCH(ROUND(MIN(300,MAX(1,D976)),0), FactorTable!$A$2:$A$301,0), Skills!M17+1)</f>
        <v/>
      </c>
      <c r="F976">
        <f>IF(Skills!N17=TRUE,(Skills!L17/10)*(E976/1000),Skills!L17/10)+Skills!O17</f>
        <v/>
      </c>
      <c r="G976">
        <f>Skills!G17*IF(Skills!H17&gt;0,Skills!I17/Skills!H17,1)</f>
        <v/>
      </c>
      <c r="H976">
        <f>1-(1-Skills!J17/100)^Skills!K17</f>
        <v/>
      </c>
      <c r="I976" t="inlineStr">
        <is>
          <t>1</t>
        </is>
      </c>
      <c r="J976" t="inlineStr"/>
      <c r="K976" t="inlineStr"/>
      <c r="L976" t="inlineStr"/>
      <c r="M976" t="inlineStr"/>
      <c r="N976" t="inlineStr"/>
      <c r="O976">
        <f>(1-Summary!$B$55)*T976+Summary!$B$55*V976</f>
        <v/>
      </c>
      <c r="P976">
        <f>IF(B998=0,0,O976/B998)</f>
        <v/>
      </c>
      <c r="Q976">
        <f>IFERROR(1/IF(Inputs!$B$39="pvp",15,MAX(0.1,Skills!D17-IF(Skills!E17=TRUE,Inputs!$B$33,0))),0)</f>
        <v/>
      </c>
      <c r="R976">
        <f>IF(AND(Inputs!$B$39&lt;&gt;"pvp",Inputs!$B$44&gt;0),IF(Inputs!$B$44&lt;=0,0,(INT(Inputs!$B$44/IF(Inputs!$B$39="pvp",15,MAX(0.1,Skills!D17-IF(Skills!E17=TRUE,Inputs!$B$33,0))))+1)),0)</f>
        <v/>
      </c>
      <c r="S976">
        <f>IFERROR(O976/N976,0)</f>
        <v/>
      </c>
      <c r="T976" t="n">
        <v>0</v>
      </c>
      <c r="V976" t="n">
        <v>0</v>
      </c>
    </row>
    <row r="977">
      <c r="A977">
        <f>Skills!A18</f>
        <v/>
      </c>
      <c r="B977">
        <f>Skills!B18</f>
        <v/>
      </c>
      <c r="C977">
        <f>Inputs!$B$3&gt;=72</f>
        <v/>
      </c>
      <c r="D977">
        <f>IF(Skills!C18=1,60+Inputs!$B$26+(Inputs!$B$30+1),IF(Skills!C18=2,90+Inputs!$B$27+(Inputs!$B$30+1),IF(Skills!C18=3,120+Inputs!$B$28+(Inputs!$B$30+1),MAX(0,(Inputs!$B$3-100)*3)+Inputs!$B$29+(Inputs!$B$30+1))))</f>
        <v/>
      </c>
      <c r="E977">
        <f>INDEX(FactorTable!$B$2:$Y$301, MATCH(ROUND(MIN(300,MAX(1,D977)),0), FactorTable!$A$2:$A$301,0), Skills!M18+1)</f>
        <v/>
      </c>
      <c r="F977">
        <f>IF(Skills!N18=TRUE,(Skills!L18/10)*(E977/1000),Skills!L18/10)+Skills!O18</f>
        <v/>
      </c>
      <c r="G977">
        <f>Skills!G18*IF(Skills!H18&gt;0,Skills!I18/Skills!H18,1)</f>
        <v/>
      </c>
      <c r="H977">
        <f>1-(1-Skills!J18/100)^Skills!K18</f>
        <v/>
      </c>
      <c r="I977" t="inlineStr">
        <is>
          <t>1</t>
        </is>
      </c>
      <c r="J977" t="inlineStr"/>
      <c r="K977" t="inlineStr"/>
      <c r="L977" t="inlineStr"/>
      <c r="M977" t="inlineStr"/>
      <c r="N977" t="inlineStr"/>
      <c r="O977">
        <f>(1-Summary!$B$55)*T977+Summary!$B$55*V977</f>
        <v/>
      </c>
      <c r="P977">
        <f>IF(B998=0,0,O977/B998)</f>
        <v/>
      </c>
      <c r="Q977">
        <f>IFERROR(1/IF(Inputs!$B$39="pvp",15,MAX(0.1,Skills!D18-IF(Skills!E18=TRUE,Inputs!$B$33,0))),0)</f>
        <v/>
      </c>
      <c r="R977">
        <f>IF(AND(Inputs!$B$39&lt;&gt;"pvp",Inputs!$B$44&gt;0),IF(Inputs!$B$44&lt;=0,0,(INT(Inputs!$B$44/IF(Inputs!$B$39="pvp",15,MAX(0.1,Skills!D18-IF(Skills!E18=TRUE,Inputs!$B$33,0))))+1)),0)</f>
        <v/>
      </c>
      <c r="S977">
        <f>IFERROR(O977/N977,0)</f>
        <v/>
      </c>
      <c r="T977" t="n">
        <v>0</v>
      </c>
      <c r="V977" t="n">
        <v>0</v>
      </c>
    </row>
    <row r="978">
      <c r="A978">
        <f>Skills!A19</f>
        <v/>
      </c>
      <c r="B978">
        <f>Skills!B19</f>
        <v/>
      </c>
      <c r="C978">
        <f>Inputs!$B$3&gt;=72</f>
        <v/>
      </c>
      <c r="D978">
        <f>IF(Skills!C19=1,60+Inputs!$B$26+(Inputs!$B$30+1),IF(Skills!C19=2,90+Inputs!$B$27+(Inputs!$B$30+1),IF(Skills!C19=3,120+Inputs!$B$28+(Inputs!$B$30+1),MAX(0,(Inputs!$B$3-100)*3)+Inputs!$B$29+(Inputs!$B$30+1))))</f>
        <v/>
      </c>
      <c r="E978">
        <f>INDEX(FactorTable!$B$2:$Y$301, MATCH(ROUND(MIN(300,MAX(1,D978)),0), FactorTable!$A$2:$A$301,0), Skills!M19+1)</f>
        <v/>
      </c>
      <c r="F978">
        <f>IF(Skills!N19=TRUE,(Skills!L19/10)*(E978/1000),Skills!L19/10)+Skills!O19</f>
        <v/>
      </c>
      <c r="G978">
        <f>Skills!G19*IF(Skills!H19&gt;0,Skills!I19/Skills!H19,1)</f>
        <v/>
      </c>
      <c r="H978">
        <f>1-(1-Skills!J19/100)^Skills!K19</f>
        <v/>
      </c>
      <c r="I978" t="inlineStr">
        <is>
          <t>1</t>
        </is>
      </c>
      <c r="J978" t="inlineStr"/>
      <c r="K978" t="inlineStr"/>
      <c r="L978" t="inlineStr"/>
      <c r="M978" t="inlineStr"/>
      <c r="N978" t="inlineStr"/>
      <c r="O978">
        <f>(1-Summary!$B$55)*T978+Summary!$B$55*V978</f>
        <v/>
      </c>
      <c r="P978">
        <f>IF(B998=0,0,O978/B998)</f>
        <v/>
      </c>
      <c r="Q978">
        <f>IFERROR(1/IF(Inputs!$B$39="pvp",15,MAX(0.1,Skills!D19-IF(Skills!E19=TRUE,Inputs!$B$33,0))),0)</f>
        <v/>
      </c>
      <c r="R978">
        <f>IF(AND(Inputs!$B$39&lt;&gt;"pvp",Inputs!$B$44&gt;0),IF(Inputs!$B$44&lt;=0,0,(INT(Inputs!$B$44/IF(Inputs!$B$39="pvp",15,MAX(0.1,Skills!D19-IF(Skills!E19=TRUE,Inputs!$B$33,0))))+1)),0)</f>
        <v/>
      </c>
      <c r="S978">
        <f>IFERROR(O978/N978,0)</f>
        <v/>
      </c>
      <c r="T978" t="n">
        <v>0</v>
      </c>
      <c r="V978" t="n">
        <v>0</v>
      </c>
    </row>
    <row r="979">
      <c r="A979">
        <f>Skills!A20</f>
        <v/>
      </c>
      <c r="B979">
        <f>Skills!B20</f>
        <v/>
      </c>
      <c r="C979">
        <f>TRUE</f>
        <v/>
      </c>
      <c r="D979">
        <f>IF(Skills!C20=1,60+Inputs!$B$26+(Inputs!$B$30+1),IF(Skills!C20=2,90+Inputs!$B$27+(Inputs!$B$30+1),IF(Skills!C20=3,120+Inputs!$B$28+(Inputs!$B$30+1),MAX(0,(Inputs!$B$3-100)*3)+Inputs!$B$29+(Inputs!$B$30+1))))</f>
        <v/>
      </c>
      <c r="E979">
        <f>INDEX(FactorTable!$B$2:$Y$301, MATCH(ROUND(MIN(300,MAX(1,D979)),0), FactorTable!$A$2:$A$301,0), Skills!M20+1)</f>
        <v/>
      </c>
      <c r="F979">
        <f>IF(Skills!N20=TRUE,(Skills!L20/10)*(E979/1000),Skills!L20/10)+Skills!O20</f>
        <v/>
      </c>
      <c r="G979">
        <f>Skills!G20*IF(Skills!H20&gt;0,Skills!I20/Skills!H20,1)</f>
        <v/>
      </c>
      <c r="H979">
        <f>1-(1-Skills!J20/100)^Skills!K20</f>
        <v/>
      </c>
      <c r="I979" t="inlineStr">
        <is>
          <t>1</t>
        </is>
      </c>
      <c r="J979" t="inlineStr"/>
      <c r="K979" t="inlineStr"/>
      <c r="L979" t="inlineStr"/>
      <c r="M979" t="inlineStr"/>
      <c r="N979" t="inlineStr"/>
      <c r="O979">
        <f>(1-Summary!$B$55)*T979+Summary!$B$55*V979</f>
        <v/>
      </c>
      <c r="P979">
        <f>IF(B998=0,0,O979/B998)</f>
        <v/>
      </c>
      <c r="Q979">
        <f>IFERROR(1/IF(Inputs!$B$39="pvp",15,MAX(0.1,Skills!D20-IF(Skills!E20=TRUE,Inputs!$B$33,0))),0)</f>
        <v/>
      </c>
      <c r="R979">
        <f>IF(AND(Inputs!$B$39&lt;&gt;"pvp",Inputs!$B$44&gt;0),IF(Inputs!$B$44&lt;=0,0,(INT(Inputs!$B$44/IF(Inputs!$B$39="pvp",15,MAX(0.1,Skills!D20-IF(Skills!E20=TRUE,Inputs!$B$33,0))))+1)),0)</f>
        <v/>
      </c>
      <c r="S979">
        <f>IFERROR(O979/N979,0)</f>
        <v/>
      </c>
      <c r="T979" t="n">
        <v>0</v>
      </c>
      <c r="V979" t="n">
        <v>0</v>
      </c>
    </row>
    <row r="980">
      <c r="A980">
        <f>Skills!A21</f>
        <v/>
      </c>
      <c r="B980">
        <f>Skills!B21</f>
        <v/>
      </c>
      <c r="C980">
        <f>Inputs!$B$3&gt;=33</f>
        <v/>
      </c>
      <c r="D980">
        <f>IF(Skills!C21=1,60+Inputs!$B$26+(Inputs!$B$30+1),IF(Skills!C21=2,90+Inputs!$B$27+(Inputs!$B$30+1),IF(Skills!C21=3,120+Inputs!$B$28+(Inputs!$B$30+1),MAX(0,(Inputs!$B$3-100)*3)+Inputs!$B$29+(Inputs!$B$30+1))))</f>
        <v/>
      </c>
      <c r="E980">
        <f>INDEX(FactorTable!$B$2:$Y$301, MATCH(ROUND(MIN(300,MAX(1,D980)),0), FactorTable!$A$2:$A$301,0), Skills!M21+1)</f>
        <v/>
      </c>
      <c r="F980">
        <f>IF(Skills!N21=TRUE,(Skills!L21/10)*(E980/1000),Skills!L21/10)+Skills!O21</f>
        <v/>
      </c>
      <c r="G980">
        <f>Skills!G21*IF(Skills!H21&gt;0,Skills!I21/Skills!H21,1)</f>
        <v/>
      </c>
      <c r="H980">
        <f>1-(1-Skills!J21/100)^Skills!K21</f>
        <v/>
      </c>
      <c r="I980" t="inlineStr">
        <is>
          <t>1</t>
        </is>
      </c>
      <c r="J980" t="inlineStr"/>
      <c r="K980" t="inlineStr"/>
      <c r="L980" t="inlineStr"/>
      <c r="M980" t="inlineStr"/>
      <c r="N980" t="inlineStr"/>
      <c r="O980">
        <f>(1-Summary!$B$55)*T980+Summary!$B$55*V980</f>
        <v/>
      </c>
      <c r="P980">
        <f>IF(B998=0,0,O980/B998)</f>
        <v/>
      </c>
      <c r="Q980" t="n">
        <v>0</v>
      </c>
      <c r="R980" t="n">
        <v>0</v>
      </c>
      <c r="S980">
        <f>IFERROR(O980/N980,0)</f>
        <v/>
      </c>
      <c r="T980" t="n">
        <v>0</v>
      </c>
      <c r="V980" t="n">
        <v>0</v>
      </c>
    </row>
    <row r="981">
      <c r="A981">
        <f>Skills!A22</f>
        <v/>
      </c>
      <c r="B981">
        <f>Skills!B22</f>
        <v/>
      </c>
      <c r="C981">
        <f>Inputs!$B$3&gt;=43</f>
        <v/>
      </c>
      <c r="D981">
        <f>IF(Skills!C22=1,60+Inputs!$B$26+(Inputs!$B$30+1),IF(Skills!C22=2,90+Inputs!$B$27+(Inputs!$B$30+1),IF(Skills!C22=3,120+Inputs!$B$28+(Inputs!$B$30+1),MAX(0,(Inputs!$B$3-100)*3)+Inputs!$B$29+(Inputs!$B$30+1))))</f>
        <v/>
      </c>
      <c r="E981">
        <f>INDEX(FactorTable!$B$2:$Y$301, MATCH(ROUND(MIN(300,MAX(1,D981)),0), FactorTable!$A$2:$A$301,0), Skills!M22+1)</f>
        <v/>
      </c>
      <c r="F981">
        <f>IF(Skills!N22=TRUE,(Skills!L22/10)*(E981/1000),Skills!L22/10)+Skills!O22</f>
        <v/>
      </c>
      <c r="G981">
        <f>Skills!G22*IF(Skills!H22&gt;0,Skills!I22/Skills!H22,1)</f>
        <v/>
      </c>
      <c r="H981">
        <f>1-(1-Skills!J22/100)^Skills!K22</f>
        <v/>
      </c>
      <c r="I981" t="inlineStr">
        <is>
          <t>1</t>
        </is>
      </c>
      <c r="J981" t="inlineStr"/>
      <c r="K981" t="inlineStr"/>
      <c r="L981" t="inlineStr"/>
      <c r="M981" t="inlineStr"/>
      <c r="N981" t="inlineStr"/>
      <c r="O981">
        <f>(1-Summary!$B$55)*T981+Summary!$B$55*V981</f>
        <v/>
      </c>
      <c r="P981">
        <f>IF(B998=0,0,O981/B998)</f>
        <v/>
      </c>
      <c r="Q981" t="n">
        <v>0</v>
      </c>
      <c r="R981" t="n">
        <v>0</v>
      </c>
      <c r="S981">
        <f>IFERROR(O981/N981,0)</f>
        <v/>
      </c>
      <c r="T981" t="n">
        <v>0</v>
      </c>
      <c r="V981" t="n">
        <v>0</v>
      </c>
    </row>
    <row r="982">
      <c r="A982">
        <f>Skills!A23</f>
        <v/>
      </c>
      <c r="B982">
        <f>Skills!B23</f>
        <v/>
      </c>
      <c r="C982">
        <f>Inputs!$B$3&gt;=120</f>
        <v/>
      </c>
      <c r="D982">
        <f>IF(Skills!C23=1,60+Inputs!$B$26+(Inputs!$B$30+1),IF(Skills!C23=2,90+Inputs!$B$27+(Inputs!$B$30+1),IF(Skills!C23=3,120+Inputs!$B$28+(Inputs!$B$30+1),MAX(0,(Inputs!$B$3-100)*3)+Inputs!$B$29+(Inputs!$B$30+1))))</f>
        <v/>
      </c>
      <c r="E982">
        <f>INDEX(FactorTable!$B$2:$Y$301, MATCH(ROUND(MIN(300,MAX(1,D982)),0), FactorTable!$A$2:$A$301,0), Skills!M23+1)</f>
        <v/>
      </c>
      <c r="F982">
        <f>IF(Skills!N23=TRUE,(Skills!L23/10)*(E982/1000),Skills!L23/10)+Skills!O23</f>
        <v/>
      </c>
      <c r="G982">
        <f>Skills!G23*IF(Skills!H23&gt;0,Skills!I23/Skills!H23,1)</f>
        <v/>
      </c>
      <c r="H982">
        <f>1-(1-Skills!J23/100)^Skills!K23</f>
        <v/>
      </c>
      <c r="I982" t="inlineStr">
        <is>
          <t>1</t>
        </is>
      </c>
      <c r="J982" t="inlineStr"/>
      <c r="K982" t="inlineStr"/>
      <c r="L982" t="inlineStr"/>
      <c r="M982" t="inlineStr"/>
      <c r="N982" t="inlineStr"/>
      <c r="O982">
        <f>(1-Summary!$B$55)*T982+Summary!$B$55*V982</f>
        <v/>
      </c>
      <c r="P982">
        <f>IF(B998=0,0,O982/B998)</f>
        <v/>
      </c>
      <c r="Q982" t="n">
        <v>0</v>
      </c>
      <c r="R982" t="n">
        <v>0</v>
      </c>
      <c r="S982">
        <f>IFERROR(O982/N982,0)</f>
        <v/>
      </c>
      <c r="T982" t="n">
        <v>0</v>
      </c>
      <c r="V982" t="n">
        <v>0</v>
      </c>
    </row>
    <row r="983">
      <c r="A983">
        <f>Skills!A24</f>
        <v/>
      </c>
      <c r="B983">
        <f>Skills!B24</f>
        <v/>
      </c>
      <c r="C983">
        <f>Inputs!$B$3&gt;=120</f>
        <v/>
      </c>
      <c r="D983">
        <f>IF(Skills!C24=1,60+Inputs!$B$26+(Inputs!$B$30+1),IF(Skills!C24=2,90+Inputs!$B$27+(Inputs!$B$30+1),IF(Skills!C24=3,120+Inputs!$B$28+(Inputs!$B$30+1),MAX(0,(Inputs!$B$3-100)*3)+Inputs!$B$29+(Inputs!$B$30+1))))</f>
        <v/>
      </c>
      <c r="E983">
        <f>INDEX(FactorTable!$B$2:$Y$301, MATCH(ROUND(MIN(300,MAX(1,D983)),0), FactorTable!$A$2:$A$301,0), Skills!M24+1)</f>
        <v/>
      </c>
      <c r="F983">
        <f>IF(Skills!N24=TRUE,(Skills!L24/10)*(E983/1000),Skills!L24/10)+Skills!O24</f>
        <v/>
      </c>
      <c r="G983">
        <f>Skills!G24*IF(Skills!H24&gt;0,Skills!I24/Skills!H24,1)</f>
        <v/>
      </c>
      <c r="H983">
        <f>1-(1-Skills!J24/100)^Skills!K24</f>
        <v/>
      </c>
      <c r="I983" t="inlineStr">
        <is>
          <t>1</t>
        </is>
      </c>
      <c r="J983" t="inlineStr"/>
      <c r="K983" t="inlineStr"/>
      <c r="L983" t="inlineStr"/>
      <c r="M983" t="inlineStr"/>
      <c r="N983" t="inlineStr"/>
      <c r="O983">
        <f>(1-Summary!$B$55)*T983+Summary!$B$55*V983</f>
        <v/>
      </c>
      <c r="P983">
        <f>IF(B998=0,0,O983/B998)</f>
        <v/>
      </c>
      <c r="Q983" t="n">
        <v>0</v>
      </c>
      <c r="R983" t="n">
        <v>0</v>
      </c>
      <c r="S983">
        <f>IFERROR(O983/N983,0)</f>
        <v/>
      </c>
      <c r="T983" t="n">
        <v>0</v>
      </c>
      <c r="V983" t="n">
        <v>0</v>
      </c>
    </row>
    <row r="984">
      <c r="A984">
        <f>Skills!A25</f>
        <v/>
      </c>
      <c r="B984">
        <f>Skills!B25</f>
        <v/>
      </c>
      <c r="C984">
        <f>Inputs!$B$3&gt;=125</f>
        <v/>
      </c>
      <c r="D984">
        <f>IF(Skills!C25=1,60+Inputs!$B$26+(Inputs!$B$30+1),IF(Skills!C25=2,90+Inputs!$B$27+(Inputs!$B$30+1),IF(Skills!C25=3,120+Inputs!$B$28+(Inputs!$B$30+1),MAX(0,(Inputs!$B$3-100)*3)+Inputs!$B$29+(Inputs!$B$30+1))))</f>
        <v/>
      </c>
      <c r="E984">
        <f>INDEX(FactorTable!$B$2:$Y$301, MATCH(ROUND(MIN(300,MAX(1,D984)),0), FactorTable!$A$2:$A$301,0), Skills!M25+1)</f>
        <v/>
      </c>
      <c r="F984">
        <f>IF(Skills!N25=TRUE,(Skills!L25/10)*(E984/1000),Skills!L25/10)+Skills!O25</f>
        <v/>
      </c>
      <c r="G984">
        <f>Skills!G25*IF(Skills!H25&gt;0,Skills!I25/Skills!H25,1)</f>
        <v/>
      </c>
      <c r="H984">
        <f>1-(1-Skills!J25/100)^Skills!K25</f>
        <v/>
      </c>
      <c r="I984" t="inlineStr">
        <is>
          <t>1</t>
        </is>
      </c>
      <c r="J984" t="inlineStr"/>
      <c r="K984" t="inlineStr"/>
      <c r="L984" t="inlineStr"/>
      <c r="M984" t="inlineStr"/>
      <c r="N984" t="inlineStr"/>
      <c r="O984">
        <f>(1-Summary!$B$55)*T984+Summary!$B$55*V984</f>
        <v/>
      </c>
      <c r="P984">
        <f>IF(B998=0,0,O984/B998)</f>
        <v/>
      </c>
      <c r="Q984" t="n">
        <v>0</v>
      </c>
      <c r="R984" t="n">
        <v>0</v>
      </c>
      <c r="S984">
        <f>IFERROR(O984/N984,0)</f>
        <v/>
      </c>
      <c r="T984" t="n">
        <v>0</v>
      </c>
      <c r="V984" t="n">
        <v>0</v>
      </c>
    </row>
    <row r="985">
      <c r="A985">
        <f>Skills!A26</f>
        <v/>
      </c>
      <c r="B985">
        <f>Skills!B26</f>
        <v/>
      </c>
      <c r="C985">
        <f>Inputs!$B$3&gt;=107</f>
        <v/>
      </c>
      <c r="D985">
        <f>IF(Skills!C26=1,60+Inputs!$B$26+(Inputs!$B$30+1),IF(Skills!C26=2,90+Inputs!$B$27+(Inputs!$B$30+1),IF(Skills!C26=3,120+Inputs!$B$28+(Inputs!$B$30+1),MAX(0,(Inputs!$B$3-100)*3)+Inputs!$B$29+(Inputs!$B$30+1))))</f>
        <v/>
      </c>
      <c r="E985">
        <f>INDEX(FactorTable!$B$2:$Y$301, MATCH(ROUND(MIN(300,MAX(1,D985)),0), FactorTable!$A$2:$A$301,0), Skills!M26+1)</f>
        <v/>
      </c>
      <c r="F985">
        <f>IF(Skills!N26=TRUE,(Skills!L26/10)*(E985/1000),Skills!L26/10)+Skills!O26</f>
        <v/>
      </c>
      <c r="G985">
        <f>Skills!G26*IF(Skills!H26&gt;0,Skills!I26/Skills!H26,1)</f>
        <v/>
      </c>
      <c r="H985">
        <f>1-(1-Skills!J26/100)^Skills!K26</f>
        <v/>
      </c>
      <c r="I985" t="inlineStr">
        <is>
          <t>1</t>
        </is>
      </c>
      <c r="J985" t="inlineStr"/>
      <c r="K985" t="inlineStr"/>
      <c r="L985" t="inlineStr"/>
      <c r="M985" t="inlineStr"/>
      <c r="N985" t="inlineStr"/>
      <c r="O985">
        <f>(1-Summary!$B$55)*T985+Summary!$B$55*V985</f>
        <v/>
      </c>
      <c r="P985">
        <f>IF(B998=0,0,O985/B998)</f>
        <v/>
      </c>
      <c r="Q985" t="n">
        <v>0</v>
      </c>
      <c r="R985" t="n">
        <v>0</v>
      </c>
      <c r="S985">
        <f>IFERROR(O985/N985,0)</f>
        <v/>
      </c>
      <c r="T985" t="n">
        <v>0</v>
      </c>
      <c r="V985" t="n">
        <v>0</v>
      </c>
    </row>
    <row r="987">
      <c r="A987" t="inlineStr">
        <is>
          <t>Attack% Bucket Multiplier</t>
        </is>
      </c>
      <c r="B987">
        <f>(1+(((C972=TRUE)*F972*IF(AND(Inputs!$B$39&lt;&gt;"pvp",Inputs!$B$44&gt;0),(((R972-1)*(Skills!T13*(1+Inputs!$B$35/100))+MIN((Skills!T13*(1+Inputs!$B$35/100)),MAX(0,Inputs!$B$44-((R972-1)*Skills!D13))))/Inputs!$B$44),IF(Inputs!$B$39="pvp",MIN((Skills!T13*(1+Inputs!$B$35/100)),15)/15,(Skills!T13*(1+Inputs!$B$35/100))/Skills!D13)))+((C973=TRUE)*F973*IF(AND(Inputs!$B$39&lt;&gt;"pvp",Inputs!$B$44&gt;0),(((R973-1)*(Skills!T14*(1+Inputs!$B$35/100))+MIN((Skills!T14*(1+Inputs!$B$35/100)),MAX(0,Inputs!$B$44-((R973-1)*Skills!D14))))/Inputs!$B$44),IF(Inputs!$B$39="pvp",MIN((Skills!T14*(1+Inputs!$B$35/100)),15)/15,(Skills!T14*(1+Inputs!$B$35/100))/Skills!D14)))+((C974=TRUE)*F974*IF(AND(Inputs!$B$39&lt;&gt;"pvp",Inputs!$B$44&gt;0),(((R974-1)*(Skills!T15*(1+Inputs!$B$35/100))+MIN((Skills!T15*(1+Inputs!$B$35/100)),MAX(0,Inputs!$B$44-((R974-1)*Skills!D15))))/Inputs!$B$44),IF(Inputs!$B$39="pvp",MIN((Skills!T15*(1+Inputs!$B$35/100)),15)/15,(Skills!T15*(1+Inputs!$B$35/100))/Skills!D15)))+((C975=TRUE)*F975*IF(AND(Inputs!$B$39&lt;&gt;"pvp",Inputs!$B$44&gt;0),(((R975-1)*(Skills!T16*(1+Inputs!$B$35/100))+MIN((Skills!T16*(1+Inputs!$B$35/100)),MAX(0,Inputs!$B$44-((R975-1)*Skills!D16))))/Inputs!$B$44),IF(Inputs!$B$39="pvp",MIN((Skills!T16*(1+Inputs!$B$35/100)),15)/15,(Skills!T16*(1+Inputs!$B$35/100))/Skills!D16)))+0)/100)</f>
        <v/>
      </c>
    </row>
    <row r="988">
      <c r="A988" t="inlineStr">
        <is>
          <t>Global Crit Rate Bonus % (Lord of Darkness)</t>
        </is>
      </c>
      <c r="B988">
        <f>((C977=TRUE)*F977*(Skills!J18/100)*IF(AND(Inputs!$B$39&lt;&gt;"pvp",Inputs!$B$44&gt;0),(((R977-1)*(Skills!T18*(1+Inputs!$B$35/100))+MIN((Skills!T18*(1+Inputs!$B$35/100)),MAX(0,Inputs!$B$44-((R977-1)*Skills!D18))))/Inputs!$B$44),IF(Inputs!$B$39="pvp",MIN((Skills!T18*(1+Inputs!$B$35/100)),15)/15,(Skills!T18*(1+Inputs!$B$35/100))/Skills!D18)))</f>
        <v/>
      </c>
    </row>
    <row r="989">
      <c r="A989" t="inlineStr">
        <is>
          <t>Attack Speed Buff Bonus %</t>
        </is>
      </c>
      <c r="B989">
        <f>((C979=TRUE)*F979*IF(AND(Inputs!$B$39&lt;&gt;"pvp",Inputs!$B$44&gt;0),(((R979-1)*(Skills!T20*(1+Inputs!$B$35/100))+MIN((Skills!T20*(1+Inputs!$B$35/100)),MAX(0,Inputs!$B$44-((R979-1)*Skills!D20))))/Inputs!$B$44),IF(Inputs!$B$39="pvp",MIN((Skills!T20*(1+Inputs!$B$35/100)),15)/15,(Skills!T20*(1+Inputs!$B$35/100))/Skills!D20)))</f>
        <v/>
      </c>
    </row>
    <row r="990">
      <c r="A990" t="inlineStr">
        <is>
          <t>Actions Per Second</t>
        </is>
      </c>
      <c r="B990">
        <f>1+MIN(150,150*(1-(1-(Inputs!$B$12+((C980=TRUE)*(F980-Calc!F21)))/150)*(1-B989/150)))/100</f>
        <v/>
      </c>
    </row>
    <row r="991">
      <c r="A991" t="inlineStr">
        <is>
          <t>Skill + Buff Cast Rate</t>
        </is>
      </c>
      <c r="B991">
        <f>IF(AND(Inputs!$B$39&lt;&gt;"pvp",Inputs!$B$44&gt;0),SUMPRODUCT((Skills!E2:E26=TRUE)*(C961:C985=TRUE)*R961:R985*Skills!F2:F26)/Inputs!$B$44,SUMPRODUCT((Skills!E2:E26=TRUE)*(C961:C985=TRUE)*Q961:Q985*Skills!F2:F26))</f>
        <v/>
      </c>
    </row>
    <row r="992">
      <c r="A992" t="inlineStr">
        <is>
          <t>Dark Impale Casts Per Second</t>
        </is>
      </c>
      <c r="B992">
        <f>MAX(0,B990-B991)</f>
        <v/>
      </c>
    </row>
    <row r="993">
      <c r="A993" t="inlineStr">
        <is>
          <t>Global Critical Damage Bonus % (Lord of Darkness)</t>
        </is>
      </c>
      <c r="B993">
        <f>((C978=TRUE)*F978*(Skills!J19/100)*IF(AND(Inputs!$B$39&lt;&gt;"pvp",Inputs!$B$44&gt;0),(((R978-1)*(Skills!T19*(1+Inputs!$B$35/100))+MIN((Skills!T19*(1+Inputs!$B$35/100)),MAX(0,Inputs!$B$44-((R978-1)*Skills!D19))))/Inputs!$B$44),IF(Inputs!$B$39="pvp",MIN((Skills!T19*(1+Inputs!$B$35/100)),15)/15,(Skills!T19*(1+Inputs!$B$35/100))/Skills!D19)))</f>
        <v/>
      </c>
    </row>
    <row r="994">
      <c r="A994" t="inlineStr">
        <is>
          <t>Global Final Damage Bonus % (unused)</t>
        </is>
      </c>
      <c r="B994" t="n">
        <v>0</v>
      </c>
    </row>
    <row r="995">
      <c r="A995" t="inlineStr">
        <is>
          <t>Buff-Casting Startup Delay (s, fixed-duration only)</t>
        </is>
      </c>
      <c r="B995">
        <f>IF(AND(Inputs!$B$39&lt;&gt;"pvp",Inputs!$B$44&gt;0),SUMPRODUCT((Skills!T2:T26&gt;0)*(Skills!E2:E26=TRUE)*(C961:C985=TRUE))/B990,0)</f>
        <v/>
      </c>
    </row>
    <row r="996">
      <c r="A996" t="inlineStr">
        <is>
          <t>Boss-Only Total DPS (this block's swept value)</t>
        </is>
      </c>
      <c r="B996">
        <f>SUM(T961:T985)</f>
        <v/>
      </c>
    </row>
    <row r="997">
      <c r="A997" t="inlineStr">
        <is>
          <t>Normal-Only Total DPS (this block's swept value)</t>
        </is>
      </c>
      <c r="B997">
        <f>SUM(V961:V985)</f>
        <v/>
      </c>
    </row>
    <row r="998">
      <c r="A998" s="5" t="inlineStr">
        <is>
          <t>TOTAL DPS</t>
        </is>
      </c>
      <c r="B998" s="5">
        <f>SUM(O961:O985)</f>
        <v/>
      </c>
    </row>
    <row r="1001">
      <c r="A1001" s="5" t="inlineStr">
        <is>
          <t>Stat: Flat ATTACK</t>
        </is>
      </c>
    </row>
    <row r="1002">
      <c r="A1002" s="9" t="inlineStr">
        <is>
          <t>Key</t>
        </is>
      </c>
      <c r="B1002" s="9" t="inlineStr">
        <is>
          <t>Name</t>
        </is>
      </c>
      <c r="C1002" s="9" t="inlineStr">
        <is>
          <t>Unlocked</t>
        </is>
      </c>
      <c r="D1002" s="9" t="inlineStr">
        <is>
          <t>InputLevel</t>
        </is>
      </c>
      <c r="E1002" s="9" t="inlineStr">
        <is>
          <t>Factor</t>
        </is>
      </c>
      <c r="F1002" s="9" t="inlineStr">
        <is>
          <t>CoefficientPercent</t>
        </is>
      </c>
      <c r="G1002" s="9" t="inlineStr">
        <is>
          <t>EffectiveHits</t>
        </is>
      </c>
      <c r="H1002" s="9" t="inlineStr">
        <is>
          <t>ProcProbability</t>
        </is>
      </c>
      <c r="I1002" s="9" t="inlineStr">
        <is>
          <t>MapleHeroMultiplier</t>
        </is>
      </c>
      <c r="J1002" s="9" t="inlineStr">
        <is>
          <t>BaseDamage</t>
        </is>
      </c>
      <c r="K1002" s="9" t="inlineStr">
        <is>
          <t>BaseHitDamage</t>
        </is>
      </c>
      <c r="L1002" s="9" t="inlineStr">
        <is>
          <t>NonCritAvg</t>
        </is>
      </c>
      <c r="M1002" s="9" t="inlineStr">
        <is>
          <t>CritAvg</t>
        </is>
      </c>
      <c r="N1002" s="9" t="inlineStr">
        <is>
          <t>ExpectedDamage(perHit)</t>
        </is>
      </c>
      <c r="O1002" s="9" t="inlineStr">
        <is>
          <t>DPS</t>
        </is>
      </c>
      <c r="P1002" s="9" t="inlineStr">
        <is>
          <t>% of Total</t>
        </is>
      </c>
      <c r="Q1002" s="9" t="inlineStr">
        <is>
          <t>InvCooldown</t>
        </is>
      </c>
      <c r="R1002" s="9" t="inlineStr">
        <is>
          <t>CastsInFight</t>
        </is>
      </c>
      <c r="S1002" s="9" t="inlineStr">
        <is>
          <t>HitRate(perSec)</t>
        </is>
      </c>
      <c r="U1002" t="inlineStr">
        <is>
          <t>helpers</t>
        </is>
      </c>
    </row>
    <row r="1003">
      <c r="A1003">
        <f>Skills!A2</f>
        <v/>
      </c>
      <c r="B1003">
        <f>Skills!B2</f>
        <v/>
      </c>
      <c r="C1003">
        <f>Inputs!$B$3&gt;=100</f>
        <v/>
      </c>
      <c r="D1003" t="inlineStr"/>
      <c r="E1003" t="inlineStr"/>
      <c r="F1003">
        <f>U1005+Skills!O2</f>
        <v/>
      </c>
      <c r="G1003">
        <f>Skills!G2*IF(Skills!H2&gt;0,Skills!I2/Skills!H2,1)</f>
        <v/>
      </c>
      <c r="H1003">
        <f>1-(1-Skills!J2/100)^Skills!K2</f>
        <v/>
      </c>
      <c r="I1003" t="inlineStr">
        <is>
          <t>1</t>
        </is>
      </c>
      <c r="J1003">
        <f>(((Inputs!$B$6+1)*(1+Inputs!$B$7/100))+(((Inputs!$B$13*(1+Inputs!$B$14/100))-(Inputs!$B$13*(1+Inputs!$B$14/100)))+0.25*(Inputs!$B$15-Inputs!$B$15))*(1+Inputs!$B$7/100))*(F1003/100)</f>
        <v/>
      </c>
      <c r="K1003">
        <f>J1003*(1+(((Inputs!$B$13+IF(Inputs!$B$3&gt;=38,(10*INDEX(FactorTable!$B$2:$Y$301, MATCH(ROUND(MIN(300,MAX(1,Inputs!$B$3)),0), FactorTable!$A$2:$A$301,0), 23)/1000)/100*(Inputs!$B$8*(1+Inputs!$B$9/100)),0))*(1+Inputs!$B$14/100))*0.01+Inputs!$B$15*0.0025)/100)*(1+Inputs!$B$16/100)*(1+Inputs!$B$17/100)*(5000/(6000+Inputs!$B$43*(1-(Inputs!$B$20+0)/100)))*(1+(Inputs!$B$25+((C1026=TRUE)*(F1026-Calc!F25))+((C1027=TRUE)*(F1027-Calc!F26))+B1036)/100)*(1+(IF(Skills!A2="DARK_IMPALE",Inputs!$B$18+0,Inputs!$B$19+((C1024=TRUE)*(F1024-Calc!F23))))/100)*((1+(((C1014=TRUE)*F1014*IF(AND(Inputs!$B$39&lt;&gt;"pvp",Inputs!$B$44&gt;0),(((R1014-1)*(Skills!T13*(1+Inputs!$B$35/100))+MIN((Skills!T13*(1+Inputs!$B$35/100)),MAX(0,Inputs!$B$44-((R1014-1)*Skills!D13))))/Inputs!$B$44),IF(Inputs!$B$39="pvp",MIN((Skills!T13*(1+Inputs!$B$35/100)),15)/15,(Skills!T13*(1+Inputs!$B$35/100))/Skills!D13)))+((C1015=TRUE)*F1015*IF(AND(Inputs!$B$39&lt;&gt;"pvp",Inputs!$B$44&gt;0),(((R1015-1)*(Skills!T14*(1+Inputs!$B$35/100))+MIN((Skills!T14*(1+Inputs!$B$35/100)),MAX(0,Inputs!$B$44-((R1015-1)*Skills!D14))))/Inputs!$B$44),IF(Inputs!$B$39="pvp",MIN((Skills!T14*(1+Inputs!$B$35/100)),15)/15,(Skills!T14*(1+Inputs!$B$35/100))/Skills!D14)))+((C1016=TRUE)*F1016*IF(AND(Inputs!$B$39&lt;&gt;"pvp",Inputs!$B$44&gt;0),(((R1016-1)*(Skills!T15*(1+Inputs!$B$35/100))+MIN((Skills!T15*(1+Inputs!$B$35/100)),MAX(0,Inputs!$B$44-((R1016-1)*Skills!D15))))/Inputs!$B$44),IF(Inputs!$B$39="pvp",MIN((Skills!T15*(1+Inputs!$B$35/100)),15)/15,(Skills!T15*(1+Inputs!$B$35/100))/Skills!D15)))+((C1017=TRUE)*F1017*IF(AND(Inputs!$B$39&lt;&gt;"pvp",Inputs!$B$44&gt;0),(((R1017-1)*(Skills!T16*(1+Inputs!$B$35/100))+MIN((Skills!T16*(1+Inputs!$B$35/100)),MAX(0,Inputs!$B$44-((R1017-1)*Skills!D16))))/Inputs!$B$44),IF(Inputs!$B$39="pvp",MIN((Skills!T16*(1+Inputs!$B$35/100)),15)/15,(Skills!T16*(1+Inputs!$B$35/100))/Skills!D16)))+0)/100)*I1003)</f>
        <v/>
      </c>
      <c r="L1003">
        <f>K1003*(MIN(Inputs!$B$23+((C1023=TRUE)*(F1023-Calc!F22)),Inputs!$B$24+((C1025=TRUE)*(F1025-Calc!F24)))/100+(Inputs!$B$24+((C1025=TRUE)*(F1025-Calc!F24)))/100)/2</f>
        <v/>
      </c>
      <c r="M1003">
        <f>L1003*(1+(Inputs!$B$11+0+B1035)/100)</f>
        <v/>
      </c>
      <c r="N1003">
        <f>L1003*(1-MIN((Inputs!$B$10+0+B1030),100)/100)+M1003*(MIN((Inputs!$B$10+0+B1030),100)/100)</f>
        <v/>
      </c>
      <c r="O1003">
        <f>(1-Summary!$B$55)*T1003+Summary!$B$55*V1003</f>
        <v/>
      </c>
      <c r="P1003">
        <f>IF(B1040=0,0,O1003/B1040)</f>
        <v/>
      </c>
      <c r="Q1003" t="n">
        <v>0</v>
      </c>
      <c r="R1003" t="n">
        <v>0</v>
      </c>
      <c r="S1003">
        <f>IFERROR(O1003/N1003,0)</f>
        <v/>
      </c>
      <c r="T1003">
        <f>IF(C1003,(Skills!G2*N1003*B1034)*IF(Inputs!$B$39="pvp",1,1+(Inputs!$B$21+0+Skills!P2+((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0)</f>
        <v/>
      </c>
      <c r="U1003">
        <f>MAX(0,(Inputs!$B$3-100)*3)+Inputs!$B$29+Inputs!$B$30</f>
        <v/>
      </c>
      <c r="V1003">
        <f>IF(C1003,(Skills!G2*N1003*B1034)*IF(Inputs!$B$39="pvp",1,(1+(Inputs!$B$22+Skills!Q2+((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MIN((6+Inputs!$B$34),Inputs!$B$38))),0)</f>
        <v/>
      </c>
    </row>
    <row r="1004">
      <c r="A1004">
        <f>Skills!A3</f>
        <v/>
      </c>
      <c r="B1004">
        <f>Skills!B3</f>
        <v/>
      </c>
      <c r="C1004">
        <f>Inputs!$B$3&gt;=50</f>
        <v/>
      </c>
      <c r="D1004">
        <f>IF(Skills!C3=1,60+Inputs!$B$26+Inputs!$B$30,IF(Skills!C3=2,90+Inputs!$B$27+Inputs!$B$30,IF(Skills!C3=3,120+Inputs!$B$28+Inputs!$B$30,MAX(0,(Inputs!$B$3-100)*3)+Inputs!$B$29+Inputs!$B$30)))</f>
        <v/>
      </c>
      <c r="E1004">
        <f>INDEX(FactorTable!$B$2:$Y$301, MATCH(ROUND(MIN(300,MAX(1,D1004)),0), FactorTable!$A$2:$A$301,0), Skills!M3+1)</f>
        <v/>
      </c>
      <c r="F1004">
        <f>IF(Skills!N3=TRUE,(Skills!L3/10)*(E1004/1000),Skills!L3/10)+Skills!O3</f>
        <v/>
      </c>
      <c r="G1004" t="inlineStr"/>
      <c r="H1004" t="inlineStr"/>
      <c r="I1004" t="inlineStr">
        <is>
          <t>1</t>
        </is>
      </c>
      <c r="J1004" t="inlineStr"/>
      <c r="K1004" t="inlineStr"/>
      <c r="L1004" t="inlineStr"/>
      <c r="M1004" t="inlineStr"/>
      <c r="N1004" t="inlineStr"/>
      <c r="O1004" t="inlineStr"/>
      <c r="P1004" t="inlineStr"/>
      <c r="Q1004" t="inlineStr"/>
      <c r="R1004" t="inlineStr"/>
      <c r="S1004" t="inlineStr"/>
      <c r="U1004">
        <f>INDEX(FactorTable!$B$2:$Y$301, MATCH(ROUND(MIN(300,MAX(1,U1003)),0), FactorTable!$A$2:$A$301,0), 22)</f>
        <v/>
      </c>
    </row>
    <row r="1005">
      <c r="A1005">
        <f>Skills!A4</f>
        <v/>
      </c>
      <c r="B1005">
        <f>Skills!B4</f>
        <v/>
      </c>
      <c r="C1005">
        <f>Inputs!$B$3&gt;=105</f>
        <v/>
      </c>
      <c r="D1005">
        <f>IF(Skills!C4=1,60+Inputs!$B$26+Inputs!$B$30,IF(Skills!C4=2,90+Inputs!$B$27+Inputs!$B$30,IF(Skills!C4=3,120+Inputs!$B$28+Inputs!$B$30,MAX(0,(Inputs!$B$3-100)*3)+Inputs!$B$29+Inputs!$B$30)))</f>
        <v/>
      </c>
      <c r="E1005">
        <f>INDEX(FactorTable!$B$2:$Y$301, MATCH(ROUND(MIN(300,MAX(1,D1005)),0), FactorTable!$A$2:$A$301,0), Skills!M4+1)</f>
        <v/>
      </c>
      <c r="F1005">
        <f>IF(Skills!N4=TRUE,(Skills!L4/10)*(E1005/1000),Skills!L4/10)+Skills!O4</f>
        <v/>
      </c>
      <c r="G1005" t="inlineStr"/>
      <c r="H1005" t="inlineStr"/>
      <c r="I1005" t="inlineStr">
        <is>
          <t>1</t>
        </is>
      </c>
      <c r="J1005" t="inlineStr"/>
      <c r="K1005" t="inlineStr"/>
      <c r="L1005" t="inlineStr"/>
      <c r="M1005" t="inlineStr"/>
      <c r="N1005" t="inlineStr"/>
      <c r="O1005" t="inlineStr"/>
      <c r="P1005" t="inlineStr"/>
      <c r="Q1005" t="inlineStr"/>
      <c r="R1005" t="inlineStr"/>
      <c r="S1005" t="inlineStr"/>
      <c r="U1005">
        <f>290*U1004/1000</f>
        <v/>
      </c>
    </row>
    <row r="1006">
      <c r="A1006">
        <f>Skills!A5</f>
        <v/>
      </c>
      <c r="B1006">
        <f>Skills!B5</f>
        <v/>
      </c>
      <c r="C1006">
        <f>Inputs!$B$3&gt;=117</f>
        <v/>
      </c>
      <c r="D1006">
        <f>IF(Skills!C5=1,60+Inputs!$B$26+Inputs!$B$30,IF(Skills!C5=2,90+Inputs!$B$27+Inputs!$B$30,IF(Skills!C5=3,120+Inputs!$B$28+Inputs!$B$30,MAX(0,(Inputs!$B$3-100)*3)+Inputs!$B$29+Inputs!$B$30)))</f>
        <v/>
      </c>
      <c r="E1006">
        <f>INDEX(FactorTable!$B$2:$Y$301, MATCH(ROUND(MIN(300,MAX(1,D1006)),0), FactorTable!$A$2:$A$301,0), Skills!M5+1)</f>
        <v/>
      </c>
      <c r="F1006">
        <f>IF(Skills!N5=TRUE,(Skills!L5/10)*(E1006/1000),Skills!L5/10)+Skills!O5</f>
        <v/>
      </c>
      <c r="G1006">
        <f>Skills!G5*IF(Skills!H5&gt;0,Skills!I5/Skills!H5,1)</f>
        <v/>
      </c>
      <c r="H1006">
        <f>1-(1-Skills!J5/100)^Skills!K5</f>
        <v/>
      </c>
      <c r="I1006" t="inlineStr">
        <is>
          <t>1</t>
        </is>
      </c>
      <c r="J1006">
        <f>(((Inputs!$B$6+1)*(1+Inputs!$B$7/100))+(((Inputs!$B$13*(1+Inputs!$B$14/100))-(Inputs!$B$13*(1+Inputs!$B$14/100)))+0.25*(Inputs!$B$15-Inputs!$B$15))*(1+Inputs!$B$7/100))*(F1006/100)</f>
        <v/>
      </c>
      <c r="K1006">
        <f>J1006*(1+(((Inputs!$B$13+IF(Inputs!$B$3&gt;=38,(10*INDEX(FactorTable!$B$2:$Y$301, MATCH(ROUND(MIN(300,MAX(1,Inputs!$B$3)),0), FactorTable!$A$2:$A$301,0), 23)/1000)/100*(Inputs!$B$8*(1+Inputs!$B$9/100)),0))*(1+Inputs!$B$14/100))*0.01+Inputs!$B$15*0.0025)/100)*(1+Inputs!$B$16/100)*(1+Inputs!$B$17/100)*(5000/(6000+Inputs!$B$43*(1-(Inputs!$B$20+0)/100)))*(1+(Inputs!$B$25+((C1026=TRUE)*(F1026-Calc!F25))+((C1027=TRUE)*(F1027-Calc!F26))+B1036)/100)*(1+(IF(Skills!A5="DARK_IMPALE",Inputs!$B$18+0,Inputs!$B$19+((C1024=TRUE)*(F1024-Calc!F23))))/100)*((1+(((C1014=TRUE)*F1014*IF(AND(Inputs!$B$39&lt;&gt;"pvp",Inputs!$B$44&gt;0),(((R1014-1)*(Skills!T13*(1+Inputs!$B$35/100))+MIN((Skills!T13*(1+Inputs!$B$35/100)),MAX(0,Inputs!$B$44-((R1014-1)*Skills!D13))))/Inputs!$B$44),IF(Inputs!$B$39="pvp",MIN((Skills!T13*(1+Inputs!$B$35/100)),15)/15,(Skills!T13*(1+Inputs!$B$35/100))/Skills!D13)))+((C1015=TRUE)*F1015*IF(AND(Inputs!$B$39&lt;&gt;"pvp",Inputs!$B$44&gt;0),(((R1015-1)*(Skills!T14*(1+Inputs!$B$35/100))+MIN((Skills!T14*(1+Inputs!$B$35/100)),MAX(0,Inputs!$B$44-((R1015-1)*Skills!D14))))/Inputs!$B$44),IF(Inputs!$B$39="pvp",MIN((Skills!T14*(1+Inputs!$B$35/100)),15)/15,(Skills!T14*(1+Inputs!$B$35/100))/Skills!D14)))+((C1016=TRUE)*F1016*IF(AND(Inputs!$B$39&lt;&gt;"pvp",Inputs!$B$44&gt;0),(((R1016-1)*(Skills!T15*(1+Inputs!$B$35/100))+MIN((Skills!T15*(1+Inputs!$B$35/100)),MAX(0,Inputs!$B$44-((R1016-1)*Skills!D15))))/Inputs!$B$44),IF(Inputs!$B$39="pvp",MIN((Skills!T15*(1+Inputs!$B$35/100)),15)/15,(Skills!T15*(1+Inputs!$B$35/100))/Skills!D15)))+((C1017=TRUE)*F1017*IF(AND(Inputs!$B$39&lt;&gt;"pvp",Inputs!$B$44&gt;0),(((R1017-1)*(Skills!T16*(1+Inputs!$B$35/100))+MIN((Skills!T16*(1+Inputs!$B$35/100)),MAX(0,Inputs!$B$44-((R1017-1)*Skills!D16))))/Inputs!$B$44),IF(Inputs!$B$39="pvp",MIN((Skills!T16*(1+Inputs!$B$35/100)),15)/15,(Skills!T16*(1+Inputs!$B$35/100))/Skills!D16)))+0)/100)*I1006)</f>
        <v/>
      </c>
      <c r="L1006">
        <f>K1006*(MIN(Inputs!$B$23+((C1023=TRUE)*(F1023-Calc!F22)),Inputs!$B$24+((C1025=TRUE)*(F1025-Calc!F24)))/100+(Inputs!$B$24+((C1025=TRUE)*(F1025-Calc!F24)))/100)/2</f>
        <v/>
      </c>
      <c r="M1006">
        <f>L1006*(1+(Inputs!$B$11+0+B1035)/100)</f>
        <v/>
      </c>
      <c r="N1006">
        <f>L1006*(1-MIN((Inputs!$B$10+0+B1030),100)/100)+M1006*(MIN((Inputs!$B$10+0+B1030),100)/100)</f>
        <v/>
      </c>
      <c r="O1006">
        <f>(1-Summary!$B$55)*T1006+Summary!$B$55*V1006</f>
        <v/>
      </c>
      <c r="P1006">
        <f>IF(B1040=0,0,O1006/B1040)</f>
        <v/>
      </c>
      <c r="Q1006">
        <f>IFERROR(1/IF(Inputs!$B$39="pvp",15,MAX(0.1,Skills!D5-IF(Skills!E5=TRUE,Inputs!$B$33,0))),0)</f>
        <v/>
      </c>
      <c r="R1006">
        <f>IF(AND(Inputs!$B$39&lt;&gt;"pvp",Inputs!$B$44&gt;0),IF(MAX(0,Inputs!$B$44-B1037)&lt;=0,0,(INT(MAX(0,Inputs!$B$44-B1037)/IF(Inputs!$B$39="pvp",15,MAX(0.1,Skills!D5-IF(Skills!E5=TRUE,Inputs!$B$33,0))))+1)),0)</f>
        <v/>
      </c>
      <c r="S1006">
        <f>IFERROR(O1006/N1006,0)</f>
        <v/>
      </c>
      <c r="T1006">
        <f>IF(C1006,(H1006*N1006*IF(AND(Inputs!$B$39&lt;&gt;"pvp",Inputs!$B$44&gt;0),((Skills!G5*((R1006-1)*IF(Skills!H5&gt;0,Skills!I5/Skills!H5,1)+IF(Skills!H5&gt;0,MIN(Skills!I5,MAX(0,MAX(0,Inputs!$B$44-B1037)-((R1006-1)*IF(Inputs!$B$39="pvp",15,MAX(0.1,Skills!D5-IF(Skills!E5=TRUE,Inputs!$B$33,0))))))/Skills!H5,1)))/Inputs!$B$44),G1006*Q1006))*IF(Inputs!$B$39="pvp",1,1+(Inputs!$B$21+0+Skills!P5+((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0)</f>
        <v/>
      </c>
      <c r="V1006">
        <f>IF(C1006,(H1006*N1006*IF(AND(Inputs!$B$39&lt;&gt;"pvp",Inputs!$B$44&gt;0),((Skills!G5*((R1006-1)*IF(Skills!H5&gt;0,Skills!I5/Skills!H5,1)+IF(Skills!H5&gt;0,MIN(Skills!I5,MAX(0,MAX(0,Inputs!$B$44-B1037)-((R1006-1)*IF(Inputs!$B$39="pvp",15,MAX(0.1,Skills!D5-IF(Skills!E5=TRUE,Inputs!$B$33,0))))))/Skills!H5,1)))/Inputs!$B$44),G1006*Q1006))*IF(Inputs!$B$39="pvp",1,(1+(Inputs!$B$22+Skills!Q5+((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MIN(Skills!R5,Inputs!$B$38))),0)</f>
        <v/>
      </c>
    </row>
    <row r="1007">
      <c r="A1007">
        <f>Skills!A6</f>
        <v/>
      </c>
      <c r="B1007">
        <f>Skills!B6</f>
        <v/>
      </c>
      <c r="C1007">
        <f>Inputs!$B$3&gt;=103</f>
        <v/>
      </c>
      <c r="D1007">
        <f>IF(Skills!C6=1,60+Inputs!$B$26+Inputs!$B$30,IF(Skills!C6=2,90+Inputs!$B$27+Inputs!$B$30,IF(Skills!C6=3,120+Inputs!$B$28+Inputs!$B$30,MAX(0,(Inputs!$B$3-100)*3)+Inputs!$B$29+Inputs!$B$30)))</f>
        <v/>
      </c>
      <c r="E1007">
        <f>INDEX(FactorTable!$B$2:$Y$301, MATCH(ROUND(MIN(300,MAX(1,D1007)),0), FactorTable!$A$2:$A$301,0), Skills!M6+1)</f>
        <v/>
      </c>
      <c r="F1007">
        <f>IF(Skills!N6=TRUE,(Skills!L6/10)*(E1007/1000),Skills!L6/10)+Skills!O6</f>
        <v/>
      </c>
      <c r="G1007">
        <f>Skills!G6*IF(Skills!H6&gt;0,Skills!I6/Skills!H6,1)</f>
        <v/>
      </c>
      <c r="H1007">
        <f>1-(1-Skills!J6/100)^Skills!K6</f>
        <v/>
      </c>
      <c r="I1007" t="inlineStr">
        <is>
          <t>1</t>
        </is>
      </c>
      <c r="J1007">
        <f>(((Inputs!$B$6+1)*(1+Inputs!$B$7/100))+(((Inputs!$B$13*(1+Inputs!$B$14/100))-(Inputs!$B$13*(1+Inputs!$B$14/100)))+0.25*(Inputs!$B$15-Inputs!$B$15))*(1+Inputs!$B$7/100))*(F1007/100)</f>
        <v/>
      </c>
      <c r="K1007">
        <f>J1007*(1+(((Inputs!$B$13+IF(Inputs!$B$3&gt;=38,(10*INDEX(FactorTable!$B$2:$Y$301, MATCH(ROUND(MIN(300,MAX(1,Inputs!$B$3)),0), FactorTable!$A$2:$A$301,0), 23)/1000)/100*(Inputs!$B$8*(1+Inputs!$B$9/100)),0))*(1+Inputs!$B$14/100))*0.01+Inputs!$B$15*0.0025)/100)*(1+Inputs!$B$16/100)*(1+Inputs!$B$17/100)*(5000/(6000+Inputs!$B$43*(1-(Inputs!$B$20+0)/100)))*(1+(Inputs!$B$25+((C1026=TRUE)*(F1026-Calc!F25))+((C1027=TRUE)*(F1027-Calc!F26))+B1036)/100)*(1+(IF(Skills!A6="DARK_IMPALE",Inputs!$B$18+0,Inputs!$B$19+((C1024=TRUE)*(F1024-Calc!F23))))/100)*((1+(((C1014=TRUE)*F1014*IF(AND(Inputs!$B$39&lt;&gt;"pvp",Inputs!$B$44&gt;0),(((R1014-1)*(Skills!T13*(1+Inputs!$B$35/100))+MIN((Skills!T13*(1+Inputs!$B$35/100)),MAX(0,Inputs!$B$44-((R1014-1)*Skills!D13))))/Inputs!$B$44),IF(Inputs!$B$39="pvp",MIN((Skills!T13*(1+Inputs!$B$35/100)),15)/15,(Skills!T13*(1+Inputs!$B$35/100))/Skills!D13)))+((C1015=TRUE)*F1015*IF(AND(Inputs!$B$39&lt;&gt;"pvp",Inputs!$B$44&gt;0),(((R1015-1)*(Skills!T14*(1+Inputs!$B$35/100))+MIN((Skills!T14*(1+Inputs!$B$35/100)),MAX(0,Inputs!$B$44-((R1015-1)*Skills!D14))))/Inputs!$B$44),IF(Inputs!$B$39="pvp",MIN((Skills!T14*(1+Inputs!$B$35/100)),15)/15,(Skills!T14*(1+Inputs!$B$35/100))/Skills!D14)))+((C1016=TRUE)*F1016*IF(AND(Inputs!$B$39&lt;&gt;"pvp",Inputs!$B$44&gt;0),(((R1016-1)*(Skills!T15*(1+Inputs!$B$35/100))+MIN((Skills!T15*(1+Inputs!$B$35/100)),MAX(0,Inputs!$B$44-((R1016-1)*Skills!D15))))/Inputs!$B$44),IF(Inputs!$B$39="pvp",MIN((Skills!T15*(1+Inputs!$B$35/100)),15)/15,(Skills!T15*(1+Inputs!$B$35/100))/Skills!D15)))+((C1017=TRUE)*F1017*IF(AND(Inputs!$B$39&lt;&gt;"pvp",Inputs!$B$44&gt;0),(((R1017-1)*(Skills!T16*(1+Inputs!$B$35/100))+MIN((Skills!T16*(1+Inputs!$B$35/100)),MAX(0,Inputs!$B$44-((R1017-1)*Skills!D16))))/Inputs!$B$44),IF(Inputs!$B$39="pvp",MIN((Skills!T16*(1+Inputs!$B$35/100)),15)/15,(Skills!T16*(1+Inputs!$B$35/100))/Skills!D16)))+0)/100)*I1007)</f>
        <v/>
      </c>
      <c r="L1007">
        <f>K1007*(MIN(Inputs!$B$23+((C1023=TRUE)*(F1023-Calc!F22)),Inputs!$B$24+((C1025=TRUE)*(F1025-Calc!F24)))/100+(Inputs!$B$24+((C1025=TRUE)*(F1025-Calc!F24)))/100)/2</f>
        <v/>
      </c>
      <c r="M1007">
        <f>L1007*(1+(Inputs!$B$11+0+B1035)/100)</f>
        <v/>
      </c>
      <c r="N1007">
        <f>L1007*(1-MIN((Inputs!$B$10+0+B1030),100)/100)+M1007*(MIN((Inputs!$B$10+0+B1030),100)/100)</f>
        <v/>
      </c>
      <c r="O1007">
        <f>(1-Summary!$B$55)*T1007+Summary!$B$55*V1007</f>
        <v/>
      </c>
      <c r="P1007">
        <f>IF(B1040=0,0,O1007/B1040)</f>
        <v/>
      </c>
      <c r="Q1007">
        <f>IFERROR(1/IF(Inputs!$B$39="pvp",15,MAX(0.1,Skills!D6-IF(Skills!E6=TRUE,Inputs!$B$33,0))),0)</f>
        <v/>
      </c>
      <c r="R1007">
        <f>IF(AND(Inputs!$B$39&lt;&gt;"pvp",Inputs!$B$44&gt;0),IF(MAX(0,Inputs!$B$44-B1037)&lt;=0,0,(INT(MAX(0,Inputs!$B$44-B1037)/IF(Inputs!$B$39="pvp",15,MAX(0.1,Skills!D6-IF(Skills!E6=TRUE,Inputs!$B$33,0))))+1)),0)</f>
        <v/>
      </c>
      <c r="S1007">
        <f>IFERROR(O1007/N1007,0)</f>
        <v/>
      </c>
      <c r="T1007">
        <f>IF(C1007,(H1007*N1007*IF(AND(Inputs!$B$39&lt;&gt;"pvp",Inputs!$B$44&gt;0),((Skills!G6*((R1007-1)*IF(Skills!H6&gt;0,Skills!I6/Skills!H6,1)+IF(Skills!H6&gt;0,MIN(Skills!I6,MAX(0,MAX(0,Inputs!$B$44-B1037)-((R1007-1)*IF(Inputs!$B$39="pvp",15,MAX(0.1,Skills!D6-IF(Skills!E6=TRUE,Inputs!$B$33,0))))))/Skills!H6,1)))/Inputs!$B$44),G1007*Q1007))*IF(Inputs!$B$39="pvp",1,1+(Inputs!$B$21+0+Skills!P6+((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0)</f>
        <v/>
      </c>
      <c r="V1007">
        <f>IF(C1007,(H1007*N1007*IF(AND(Inputs!$B$39&lt;&gt;"pvp",Inputs!$B$44&gt;0),((Skills!G6*((R1007-1)*IF(Skills!H6&gt;0,Skills!I6/Skills!H6,1)+IF(Skills!H6&gt;0,MIN(Skills!I6,MAX(0,MAX(0,Inputs!$B$44-B1037)-((R1007-1)*IF(Inputs!$B$39="pvp",15,MAX(0.1,Skills!D6-IF(Skills!E6=TRUE,Inputs!$B$33,0))))))/Skills!H6,1)))/Inputs!$B$44),G1007*Q1007))*IF(Inputs!$B$39="pvp",1,(1+(Inputs!$B$22+Skills!Q6+((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MIN(Skills!R6,Inputs!$B$38))),0)</f>
        <v/>
      </c>
    </row>
    <row r="1008">
      <c r="A1008">
        <f>Skills!A7</f>
        <v/>
      </c>
      <c r="B1008">
        <f>Skills!B7</f>
        <v/>
      </c>
      <c r="C1008">
        <f>Inputs!$B$3&gt;=40</f>
        <v/>
      </c>
      <c r="D1008">
        <f>IF(Skills!C7=1,60+Inputs!$B$26+Inputs!$B$30,IF(Skills!C7=2,90+Inputs!$B$27+Inputs!$B$30,IF(Skills!C7=3,120+Inputs!$B$28+Inputs!$B$30,MAX(0,(Inputs!$B$3-100)*3)+Inputs!$B$29+Inputs!$B$30)))</f>
        <v/>
      </c>
      <c r="E1008">
        <f>INDEX(FactorTable!$B$2:$Y$301, MATCH(ROUND(MIN(300,MAX(1,D1008)),0), FactorTable!$A$2:$A$301,0), Skills!M7+1)</f>
        <v/>
      </c>
      <c r="F1008">
        <f>IF(Skills!N7=TRUE,(Skills!L7/10)*(E1008/1000),Skills!L7/10)+Skills!O7</f>
        <v/>
      </c>
      <c r="G1008">
        <f>Skills!G7*IF(Skills!H7&gt;0,Skills!I7/Skills!H7,1)</f>
        <v/>
      </c>
      <c r="H1008">
        <f>1-(1-Skills!J7/100)^Skills!K7</f>
        <v/>
      </c>
      <c r="I1008" t="inlineStr">
        <is>
          <t>1</t>
        </is>
      </c>
      <c r="J1008">
        <f>(((Inputs!$B$6+1)*(1+Inputs!$B$7/100))+(((Inputs!$B$13*(1+Inputs!$B$14/100))-(Inputs!$B$13*(1+Inputs!$B$14/100)))+0.25*(Inputs!$B$15-Inputs!$B$15))*(1+Inputs!$B$7/100))*(F1008/100)</f>
        <v/>
      </c>
      <c r="K1008">
        <f>J1008*(1+(((Inputs!$B$13+IF(Inputs!$B$3&gt;=38,(10*INDEX(FactorTable!$B$2:$Y$301, MATCH(ROUND(MIN(300,MAX(1,Inputs!$B$3)),0), FactorTable!$A$2:$A$301,0), 23)/1000)/100*(Inputs!$B$8*(1+Inputs!$B$9/100)),0))*(1+Inputs!$B$14/100))*0.01+Inputs!$B$15*0.0025)/100)*(1+Inputs!$B$16/100)*(1+Inputs!$B$17/100)*(5000/(6000+Inputs!$B$43*(1-(Inputs!$B$20+0)/100)))*(1+(Inputs!$B$25+((C1026=TRUE)*(F1026-Calc!F25))+((C1027=TRUE)*(F1027-Calc!F26))+B1036)/100)*(1+0.75*IF(C1012=TRUE,F1012,0)/100)*(1+(IF(Skills!A7="DARK_IMPALE",Inputs!$B$18+0,Inputs!$B$19+((C1024=TRUE)*(F1024-Calc!F23))))/100)*((1+(((C1014=TRUE)*F1014*IF(AND(Inputs!$B$39&lt;&gt;"pvp",Inputs!$B$44&gt;0),(((R1014-1)*(Skills!T13*(1+Inputs!$B$35/100))+MIN((Skills!T13*(1+Inputs!$B$35/100)),MAX(0,Inputs!$B$44-((R1014-1)*Skills!D13))))/Inputs!$B$44),IF(Inputs!$B$39="pvp",MIN((Skills!T13*(1+Inputs!$B$35/100)),15)/15,(Skills!T13*(1+Inputs!$B$35/100))/Skills!D13)))+((C1015=TRUE)*F1015*IF(AND(Inputs!$B$39&lt;&gt;"pvp",Inputs!$B$44&gt;0),(((R1015-1)*(Skills!T14*(1+Inputs!$B$35/100))+MIN((Skills!T14*(1+Inputs!$B$35/100)),MAX(0,Inputs!$B$44-((R1015-1)*Skills!D14))))/Inputs!$B$44),IF(Inputs!$B$39="pvp",MIN((Skills!T14*(1+Inputs!$B$35/100)),15)/15,(Skills!T14*(1+Inputs!$B$35/100))/Skills!D14)))+((C1016=TRUE)*F1016*IF(AND(Inputs!$B$39&lt;&gt;"pvp",Inputs!$B$44&gt;0),(((R1016-1)*(Skills!T15*(1+Inputs!$B$35/100))+MIN((Skills!T15*(1+Inputs!$B$35/100)),MAX(0,Inputs!$B$44-((R1016-1)*Skills!D15))))/Inputs!$B$44),IF(Inputs!$B$39="pvp",MIN((Skills!T15*(1+Inputs!$B$35/100)),15)/15,(Skills!T15*(1+Inputs!$B$35/100))/Skills!D15)))+((C1017=TRUE)*F1017*IF(AND(Inputs!$B$39&lt;&gt;"pvp",Inputs!$B$44&gt;0),(((R1017-1)*(Skills!T16*(1+Inputs!$B$35/100))+MIN((Skills!T16*(1+Inputs!$B$35/100)),MAX(0,Inputs!$B$44-((R1017-1)*Skills!D16))))/Inputs!$B$44),IF(Inputs!$B$39="pvp",MIN((Skills!T16*(1+Inputs!$B$35/100)),15)/15,(Skills!T16*(1+Inputs!$B$35/100))/Skills!D16)))+0)/100)*I1008)</f>
        <v/>
      </c>
      <c r="L1008">
        <f>K1008*(MIN(Inputs!$B$23+((C1023=TRUE)*(F1023-Calc!F22)),Inputs!$B$24+((C1025=TRUE)*(F1025-Calc!F24)))/100+(Inputs!$B$24+((C1025=TRUE)*(F1025-Calc!F24)))/100)/2</f>
        <v/>
      </c>
      <c r="M1008">
        <f>L1008*(1+(Inputs!$B$11+0+B1035)/100)</f>
        <v/>
      </c>
      <c r="N1008">
        <f>L1008*(1-MIN((Inputs!$B$10+0+B1030),100)/100)+M1008*(MIN((Inputs!$B$10+0+B1030),100)/100)</f>
        <v/>
      </c>
      <c r="O1008">
        <f>(1-Summary!$B$55)*T1008+Summary!$B$55*V1008</f>
        <v/>
      </c>
      <c r="P1008">
        <f>IF(B1040=0,0,O1008/B1040)</f>
        <v/>
      </c>
      <c r="Q1008">
        <f>IFERROR(1/IF(Inputs!$B$39="pvp",15,MAX(0.1,Skills!D7-IF(Skills!E7=TRUE,Inputs!$B$33,0))),0)</f>
        <v/>
      </c>
      <c r="R1008">
        <f>IF(AND(Inputs!$B$39&lt;&gt;"pvp",Inputs!$B$44&gt;0),IF(MAX(0,Inputs!$B$44-B1037)&lt;=0,0,(INT(MAX(0,Inputs!$B$44-B1037)/IF(Inputs!$B$39="pvp",15,MAX(0.1,Skills!D7-IF(Skills!E7=TRUE,Inputs!$B$33,0))))+1)),0)</f>
        <v/>
      </c>
      <c r="S1008">
        <f>IFERROR(O1008/N1008,0)</f>
        <v/>
      </c>
      <c r="T1008">
        <f>IF(C1008,(H1008*N1008*IF(AND(Inputs!$B$39&lt;&gt;"pvp",Inputs!$B$44&gt;0),((Skills!G7*((R1008-1)*IF(Skills!H7&gt;0,Skills!I7/Skills!H7,1)+IF(Skills!H7&gt;0,MIN(Skills!I7,MAX(0,MAX(0,Inputs!$B$44-B1037)-((R1008-1)*IF(Inputs!$B$39="pvp",15,MAX(0.1,Skills!D7-IF(Skills!E7=TRUE,Inputs!$B$33,0))))))/Skills!H7,1)))/Inputs!$B$44),G1008*Q1008))*IF(Inputs!$B$39="pvp",1,1+(Inputs!$B$21+0+Skills!P7+((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0)</f>
        <v/>
      </c>
      <c r="V1008">
        <f>IF(C1008,(H1008*N1008*IF(AND(Inputs!$B$39&lt;&gt;"pvp",Inputs!$B$44&gt;0),((Skills!G7*((R1008-1)*IF(Skills!H7&gt;0,Skills!I7/Skills!H7,1)+IF(Skills!H7&gt;0,MIN(Skills!I7,MAX(0,MAX(0,Inputs!$B$44-B1037)-((R1008-1)*IF(Inputs!$B$39="pvp",15,MAX(0.1,Skills!D7-IF(Skills!E7=TRUE,Inputs!$B$33,0))))))/Skills!H7,1)))/Inputs!$B$44),G1008*Q1008))*IF(Inputs!$B$39="pvp",1,(1+(Inputs!$B$22+Skills!Q7+((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MIN(Skills!R7,Inputs!$B$38))),0)</f>
        <v/>
      </c>
    </row>
    <row r="1009">
      <c r="A1009">
        <f>Skills!A8</f>
        <v/>
      </c>
      <c r="B1009">
        <f>Skills!B8</f>
        <v/>
      </c>
      <c r="C1009">
        <f>Inputs!$B$3&gt;=75</f>
        <v/>
      </c>
      <c r="D1009">
        <f>IF(Skills!C8=1,60+Inputs!$B$26+Inputs!$B$30,IF(Skills!C8=2,90+Inputs!$B$27+Inputs!$B$30,IF(Skills!C8=3,120+Inputs!$B$28+Inputs!$B$30,MAX(0,(Inputs!$B$3-100)*3)+Inputs!$B$29+Inputs!$B$30)))</f>
        <v/>
      </c>
      <c r="E1009">
        <f>INDEX(FactorTable!$B$2:$Y$301, MATCH(ROUND(MIN(300,MAX(1,D1009)),0), FactorTable!$A$2:$A$301,0), Skills!M8+1)</f>
        <v/>
      </c>
      <c r="F1009">
        <f>IF(Skills!N8=TRUE,(Skills!L8/10)*(E1009/1000),Skills!L8/10)+Skills!O8</f>
        <v/>
      </c>
      <c r="G1009" t="inlineStr"/>
      <c r="H1009" t="inlineStr"/>
      <c r="I1009" t="inlineStr">
        <is>
          <t>1</t>
        </is>
      </c>
      <c r="J1009" t="inlineStr"/>
      <c r="K1009" t="inlineStr"/>
      <c r="L1009" t="inlineStr"/>
      <c r="M1009" t="inlineStr"/>
      <c r="N1009" t="inlineStr"/>
      <c r="O1009" t="inlineStr"/>
      <c r="P1009" t="inlineStr"/>
      <c r="Q1009" t="inlineStr"/>
      <c r="R1009" t="inlineStr"/>
      <c r="S1009" t="inlineStr"/>
    </row>
    <row r="1010">
      <c r="A1010">
        <f>Skills!A9</f>
        <v/>
      </c>
      <c r="B1010">
        <f>Skills!B9</f>
        <v/>
      </c>
      <c r="C1010">
        <f>Inputs!$B$3&gt;=60</f>
        <v/>
      </c>
      <c r="D1010">
        <f>IF(Skills!C9=1,60+Inputs!$B$26+Inputs!$B$30,IF(Skills!C9=2,90+Inputs!$B$27+Inputs!$B$30,IF(Skills!C9=3,120+Inputs!$B$28+Inputs!$B$30,MAX(0,(Inputs!$B$3-100)*3)+Inputs!$B$29+Inputs!$B$30)))</f>
        <v/>
      </c>
      <c r="E1010">
        <f>INDEX(FactorTable!$B$2:$Y$301, MATCH(ROUND(MIN(300,MAX(1,D1010)),0), FactorTable!$A$2:$A$301,0), Skills!M9+1)</f>
        <v/>
      </c>
      <c r="F1010">
        <f>IF(Skills!N9=TRUE,(Skills!L9/10)*(E1010/1000),Skills!L9/10)+Skills!O9</f>
        <v/>
      </c>
      <c r="G1010">
        <f>Skills!G9*IF(Skills!H9&gt;0,Skills!I9/Skills!H9,1)</f>
        <v/>
      </c>
      <c r="H1010">
        <f>1-(1-Skills!J9/100)^Skills!K9</f>
        <v/>
      </c>
      <c r="I1010" t="inlineStr">
        <is>
          <t>1</t>
        </is>
      </c>
      <c r="J1010">
        <f>(((Inputs!$B$6+1)*(1+Inputs!$B$7/100))+(((Inputs!$B$13*(1+Inputs!$B$14/100))-(Inputs!$B$13*(1+Inputs!$B$14/100)))+0.25*(Inputs!$B$15-Inputs!$B$15))*(1+Inputs!$B$7/100))*(F1010/100)</f>
        <v/>
      </c>
      <c r="K1010">
        <f>J1010*(1+(((Inputs!$B$13+IF(Inputs!$B$3&gt;=38,(10*INDEX(FactorTable!$B$2:$Y$301, MATCH(ROUND(MIN(300,MAX(1,Inputs!$B$3)),0), FactorTable!$A$2:$A$301,0), 23)/1000)/100*(Inputs!$B$8*(1+Inputs!$B$9/100)),0))*(1+Inputs!$B$14/100))*0.01+Inputs!$B$15*0.0025)/100)*(1+Inputs!$B$16/100)*(1+Inputs!$B$17/100)*(5000/(6000+Inputs!$B$43*(1-(Inputs!$B$20+0)/100)))*(1+(Inputs!$B$25+((C1026=TRUE)*(F1026-Calc!F25))+((C1027=TRUE)*(F1027-Calc!F26))+B1036)/100)*(1+1.0*IF(C1012=TRUE,F1012,0)/100)*(1+(IF(Skills!A9="DARK_IMPALE",Inputs!$B$18+0,Inputs!$B$19+((C1024=TRUE)*(F1024-Calc!F23))))/100)*((1+(((C1014=TRUE)*F1014*IF(AND(Inputs!$B$39&lt;&gt;"pvp",Inputs!$B$44&gt;0),(((R1014-1)*(Skills!T13*(1+Inputs!$B$35/100))+MIN((Skills!T13*(1+Inputs!$B$35/100)),MAX(0,Inputs!$B$44-((R1014-1)*Skills!D13))))/Inputs!$B$44),IF(Inputs!$B$39="pvp",MIN((Skills!T13*(1+Inputs!$B$35/100)),15)/15,(Skills!T13*(1+Inputs!$B$35/100))/Skills!D13)))+((C1015=TRUE)*F1015*IF(AND(Inputs!$B$39&lt;&gt;"pvp",Inputs!$B$44&gt;0),(((R1015-1)*(Skills!T14*(1+Inputs!$B$35/100))+MIN((Skills!T14*(1+Inputs!$B$35/100)),MAX(0,Inputs!$B$44-((R1015-1)*Skills!D14))))/Inputs!$B$44),IF(Inputs!$B$39="pvp",MIN((Skills!T14*(1+Inputs!$B$35/100)),15)/15,(Skills!T14*(1+Inputs!$B$35/100))/Skills!D14)))+((C1016=TRUE)*F1016*IF(AND(Inputs!$B$39&lt;&gt;"pvp",Inputs!$B$44&gt;0),(((R1016-1)*(Skills!T15*(1+Inputs!$B$35/100))+MIN((Skills!T15*(1+Inputs!$B$35/100)),MAX(0,Inputs!$B$44-((R1016-1)*Skills!D15))))/Inputs!$B$44),IF(Inputs!$B$39="pvp",MIN((Skills!T15*(1+Inputs!$B$35/100)),15)/15,(Skills!T15*(1+Inputs!$B$35/100))/Skills!D15)))+((C1017=TRUE)*F1017*IF(AND(Inputs!$B$39&lt;&gt;"pvp",Inputs!$B$44&gt;0),(((R1017-1)*(Skills!T16*(1+Inputs!$B$35/100))+MIN((Skills!T16*(1+Inputs!$B$35/100)),MAX(0,Inputs!$B$44-((R1017-1)*Skills!D16))))/Inputs!$B$44),IF(Inputs!$B$39="pvp",MIN((Skills!T16*(1+Inputs!$B$35/100)),15)/15,(Skills!T16*(1+Inputs!$B$35/100))/Skills!D16)))+0)/100)*I1010)</f>
        <v/>
      </c>
      <c r="L1010">
        <f>K1010*(MIN(Inputs!$B$23+((C1023=TRUE)*(F1023-Calc!F22)),Inputs!$B$24+((C1025=TRUE)*(F1025-Calc!F24)))/100+(Inputs!$B$24+((C1025=TRUE)*(F1025-Calc!F24)))/100)/2</f>
        <v/>
      </c>
      <c r="M1010">
        <f>L1010*(1+(Inputs!$B$11+0+B1035)/100)</f>
        <v/>
      </c>
      <c r="N1010">
        <f>L1010*(1-MIN((Inputs!$B$10+0+B1030),100)/100)+M1010*(MIN((Inputs!$B$10+0+B1030),100)/100)</f>
        <v/>
      </c>
      <c r="O1010">
        <f>(1-Summary!$B$55)*T1010+Summary!$B$55*V1010</f>
        <v/>
      </c>
      <c r="P1010">
        <f>IF(B1040=0,0,O1010/B1040)</f>
        <v/>
      </c>
      <c r="Q1010">
        <f>IFERROR(1/IF(Inputs!$B$39="pvp",15,MAX(0.1,Skills!D9-IF(Skills!E9=TRUE,Inputs!$B$33,0))),0)</f>
        <v/>
      </c>
      <c r="R1010">
        <f>IF(AND(Inputs!$B$39&lt;&gt;"pvp",Inputs!$B$44&gt;0),IF(MAX(0,Inputs!$B$44-B1037)&lt;=0,0,(INT(MAX(0,Inputs!$B$44-B1037)/IF(Inputs!$B$39="pvp",15,MAX(0.1,Skills!D9-IF(Skills!E9=TRUE,Inputs!$B$33,0))))+1)),0)</f>
        <v/>
      </c>
      <c r="S1010">
        <f>IFERROR(O1010/N1010,0)</f>
        <v/>
      </c>
      <c r="T1010">
        <f>IF(C1010,(H1010*N1010*IF(AND(Inputs!$B$39&lt;&gt;"pvp",Inputs!$B$44&gt;0),((Skills!G9*((R1010-1)*IF(Skills!H9&gt;0,Skills!I9/Skills!H9,1)+IF(Skills!H9&gt;0,MIN(Skills!I9,MAX(0,MAX(0,Inputs!$B$44-B1037)-((R1010-1)*IF(Inputs!$B$39="pvp",15,MAX(0.1,Skills!D9-IF(Skills!E9=TRUE,Inputs!$B$33,0))))))/Skills!H9,1)))/Inputs!$B$44),G1010*Q1010))*IF(Inputs!$B$39="pvp",1,1+(Inputs!$B$21+0+Skills!P9+((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0)</f>
        <v/>
      </c>
      <c r="V1010">
        <f>IF(C1010,(H1010*N1010*IF(AND(Inputs!$B$39&lt;&gt;"pvp",Inputs!$B$44&gt;0),((Skills!G9*((R1010-1)*IF(Skills!H9&gt;0,Skills!I9/Skills!H9,1)+IF(Skills!H9&gt;0,MIN(Skills!I9,MAX(0,MAX(0,Inputs!$B$44-B1037)-((R1010-1)*IF(Inputs!$B$39="pvp",15,MAX(0.1,Skills!D9-IF(Skills!E9=TRUE,Inputs!$B$33,0))))))/Skills!H9,1)))/Inputs!$B$44),G1010*Q1010))*IF(Inputs!$B$39="pvp",1,(1+(Inputs!$B$22+Skills!Q9+((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MIN(Skills!R9,Inputs!$B$38))),0)</f>
        <v/>
      </c>
    </row>
    <row r="1011">
      <c r="A1011">
        <f>Skills!A10</f>
        <v/>
      </c>
      <c r="B1011">
        <f>Skills!B10</f>
        <v/>
      </c>
      <c r="C1011">
        <f>Inputs!$B$3&gt;=110</f>
        <v/>
      </c>
      <c r="D1011">
        <f>IF(Skills!C10=1,60+Inputs!$B$26+Inputs!$B$30,IF(Skills!C10=2,90+Inputs!$B$27+Inputs!$B$30,IF(Skills!C10=3,120+Inputs!$B$28+Inputs!$B$30,MAX(0,(Inputs!$B$3-100)*3)+Inputs!$B$29+Inputs!$B$30)))</f>
        <v/>
      </c>
      <c r="E1011">
        <f>INDEX(FactorTable!$B$2:$Y$301, MATCH(ROUND(MIN(300,MAX(1,D1011)),0), FactorTable!$A$2:$A$301,0), Skills!M10+1)</f>
        <v/>
      </c>
      <c r="F1011">
        <f>IF(Skills!N10=TRUE,(Skills!L10/10)*(E1011/1000),Skills!L10/10)+Skills!O10</f>
        <v/>
      </c>
      <c r="G1011">
        <f>Skills!G10*IF(Skills!H10&gt;0,Skills!I10/Skills!H10,1)</f>
        <v/>
      </c>
      <c r="H1011">
        <f>1-(1-Skills!J10/100)^Skills!K10</f>
        <v/>
      </c>
      <c r="I1011" t="inlineStr">
        <is>
          <t>1</t>
        </is>
      </c>
      <c r="J1011">
        <f>(((Inputs!$B$6+1)*(1+Inputs!$B$7/100))+(((Inputs!$B$13*(1+Inputs!$B$14/100))-(Inputs!$B$13*(1+Inputs!$B$14/100)))+0.25*(Inputs!$B$15-Inputs!$B$15))*(1+Inputs!$B$7/100))*(F1011/100)</f>
        <v/>
      </c>
      <c r="K1011">
        <f>J1011*(1+(((Inputs!$B$13+IF(Inputs!$B$3&gt;=38,(10*INDEX(FactorTable!$B$2:$Y$301, MATCH(ROUND(MIN(300,MAX(1,Inputs!$B$3)),0), FactorTable!$A$2:$A$301,0), 23)/1000)/100*(Inputs!$B$8*(1+Inputs!$B$9/100)),0))*(1+Inputs!$B$14/100))*0.01+Inputs!$B$15*0.0025)/100)*(1+Inputs!$B$16/100)*(1+Inputs!$B$17/100)*(5000/(6000+Inputs!$B$43*(1-(Inputs!$B$20+0)/100)))*(1+(Inputs!$B$25+((C1026=TRUE)*(F1026-Calc!F25))+((C1027=TRUE)*(F1027-Calc!F26))+B1036)/100)*(1+(IF(Skills!A10="DARK_IMPALE",Inputs!$B$18+0,Inputs!$B$19+((C1024=TRUE)*(F1024-Calc!F23))))/100)*((1+(((C1014=TRUE)*F1014*IF(AND(Inputs!$B$39&lt;&gt;"pvp",Inputs!$B$44&gt;0),(((R1014-1)*(Skills!T13*(1+Inputs!$B$35/100))+MIN((Skills!T13*(1+Inputs!$B$35/100)),MAX(0,Inputs!$B$44-((R1014-1)*Skills!D13))))/Inputs!$B$44),IF(Inputs!$B$39="pvp",MIN((Skills!T13*(1+Inputs!$B$35/100)),15)/15,(Skills!T13*(1+Inputs!$B$35/100))/Skills!D13)))+((C1015=TRUE)*F1015*IF(AND(Inputs!$B$39&lt;&gt;"pvp",Inputs!$B$44&gt;0),(((R1015-1)*(Skills!T14*(1+Inputs!$B$35/100))+MIN((Skills!T14*(1+Inputs!$B$35/100)),MAX(0,Inputs!$B$44-((R1015-1)*Skills!D14))))/Inputs!$B$44),IF(Inputs!$B$39="pvp",MIN((Skills!T14*(1+Inputs!$B$35/100)),15)/15,(Skills!T14*(1+Inputs!$B$35/100))/Skills!D14)))+((C1016=TRUE)*F1016*IF(AND(Inputs!$B$39&lt;&gt;"pvp",Inputs!$B$44&gt;0),(((R1016-1)*(Skills!T15*(1+Inputs!$B$35/100))+MIN((Skills!T15*(1+Inputs!$B$35/100)),MAX(0,Inputs!$B$44-((R1016-1)*Skills!D15))))/Inputs!$B$44),IF(Inputs!$B$39="pvp",MIN((Skills!T15*(1+Inputs!$B$35/100)),15)/15,(Skills!T15*(1+Inputs!$B$35/100))/Skills!D15)))+((C1017=TRUE)*F1017*IF(AND(Inputs!$B$39&lt;&gt;"pvp",Inputs!$B$44&gt;0),(((R1017-1)*(Skills!T16*(1+Inputs!$B$35/100))+MIN((Skills!T16*(1+Inputs!$B$35/100)),MAX(0,Inputs!$B$44-((R1017-1)*Skills!D16))))/Inputs!$B$44),IF(Inputs!$B$39="pvp",MIN((Skills!T16*(1+Inputs!$B$35/100)),15)/15,(Skills!T16*(1+Inputs!$B$35/100))/Skills!D16)))+0)/100)*I1011)</f>
        <v/>
      </c>
      <c r="L1011">
        <f>K1011*(MIN(Inputs!$B$23+((C1023=TRUE)*(F1023-Calc!F22)),Inputs!$B$24+((C1025=TRUE)*(F1025-Calc!F24)))/100+(Inputs!$B$24+((C1025=TRUE)*(F1025-Calc!F24)))/100)/2</f>
        <v/>
      </c>
      <c r="M1011">
        <f>L1011*(1+(Inputs!$B$11+0+B1035)/100)</f>
        <v/>
      </c>
      <c r="N1011">
        <f>L1011*(1-MIN((Inputs!$B$10+0+B1030),100)/100)+M1011*(MIN((Inputs!$B$10+0+B1030),100)/100)</f>
        <v/>
      </c>
      <c r="O1011">
        <f>(1-Summary!$B$55)*T1011+Summary!$B$55*V1011</f>
        <v/>
      </c>
      <c r="P1011">
        <f>IF(B1040=0,0,O1011/B1040)</f>
        <v/>
      </c>
      <c r="Q1011">
        <f>IFERROR(1/IF(Inputs!$B$39="pvp",15,MAX(0.1,Skills!D10-IF(Skills!E10=TRUE,Inputs!$B$33,0))),0)</f>
        <v/>
      </c>
      <c r="R1011">
        <f>IF(AND(Inputs!$B$39&lt;&gt;"pvp",Inputs!$B$44&gt;0),IF(MAX(0,Inputs!$B$44-B1037)&lt;=0,0,(INT(MAX(0,Inputs!$B$44-B1037)/IF(Inputs!$B$39="pvp",15,MAX(0.1,Skills!D10-IF(Skills!E10=TRUE,Inputs!$B$33,0))))+1)),0)</f>
        <v/>
      </c>
      <c r="S1011">
        <f>IFERROR(O1011/N1011,0)</f>
        <v/>
      </c>
      <c r="T1011">
        <f>IF(C1011,(H1011*N1011*IF(AND(Inputs!$B$39&lt;&gt;"pvp",Inputs!$B$44&gt;0),((Skills!G10*((R1011-1)*IF(Skills!H10&gt;0,Skills!I10/Skills!H10,1)+IF(Skills!H10&gt;0,MIN(Skills!I10,MAX(0,MAX(0,Inputs!$B$44-B1037)-((R1011-1)*IF(Inputs!$B$39="pvp",15,MAX(0.1,Skills!D10-IF(Skills!E10=TRUE,Inputs!$B$33,0))))))/Skills!H10,1)))/Inputs!$B$44),G1011*Q1011))*IF(Inputs!$B$39="pvp",1,1+(Inputs!$B$21+0+Skills!P10+((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0)</f>
        <v/>
      </c>
      <c r="V1011">
        <f>IF(C1011,(H1011*N1011*IF(AND(Inputs!$B$39&lt;&gt;"pvp",Inputs!$B$44&gt;0),((Skills!G10*((R1011-1)*IF(Skills!H10&gt;0,Skills!I10/Skills!H10,1)+IF(Skills!H10&gt;0,MIN(Skills!I10,MAX(0,MAX(0,Inputs!$B$44-B1037)-((R1011-1)*IF(Inputs!$B$39="pvp",15,MAX(0.1,Skills!D10-IF(Skills!E10=TRUE,Inputs!$B$33,0))))))/Skills!H10,1)))/Inputs!$B$44),G1011*Q1011))*IF(Inputs!$B$39="pvp",1,(1+(Inputs!$B$22+Skills!Q10+((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MIN(Skills!R10,Inputs!$B$38))),0)</f>
        <v/>
      </c>
    </row>
    <row r="1012">
      <c r="A1012">
        <f>Skills!A11</f>
        <v/>
      </c>
      <c r="B1012">
        <f>Skills!B11</f>
        <v/>
      </c>
      <c r="C1012">
        <f>Inputs!$B$3&gt;=100</f>
        <v/>
      </c>
      <c r="D1012">
        <f>IF(Skills!C11=1,60+Inputs!$B$26+Inputs!$B$30,IF(Skills!C11=2,90+Inputs!$B$27+Inputs!$B$30,IF(Skills!C11=3,120+Inputs!$B$28+Inputs!$B$30,MAX(0,(Inputs!$B$3-100)*3)+Inputs!$B$29+Inputs!$B$30)))</f>
        <v/>
      </c>
      <c r="E1012">
        <f>INDEX(FactorTable!$B$2:$Y$301, MATCH(ROUND(MIN(300,MAX(1,D1012)),0), FactorTable!$A$2:$A$301,0), Skills!M11+1)</f>
        <v/>
      </c>
      <c r="F1012">
        <f>IF(Skills!N11=TRUE,(Skills!L11/10)*(E1012/1000),Skills!L11/10)+Skills!O11</f>
        <v/>
      </c>
      <c r="G1012" t="inlineStr"/>
      <c r="H1012" t="inlineStr"/>
      <c r="I1012" t="inlineStr">
        <is>
          <t>1</t>
        </is>
      </c>
      <c r="J1012" t="inlineStr"/>
      <c r="K1012" t="inlineStr"/>
      <c r="L1012" t="inlineStr"/>
      <c r="M1012" t="inlineStr"/>
      <c r="N1012" t="inlineStr"/>
      <c r="O1012" t="inlineStr"/>
      <c r="P1012" t="inlineStr"/>
      <c r="Q1012" t="inlineStr"/>
      <c r="R1012" t="inlineStr"/>
      <c r="S1012" t="inlineStr"/>
    </row>
    <row r="1013">
      <c r="A1013">
        <f>Skills!A12</f>
        <v/>
      </c>
      <c r="B1013">
        <f>Skills!B12</f>
        <v/>
      </c>
      <c r="C1013">
        <f>Inputs!$B$3&gt;=63</f>
        <v/>
      </c>
      <c r="D1013">
        <f>IF(Skills!C12=1,60+Inputs!$B$26+Inputs!$B$30,IF(Skills!C12=2,90+Inputs!$B$27+Inputs!$B$30,IF(Skills!C12=3,120+Inputs!$B$28+Inputs!$B$30,MAX(0,(Inputs!$B$3-100)*3)+Inputs!$B$29+Inputs!$B$30)))</f>
        <v/>
      </c>
      <c r="E1013">
        <f>INDEX(FactorTable!$B$2:$Y$301, MATCH(ROUND(MIN(300,MAX(1,D1013)),0), FactorTable!$A$2:$A$301,0), Skills!M12+1)</f>
        <v/>
      </c>
      <c r="F1013">
        <f>IF(Skills!N12=TRUE,(Skills!L12/10)*(E1013/1000),Skills!L12/10)+Skills!O12</f>
        <v/>
      </c>
      <c r="G1013">
        <f>Skills!G12*IF(Skills!H12&gt;0,Skills!I12/Skills!H12,1)</f>
        <v/>
      </c>
      <c r="H1013">
        <f>1-(1-Skills!J12/100)^Skills!K12</f>
        <v/>
      </c>
      <c r="I1013" t="inlineStr">
        <is>
          <t>1</t>
        </is>
      </c>
      <c r="J1013">
        <f>(((Inputs!$B$6+1)*(1+Inputs!$B$7/100))+(((Inputs!$B$13*(1+Inputs!$B$14/100))-(Inputs!$B$13*(1+Inputs!$B$14/100)))+0.25*(Inputs!$B$15-Inputs!$B$15))*(1+Inputs!$B$7/100))*(F1013/100)</f>
        <v/>
      </c>
      <c r="K1013">
        <f>J1013*(1+(((Inputs!$B$13+IF(Inputs!$B$3&gt;=38,(10*INDEX(FactorTable!$B$2:$Y$301, MATCH(ROUND(MIN(300,MAX(1,Inputs!$B$3)),0), FactorTable!$A$2:$A$301,0), 23)/1000)/100*(Inputs!$B$8*(1+Inputs!$B$9/100)),0))*(1+Inputs!$B$14/100))*0.01+Inputs!$B$15*0.0025)/100)*(1+Inputs!$B$16/100)*(1+Inputs!$B$17/100)*(5000/(6000+Inputs!$B$43*(1-(Inputs!$B$20+0)/100)))*(1+(Inputs!$B$25+((C1026=TRUE)*(F1026-Calc!F25))+((C1027=TRUE)*(F1027-Calc!F26))+B1036)/100)*(1+0.75*IF(C1012=TRUE,F1012,0)/100)*(1+(IF(Skills!A12="DARK_IMPALE",Inputs!$B$18+0,Inputs!$B$19+((C1024=TRUE)*(F1024-Calc!F23))))/100)*((1+(((C1014=TRUE)*F1014*IF(AND(Inputs!$B$39&lt;&gt;"pvp",Inputs!$B$44&gt;0),(((R1014-1)*(Skills!T13*(1+Inputs!$B$35/100))+MIN((Skills!T13*(1+Inputs!$B$35/100)),MAX(0,Inputs!$B$44-((R1014-1)*Skills!D13))))/Inputs!$B$44),IF(Inputs!$B$39="pvp",MIN((Skills!T13*(1+Inputs!$B$35/100)),15)/15,(Skills!T13*(1+Inputs!$B$35/100))/Skills!D13)))+((C1015=TRUE)*F1015*IF(AND(Inputs!$B$39&lt;&gt;"pvp",Inputs!$B$44&gt;0),(((R1015-1)*(Skills!T14*(1+Inputs!$B$35/100))+MIN((Skills!T14*(1+Inputs!$B$35/100)),MAX(0,Inputs!$B$44-((R1015-1)*Skills!D14))))/Inputs!$B$44),IF(Inputs!$B$39="pvp",MIN((Skills!T14*(1+Inputs!$B$35/100)),15)/15,(Skills!T14*(1+Inputs!$B$35/100))/Skills!D14)))+((C1016=TRUE)*F1016*IF(AND(Inputs!$B$39&lt;&gt;"pvp",Inputs!$B$44&gt;0),(((R1016-1)*(Skills!T15*(1+Inputs!$B$35/100))+MIN((Skills!T15*(1+Inputs!$B$35/100)),MAX(0,Inputs!$B$44-((R1016-1)*Skills!D15))))/Inputs!$B$44),IF(Inputs!$B$39="pvp",MIN((Skills!T15*(1+Inputs!$B$35/100)),15)/15,(Skills!T15*(1+Inputs!$B$35/100))/Skills!D15)))+((C1017=TRUE)*F1017*IF(AND(Inputs!$B$39&lt;&gt;"pvp",Inputs!$B$44&gt;0),(((R1017-1)*(Skills!T16*(1+Inputs!$B$35/100))+MIN((Skills!T16*(1+Inputs!$B$35/100)),MAX(0,Inputs!$B$44-((R1017-1)*Skills!D16))))/Inputs!$B$44),IF(Inputs!$B$39="pvp",MIN((Skills!T16*(1+Inputs!$B$35/100)),15)/15,(Skills!T16*(1+Inputs!$B$35/100))/Skills!D16)))+0)/100)*I1013)</f>
        <v/>
      </c>
      <c r="L1013">
        <f>K1013*(MIN(Inputs!$B$23+((C1023=TRUE)*(F1023-Calc!F22)),Inputs!$B$24+((C1025=TRUE)*(F1025-Calc!F24)))/100+(Inputs!$B$24+((C1025=TRUE)*(F1025-Calc!F24)))/100)/2</f>
        <v/>
      </c>
      <c r="M1013">
        <f>L1013*(1+(Inputs!$B$11+0+B1035)/100)</f>
        <v/>
      </c>
      <c r="N1013">
        <f>L1013*(1-MIN((Inputs!$B$10+0+B1030),100)/100)+M1013*(MIN((Inputs!$B$10+0+B1030),100)/100)</f>
        <v/>
      </c>
      <c r="O1013">
        <f>(1-Summary!$B$55)*T1013+Summary!$B$55*V1013</f>
        <v/>
      </c>
      <c r="P1013">
        <f>IF(B1040=0,0,O1013/B1040)</f>
        <v/>
      </c>
      <c r="Q1013">
        <f>IFERROR(1/IF(Inputs!$B$39="pvp",15,MAX(0.1,Skills!D12-IF(Skills!E12=TRUE,Inputs!$B$33,0))),0)</f>
        <v/>
      </c>
      <c r="R1013">
        <f>IF(AND(Inputs!$B$39&lt;&gt;"pvp",Inputs!$B$44&gt;0),IF(MAX(0,Inputs!$B$44-B1037)&lt;=0,0,(INT(MAX(0,Inputs!$B$44-B1037)/IF(Inputs!$B$39="pvp",15,MAX(0.1,Skills!D12-IF(Skills!E12=TRUE,Inputs!$B$33,0))))+1)),0)</f>
        <v/>
      </c>
      <c r="S1013">
        <f>IFERROR(O1013/N1013,0)</f>
        <v/>
      </c>
      <c r="T1013">
        <f>IF(C1013,(H1013*N1013*IF(AND(Inputs!$B$39&lt;&gt;"pvp",Inputs!$B$44&gt;0),((Skills!G12*((R1013-1)*IF(Skills!H12&gt;0,Skills!I12/Skills!H12,1)+IF(Skills!H12&gt;0,MIN(Skills!I12,MAX(0,MAX(0,Inputs!$B$44-B1037)-((R1013-1)*IF(Inputs!$B$39="pvp",15,MAX(0.1,Skills!D12-IF(Skills!E12=TRUE,Inputs!$B$33,0))))))/Skills!H12,1)))/Inputs!$B$44),G1013*Q1013))*IF(Inputs!$B$39="pvp",1,1+(Inputs!$B$21+0+Skills!P12+((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0)</f>
        <v/>
      </c>
      <c r="V1013">
        <f>IF(C1013,(H1013*N1013*IF(AND(Inputs!$B$39&lt;&gt;"pvp",Inputs!$B$44&gt;0),((Skills!G12*((R1013-1)*IF(Skills!H12&gt;0,Skills!I12/Skills!H12,1)+IF(Skills!H12&gt;0,MIN(Skills!I12,MAX(0,MAX(0,Inputs!$B$44-B1037)-((R1013-1)*IF(Inputs!$B$39="pvp",15,MAX(0.1,Skills!D12-IF(Skills!E12=TRUE,Inputs!$B$33,0))))))/Skills!H12,1)))/Inputs!$B$44),G1013*Q1013))*IF(Inputs!$B$39="pvp",1,(1+(Inputs!$B$22+Skills!Q12+((C1018=TRUE)*F1018*IF(AND(Inputs!$B$39&lt;&gt;"pvp",Inputs!$B$44&gt;0),(((R1018-1)*(Skills!T17*(1+Inputs!$B$35/100))+MIN((Skills!T17*(1+Inputs!$B$35/100)),MAX(0,Inputs!$B$44-((R1018-1)*Skills!D17))))/Inputs!$B$44),IF(Inputs!$B$39="pvp",MIN((Skills!T17*(1+Inputs!$B$35/100)),15)/15,(Skills!T17*(1+Inputs!$B$35/100))/Skills!D17)))+((C1015=TRUE)*IF(Inputs!$B$39="pvp",20,(1-Summary!$B$55)*(20)+Summary!$B$55*(0))*IF(AND(Inputs!$B$39&lt;&gt;"pvp",Inputs!$B$44&gt;0),(((R1015-1)*(Skills!T14*(1+Inputs!$B$35/100))+MIN((Skills!T14*(1+Inputs!$B$35/100)),MAX(0,Inputs!$B$44-((R1015-1)*Skills!D14))))/Inputs!$B$44),IF(Inputs!$B$39="pvp",MIN((Skills!T14*(1+Inputs!$B$35/100)),15)/15,(Skills!T14*(1+Inputs!$B$35/100))/Skills!D14))))/100)*(MIN(Skills!R12,Inputs!$B$38))),0)</f>
        <v/>
      </c>
    </row>
    <row r="1014">
      <c r="A1014">
        <f>Skills!A13</f>
        <v/>
      </c>
      <c r="B1014">
        <f>Skills!B13</f>
        <v/>
      </c>
      <c r="C1014">
        <f>Inputs!$B$3&gt;=69</f>
        <v/>
      </c>
      <c r="D1014">
        <f>IF(Skills!C13=1,60+Inputs!$B$26+Inputs!$B$30,IF(Skills!C13=2,90+Inputs!$B$27+Inputs!$B$30,IF(Skills!C13=3,120+Inputs!$B$28+Inputs!$B$30,MAX(0,(Inputs!$B$3-100)*3)+Inputs!$B$29+Inputs!$B$30)))</f>
        <v/>
      </c>
      <c r="E1014">
        <f>INDEX(FactorTable!$B$2:$Y$301, MATCH(ROUND(MIN(300,MAX(1,D1014)),0), FactorTable!$A$2:$A$301,0), Skills!M13+1)</f>
        <v/>
      </c>
      <c r="F1014">
        <f>IF(Skills!N13=TRUE,(Skills!L13/10)*(E1014/1000),Skills!L13/10)+Skills!O13</f>
        <v/>
      </c>
      <c r="G1014">
        <f>Skills!G13*IF(Skills!H13&gt;0,Skills!I13/Skills!H13,1)</f>
        <v/>
      </c>
      <c r="H1014">
        <f>1-(1-Skills!J13/100)^Skills!K13</f>
        <v/>
      </c>
      <c r="I1014" t="inlineStr">
        <is>
          <t>1</t>
        </is>
      </c>
      <c r="J1014" t="inlineStr"/>
      <c r="K1014" t="inlineStr"/>
      <c r="L1014" t="inlineStr"/>
      <c r="M1014" t="inlineStr"/>
      <c r="N1014" t="inlineStr"/>
      <c r="O1014">
        <f>(1-Summary!$B$55)*T1014+Summary!$B$55*V1014</f>
        <v/>
      </c>
      <c r="P1014">
        <f>IF(B1040=0,0,O1014/B1040)</f>
        <v/>
      </c>
      <c r="Q1014">
        <f>IFERROR(1/IF(Inputs!$B$39="pvp",15,MAX(0.1,Skills!D13-IF(Skills!E13=TRUE,Inputs!$B$33,0))),0)</f>
        <v/>
      </c>
      <c r="R1014">
        <f>IF(AND(Inputs!$B$39&lt;&gt;"pvp",Inputs!$B$44&gt;0),IF(Inputs!$B$44&lt;=0,0,(INT(Inputs!$B$44/IF(Inputs!$B$39="pvp",15,MAX(0.1,Skills!D13-IF(Skills!E13=TRUE,Inputs!$B$33,0))))+1)),0)</f>
        <v/>
      </c>
      <c r="S1014">
        <f>IFERROR(O1014/N1014,0)</f>
        <v/>
      </c>
      <c r="T1014" t="n">
        <v>0</v>
      </c>
      <c r="V1014" t="n">
        <v>0</v>
      </c>
    </row>
    <row r="1015">
      <c r="A1015">
        <f>Skills!A14</f>
        <v/>
      </c>
      <c r="B1015">
        <f>Skills!B14</f>
        <v/>
      </c>
      <c r="C1015">
        <f>Inputs!$B$3&gt;=115</f>
        <v/>
      </c>
      <c r="D1015">
        <f>IF(Skills!C14=1,60+Inputs!$B$26+Inputs!$B$30,IF(Skills!C14=2,90+Inputs!$B$27+Inputs!$B$30,IF(Skills!C14=3,120+Inputs!$B$28+Inputs!$B$30,MAX(0,(Inputs!$B$3-100)*3)+Inputs!$B$29+Inputs!$B$30)))</f>
        <v/>
      </c>
      <c r="E1015">
        <f>INDEX(FactorTable!$B$2:$Y$301, MATCH(ROUND(MIN(300,MAX(1,D1015)),0), FactorTable!$A$2:$A$301,0), Skills!M14+1)</f>
        <v/>
      </c>
      <c r="F1015">
        <f>IF(Skills!N14=TRUE,(Skills!L14/10)*(E1015/1000),Skills!L14/10)+Skills!O14</f>
        <v/>
      </c>
      <c r="G1015">
        <f>Skills!G14*IF(Skills!H14&gt;0,Skills!I14/Skills!H14,1)</f>
        <v/>
      </c>
      <c r="H1015">
        <f>1-(1-Skills!J14/100)^Skills!K14</f>
        <v/>
      </c>
      <c r="I1015" t="inlineStr">
        <is>
          <t>1</t>
        </is>
      </c>
      <c r="J1015" t="inlineStr"/>
      <c r="K1015" t="inlineStr"/>
      <c r="L1015" t="inlineStr"/>
      <c r="M1015" t="inlineStr"/>
      <c r="N1015" t="inlineStr"/>
      <c r="O1015">
        <f>(1-Summary!$B$55)*T1015+Summary!$B$55*V1015</f>
        <v/>
      </c>
      <c r="P1015">
        <f>IF(B1040=0,0,O1015/B1040)</f>
        <v/>
      </c>
      <c r="Q1015">
        <f>IFERROR(1/IF(Inputs!$B$39="pvp",15,MAX(0.1,Skills!D14-IF(Skills!E14=TRUE,Inputs!$B$33,0))),0)</f>
        <v/>
      </c>
      <c r="R1015">
        <f>IF(AND(Inputs!$B$39&lt;&gt;"pvp",Inputs!$B$44&gt;0),IF(Inputs!$B$44&lt;=0,0,(INT(Inputs!$B$44/IF(Inputs!$B$39="pvp",15,MAX(0.1,Skills!D14-IF(Skills!E14=TRUE,Inputs!$B$33,0))))+1)),0)</f>
        <v/>
      </c>
      <c r="S1015">
        <f>IFERROR(O1015/N1015,0)</f>
        <v/>
      </c>
      <c r="T1015" t="n">
        <v>0</v>
      </c>
      <c r="V1015" t="n">
        <v>0</v>
      </c>
    </row>
    <row r="1016">
      <c r="A1016">
        <f>Skills!A15</f>
        <v/>
      </c>
      <c r="B1016">
        <f>Skills!B15</f>
        <v/>
      </c>
      <c r="C1016">
        <f>Inputs!$B$3&gt;=66</f>
        <v/>
      </c>
      <c r="D1016">
        <f>IF(Skills!C15=1,60+Inputs!$B$26+Inputs!$B$30,IF(Skills!C15=2,90+Inputs!$B$27+Inputs!$B$30,IF(Skills!C15=3,120+Inputs!$B$28+Inputs!$B$30,MAX(0,(Inputs!$B$3-100)*3)+Inputs!$B$29+Inputs!$B$30)))</f>
        <v/>
      </c>
      <c r="E1016">
        <f>INDEX(FactorTable!$B$2:$Y$301, MATCH(ROUND(MIN(300,MAX(1,D1016)),0), FactorTable!$A$2:$A$301,0), Skills!M15+1)</f>
        <v/>
      </c>
      <c r="F1016">
        <f>IF(Skills!N15=TRUE,(Skills!L15/10)*(E1016/1000),Skills!L15/10)+Skills!O15</f>
        <v/>
      </c>
      <c r="G1016">
        <f>Skills!G15*IF(Skills!H15&gt;0,Skills!I15/Skills!H15,1)</f>
        <v/>
      </c>
      <c r="H1016">
        <f>1-(1-Skills!J15/100)^Skills!K15</f>
        <v/>
      </c>
      <c r="I1016" t="inlineStr">
        <is>
          <t>1</t>
        </is>
      </c>
      <c r="J1016" t="inlineStr"/>
      <c r="K1016" t="inlineStr"/>
      <c r="L1016" t="inlineStr"/>
      <c r="M1016" t="inlineStr"/>
      <c r="N1016" t="inlineStr"/>
      <c r="O1016">
        <f>(1-Summary!$B$55)*T1016+Summary!$B$55*V1016</f>
        <v/>
      </c>
      <c r="P1016">
        <f>IF(B1040=0,0,O1016/B1040)</f>
        <v/>
      </c>
      <c r="Q1016">
        <f>IFERROR(1/IF(Inputs!$B$39="pvp",15,MAX(0.1,Skills!D15-IF(Skills!E15=TRUE,Inputs!$B$33,0))),0)</f>
        <v/>
      </c>
      <c r="R1016">
        <f>IF(AND(Inputs!$B$39&lt;&gt;"pvp",Inputs!$B$44&gt;0),IF(Inputs!$B$44&lt;=0,0,(INT(Inputs!$B$44/IF(Inputs!$B$39="pvp",15,MAX(0.1,Skills!D15-IF(Skills!E15=TRUE,Inputs!$B$33,0))))+1)),0)</f>
        <v/>
      </c>
      <c r="S1016">
        <f>IFERROR(O1016/N1016,0)</f>
        <v/>
      </c>
      <c r="T1016" t="n">
        <v>0</v>
      </c>
      <c r="V1016" t="n">
        <v>0</v>
      </c>
    </row>
    <row r="1017">
      <c r="A1017">
        <f>Skills!A16</f>
        <v/>
      </c>
      <c r="B1017">
        <f>Skills!B16</f>
        <v/>
      </c>
      <c r="C1017">
        <f>Inputs!$B$3&gt;=45</f>
        <v/>
      </c>
      <c r="D1017">
        <f>IF(Skills!C16=1,60+Inputs!$B$26+Inputs!$B$30,IF(Skills!C16=2,90+Inputs!$B$27+Inputs!$B$30,IF(Skills!C16=3,120+Inputs!$B$28+Inputs!$B$30,MAX(0,(Inputs!$B$3-100)*3)+Inputs!$B$29+Inputs!$B$30)))</f>
        <v/>
      </c>
      <c r="E1017">
        <f>INDEX(FactorTable!$B$2:$Y$301, MATCH(ROUND(MIN(300,MAX(1,D1017)),0), FactorTable!$A$2:$A$301,0), Skills!M16+1)</f>
        <v/>
      </c>
      <c r="F1017">
        <f>IF(Skills!N16=TRUE,(Skills!L16/10)*(E1017/1000),Skills!L16/10)+Skills!O16</f>
        <v/>
      </c>
      <c r="G1017">
        <f>Skills!G16*IF(Skills!H16&gt;0,Skills!I16/Skills!H16,1)</f>
        <v/>
      </c>
      <c r="H1017">
        <f>1-(1-Skills!J16/100)^Skills!K16</f>
        <v/>
      </c>
      <c r="I1017" t="inlineStr">
        <is>
          <t>1</t>
        </is>
      </c>
      <c r="J1017" t="inlineStr"/>
      <c r="K1017" t="inlineStr"/>
      <c r="L1017" t="inlineStr"/>
      <c r="M1017" t="inlineStr"/>
      <c r="N1017" t="inlineStr"/>
      <c r="O1017">
        <f>(1-Summary!$B$55)*T1017+Summary!$B$55*V1017</f>
        <v/>
      </c>
      <c r="P1017">
        <f>IF(B1040=0,0,O1017/B1040)</f>
        <v/>
      </c>
      <c r="Q1017">
        <f>IFERROR(1/IF(Inputs!$B$39="pvp",15,MAX(0.1,Skills!D16-IF(Skills!E16=TRUE,Inputs!$B$33,0))),0)</f>
        <v/>
      </c>
      <c r="R1017">
        <f>IF(AND(Inputs!$B$39&lt;&gt;"pvp",Inputs!$B$44&gt;0),IF(Inputs!$B$44&lt;=0,0,(INT(Inputs!$B$44/IF(Inputs!$B$39="pvp",15,MAX(0.1,Skills!D16-IF(Skills!E16=TRUE,Inputs!$B$33,0))))+1)),0)</f>
        <v/>
      </c>
      <c r="S1017">
        <f>IFERROR(O1017/N1017,0)</f>
        <v/>
      </c>
      <c r="T1017" t="n">
        <v>0</v>
      </c>
      <c r="V1017" t="n">
        <v>0</v>
      </c>
    </row>
    <row r="1018">
      <c r="A1018">
        <f>Skills!A17</f>
        <v/>
      </c>
      <c r="B1018">
        <f>Skills!B17</f>
        <v/>
      </c>
      <c r="C1018">
        <f>Inputs!$B$3&gt;=35</f>
        <v/>
      </c>
      <c r="D1018">
        <f>IF(Skills!C17=1,60+Inputs!$B$26+Inputs!$B$30,IF(Skills!C17=2,90+Inputs!$B$27+Inputs!$B$30,IF(Skills!C17=3,120+Inputs!$B$28+Inputs!$B$30,MAX(0,(Inputs!$B$3-100)*3)+Inputs!$B$29+Inputs!$B$30)))</f>
        <v/>
      </c>
      <c r="E1018">
        <f>INDEX(FactorTable!$B$2:$Y$301, MATCH(ROUND(MIN(300,MAX(1,D1018)),0), FactorTable!$A$2:$A$301,0), Skills!M17+1)</f>
        <v/>
      </c>
      <c r="F1018">
        <f>IF(Skills!N17=TRUE,(Skills!L17/10)*(E1018/1000),Skills!L17/10)+Skills!O17</f>
        <v/>
      </c>
      <c r="G1018">
        <f>Skills!G17*IF(Skills!H17&gt;0,Skills!I17/Skills!H17,1)</f>
        <v/>
      </c>
      <c r="H1018">
        <f>1-(1-Skills!J17/100)^Skills!K17</f>
        <v/>
      </c>
      <c r="I1018" t="inlineStr">
        <is>
          <t>1</t>
        </is>
      </c>
      <c r="J1018" t="inlineStr"/>
      <c r="K1018" t="inlineStr"/>
      <c r="L1018" t="inlineStr"/>
      <c r="M1018" t="inlineStr"/>
      <c r="N1018" t="inlineStr"/>
      <c r="O1018">
        <f>(1-Summary!$B$55)*T1018+Summary!$B$55*V1018</f>
        <v/>
      </c>
      <c r="P1018">
        <f>IF(B1040=0,0,O1018/B1040)</f>
        <v/>
      </c>
      <c r="Q1018">
        <f>IFERROR(1/IF(Inputs!$B$39="pvp",15,MAX(0.1,Skills!D17-IF(Skills!E17=TRUE,Inputs!$B$33,0))),0)</f>
        <v/>
      </c>
      <c r="R1018">
        <f>IF(AND(Inputs!$B$39&lt;&gt;"pvp",Inputs!$B$44&gt;0),IF(Inputs!$B$44&lt;=0,0,(INT(Inputs!$B$44/IF(Inputs!$B$39="pvp",15,MAX(0.1,Skills!D17-IF(Skills!E17=TRUE,Inputs!$B$33,0))))+1)),0)</f>
        <v/>
      </c>
      <c r="S1018">
        <f>IFERROR(O1018/N1018,0)</f>
        <v/>
      </c>
      <c r="T1018" t="n">
        <v>0</v>
      </c>
      <c r="V1018" t="n">
        <v>0</v>
      </c>
    </row>
    <row r="1019">
      <c r="A1019">
        <f>Skills!A18</f>
        <v/>
      </c>
      <c r="B1019">
        <f>Skills!B18</f>
        <v/>
      </c>
      <c r="C1019">
        <f>Inputs!$B$3&gt;=72</f>
        <v/>
      </c>
      <c r="D1019">
        <f>IF(Skills!C18=1,60+Inputs!$B$26+Inputs!$B$30,IF(Skills!C18=2,90+Inputs!$B$27+Inputs!$B$30,IF(Skills!C18=3,120+Inputs!$B$28+Inputs!$B$30,MAX(0,(Inputs!$B$3-100)*3)+Inputs!$B$29+Inputs!$B$30)))</f>
        <v/>
      </c>
      <c r="E1019">
        <f>INDEX(FactorTable!$B$2:$Y$301, MATCH(ROUND(MIN(300,MAX(1,D1019)),0), FactorTable!$A$2:$A$301,0), Skills!M18+1)</f>
        <v/>
      </c>
      <c r="F1019">
        <f>IF(Skills!N18=TRUE,(Skills!L18/10)*(E1019/1000),Skills!L18/10)+Skills!O18</f>
        <v/>
      </c>
      <c r="G1019">
        <f>Skills!G18*IF(Skills!H18&gt;0,Skills!I18/Skills!H18,1)</f>
        <v/>
      </c>
      <c r="H1019">
        <f>1-(1-Skills!J18/100)^Skills!K18</f>
        <v/>
      </c>
      <c r="I1019" t="inlineStr">
        <is>
          <t>1</t>
        </is>
      </c>
      <c r="J1019" t="inlineStr"/>
      <c r="K1019" t="inlineStr"/>
      <c r="L1019" t="inlineStr"/>
      <c r="M1019" t="inlineStr"/>
      <c r="N1019" t="inlineStr"/>
      <c r="O1019">
        <f>(1-Summary!$B$55)*T1019+Summary!$B$55*V1019</f>
        <v/>
      </c>
      <c r="P1019">
        <f>IF(B1040=0,0,O1019/B1040)</f>
        <v/>
      </c>
      <c r="Q1019">
        <f>IFERROR(1/IF(Inputs!$B$39="pvp",15,MAX(0.1,Skills!D18-IF(Skills!E18=TRUE,Inputs!$B$33,0))),0)</f>
        <v/>
      </c>
      <c r="R1019">
        <f>IF(AND(Inputs!$B$39&lt;&gt;"pvp",Inputs!$B$44&gt;0),IF(Inputs!$B$44&lt;=0,0,(INT(Inputs!$B$44/IF(Inputs!$B$39="pvp",15,MAX(0.1,Skills!D18-IF(Skills!E18=TRUE,Inputs!$B$33,0))))+1)),0)</f>
        <v/>
      </c>
      <c r="S1019">
        <f>IFERROR(O1019/N1019,0)</f>
        <v/>
      </c>
      <c r="T1019" t="n">
        <v>0</v>
      </c>
      <c r="V1019" t="n">
        <v>0</v>
      </c>
    </row>
    <row r="1020">
      <c r="A1020">
        <f>Skills!A19</f>
        <v/>
      </c>
      <c r="B1020">
        <f>Skills!B19</f>
        <v/>
      </c>
      <c r="C1020">
        <f>Inputs!$B$3&gt;=72</f>
        <v/>
      </c>
      <c r="D1020">
        <f>IF(Skills!C19=1,60+Inputs!$B$26+Inputs!$B$30,IF(Skills!C19=2,90+Inputs!$B$27+Inputs!$B$30,IF(Skills!C19=3,120+Inputs!$B$28+Inputs!$B$30,MAX(0,(Inputs!$B$3-100)*3)+Inputs!$B$29+Inputs!$B$30)))</f>
        <v/>
      </c>
      <c r="E1020">
        <f>INDEX(FactorTable!$B$2:$Y$301, MATCH(ROUND(MIN(300,MAX(1,D1020)),0), FactorTable!$A$2:$A$301,0), Skills!M19+1)</f>
        <v/>
      </c>
      <c r="F1020">
        <f>IF(Skills!N19=TRUE,(Skills!L19/10)*(E1020/1000),Skills!L19/10)+Skills!O19</f>
        <v/>
      </c>
      <c r="G1020">
        <f>Skills!G19*IF(Skills!H19&gt;0,Skills!I19/Skills!H19,1)</f>
        <v/>
      </c>
      <c r="H1020">
        <f>1-(1-Skills!J19/100)^Skills!K19</f>
        <v/>
      </c>
      <c r="I1020" t="inlineStr">
        <is>
          <t>1</t>
        </is>
      </c>
      <c r="J1020" t="inlineStr"/>
      <c r="K1020" t="inlineStr"/>
      <c r="L1020" t="inlineStr"/>
      <c r="M1020" t="inlineStr"/>
      <c r="N1020" t="inlineStr"/>
      <c r="O1020">
        <f>(1-Summary!$B$55)*T1020+Summary!$B$55*V1020</f>
        <v/>
      </c>
      <c r="P1020">
        <f>IF(B1040=0,0,O1020/B1040)</f>
        <v/>
      </c>
      <c r="Q1020">
        <f>IFERROR(1/IF(Inputs!$B$39="pvp",15,MAX(0.1,Skills!D19-IF(Skills!E19=TRUE,Inputs!$B$33,0))),0)</f>
        <v/>
      </c>
      <c r="R1020">
        <f>IF(AND(Inputs!$B$39&lt;&gt;"pvp",Inputs!$B$44&gt;0),IF(Inputs!$B$44&lt;=0,0,(INT(Inputs!$B$44/IF(Inputs!$B$39="pvp",15,MAX(0.1,Skills!D19-IF(Skills!E19=TRUE,Inputs!$B$33,0))))+1)),0)</f>
        <v/>
      </c>
      <c r="S1020">
        <f>IFERROR(O1020/N1020,0)</f>
        <v/>
      </c>
      <c r="T1020" t="n">
        <v>0</v>
      </c>
      <c r="V1020" t="n">
        <v>0</v>
      </c>
    </row>
    <row r="1021">
      <c r="A1021">
        <f>Skills!A20</f>
        <v/>
      </c>
      <c r="B1021">
        <f>Skills!B20</f>
        <v/>
      </c>
      <c r="C1021">
        <f>TRUE</f>
        <v/>
      </c>
      <c r="D1021">
        <f>IF(Skills!C20=1,60+Inputs!$B$26+Inputs!$B$30,IF(Skills!C20=2,90+Inputs!$B$27+Inputs!$B$30,IF(Skills!C20=3,120+Inputs!$B$28+Inputs!$B$30,MAX(0,(Inputs!$B$3-100)*3)+Inputs!$B$29+Inputs!$B$30)))</f>
        <v/>
      </c>
      <c r="E1021">
        <f>INDEX(FactorTable!$B$2:$Y$301, MATCH(ROUND(MIN(300,MAX(1,D1021)),0), FactorTable!$A$2:$A$301,0), Skills!M20+1)</f>
        <v/>
      </c>
      <c r="F1021">
        <f>IF(Skills!N20=TRUE,(Skills!L20/10)*(E1021/1000),Skills!L20/10)+Skills!O20</f>
        <v/>
      </c>
      <c r="G1021">
        <f>Skills!G20*IF(Skills!H20&gt;0,Skills!I20/Skills!H20,1)</f>
        <v/>
      </c>
      <c r="H1021">
        <f>1-(1-Skills!J20/100)^Skills!K20</f>
        <v/>
      </c>
      <c r="I1021" t="inlineStr">
        <is>
          <t>1</t>
        </is>
      </c>
      <c r="J1021" t="inlineStr"/>
      <c r="K1021" t="inlineStr"/>
      <c r="L1021" t="inlineStr"/>
      <c r="M1021" t="inlineStr"/>
      <c r="N1021" t="inlineStr"/>
      <c r="O1021">
        <f>(1-Summary!$B$55)*T1021+Summary!$B$55*V1021</f>
        <v/>
      </c>
      <c r="P1021">
        <f>IF(B1040=0,0,O1021/B1040)</f>
        <v/>
      </c>
      <c r="Q1021">
        <f>IFERROR(1/IF(Inputs!$B$39="pvp",15,MAX(0.1,Skills!D20-IF(Skills!E20=TRUE,Inputs!$B$33,0))),0)</f>
        <v/>
      </c>
      <c r="R1021">
        <f>IF(AND(Inputs!$B$39&lt;&gt;"pvp",Inputs!$B$44&gt;0),IF(Inputs!$B$44&lt;=0,0,(INT(Inputs!$B$44/IF(Inputs!$B$39="pvp",15,MAX(0.1,Skills!D20-IF(Skills!E20=TRUE,Inputs!$B$33,0))))+1)),0)</f>
        <v/>
      </c>
      <c r="S1021">
        <f>IFERROR(O1021/N1021,0)</f>
        <v/>
      </c>
      <c r="T1021" t="n">
        <v>0</v>
      </c>
      <c r="V1021" t="n">
        <v>0</v>
      </c>
    </row>
    <row r="1022">
      <c r="A1022">
        <f>Skills!A21</f>
        <v/>
      </c>
      <c r="B1022">
        <f>Skills!B21</f>
        <v/>
      </c>
      <c r="C1022">
        <f>Inputs!$B$3&gt;=33</f>
        <v/>
      </c>
      <c r="D1022">
        <f>IF(Skills!C21=1,60+Inputs!$B$26+Inputs!$B$30,IF(Skills!C21=2,90+Inputs!$B$27+Inputs!$B$30,IF(Skills!C21=3,120+Inputs!$B$28+Inputs!$B$30,MAX(0,(Inputs!$B$3-100)*3)+Inputs!$B$29+Inputs!$B$30)))</f>
        <v/>
      </c>
      <c r="E1022">
        <f>INDEX(FactorTable!$B$2:$Y$301, MATCH(ROUND(MIN(300,MAX(1,D1022)),0), FactorTable!$A$2:$A$301,0), Skills!M21+1)</f>
        <v/>
      </c>
      <c r="F1022">
        <f>IF(Skills!N21=TRUE,(Skills!L21/10)*(E1022/1000),Skills!L21/10)+Skills!O21</f>
        <v/>
      </c>
      <c r="G1022">
        <f>Skills!G21*IF(Skills!H21&gt;0,Skills!I21/Skills!H21,1)</f>
        <v/>
      </c>
      <c r="H1022">
        <f>1-(1-Skills!J21/100)^Skills!K21</f>
        <v/>
      </c>
      <c r="I1022" t="inlineStr">
        <is>
          <t>1</t>
        </is>
      </c>
      <c r="J1022" t="inlineStr"/>
      <c r="K1022" t="inlineStr"/>
      <c r="L1022" t="inlineStr"/>
      <c r="M1022" t="inlineStr"/>
      <c r="N1022" t="inlineStr"/>
      <c r="O1022">
        <f>(1-Summary!$B$55)*T1022+Summary!$B$55*V1022</f>
        <v/>
      </c>
      <c r="P1022">
        <f>IF(B1040=0,0,O1022/B1040)</f>
        <v/>
      </c>
      <c r="Q1022" t="n">
        <v>0</v>
      </c>
      <c r="R1022" t="n">
        <v>0</v>
      </c>
      <c r="S1022">
        <f>IFERROR(O1022/N1022,0)</f>
        <v/>
      </c>
      <c r="T1022" t="n">
        <v>0</v>
      </c>
      <c r="V1022" t="n">
        <v>0</v>
      </c>
    </row>
    <row r="1023">
      <c r="A1023">
        <f>Skills!A22</f>
        <v/>
      </c>
      <c r="B1023">
        <f>Skills!B22</f>
        <v/>
      </c>
      <c r="C1023">
        <f>Inputs!$B$3&gt;=43</f>
        <v/>
      </c>
      <c r="D1023">
        <f>IF(Skills!C22=1,60+Inputs!$B$26+Inputs!$B$30,IF(Skills!C22=2,90+Inputs!$B$27+Inputs!$B$30,IF(Skills!C22=3,120+Inputs!$B$28+Inputs!$B$30,MAX(0,(Inputs!$B$3-100)*3)+Inputs!$B$29+Inputs!$B$30)))</f>
        <v/>
      </c>
      <c r="E1023">
        <f>INDEX(FactorTable!$B$2:$Y$301, MATCH(ROUND(MIN(300,MAX(1,D1023)),0), FactorTable!$A$2:$A$301,0), Skills!M22+1)</f>
        <v/>
      </c>
      <c r="F1023">
        <f>IF(Skills!N22=TRUE,(Skills!L22/10)*(E1023/1000),Skills!L22/10)+Skills!O22</f>
        <v/>
      </c>
      <c r="G1023">
        <f>Skills!G22*IF(Skills!H22&gt;0,Skills!I22/Skills!H22,1)</f>
        <v/>
      </c>
      <c r="H1023">
        <f>1-(1-Skills!J22/100)^Skills!K22</f>
        <v/>
      </c>
      <c r="I1023" t="inlineStr">
        <is>
          <t>1</t>
        </is>
      </c>
      <c r="J1023" t="inlineStr"/>
      <c r="K1023" t="inlineStr"/>
      <c r="L1023" t="inlineStr"/>
      <c r="M1023" t="inlineStr"/>
      <c r="N1023" t="inlineStr"/>
      <c r="O1023">
        <f>(1-Summary!$B$55)*T1023+Summary!$B$55*V1023</f>
        <v/>
      </c>
      <c r="P1023">
        <f>IF(B1040=0,0,O1023/B1040)</f>
        <v/>
      </c>
      <c r="Q1023" t="n">
        <v>0</v>
      </c>
      <c r="R1023" t="n">
        <v>0</v>
      </c>
      <c r="S1023">
        <f>IFERROR(O1023/N1023,0)</f>
        <v/>
      </c>
      <c r="T1023" t="n">
        <v>0</v>
      </c>
      <c r="V1023" t="n">
        <v>0</v>
      </c>
    </row>
    <row r="1024">
      <c r="A1024">
        <f>Skills!A23</f>
        <v/>
      </c>
      <c r="B1024">
        <f>Skills!B23</f>
        <v/>
      </c>
      <c r="C1024">
        <f>Inputs!$B$3&gt;=120</f>
        <v/>
      </c>
      <c r="D1024">
        <f>IF(Skills!C23=1,60+Inputs!$B$26+Inputs!$B$30,IF(Skills!C23=2,90+Inputs!$B$27+Inputs!$B$30,IF(Skills!C23=3,120+Inputs!$B$28+Inputs!$B$30,MAX(0,(Inputs!$B$3-100)*3)+Inputs!$B$29+Inputs!$B$30)))</f>
        <v/>
      </c>
      <c r="E1024">
        <f>INDEX(FactorTable!$B$2:$Y$301, MATCH(ROUND(MIN(300,MAX(1,D1024)),0), FactorTable!$A$2:$A$301,0), Skills!M23+1)</f>
        <v/>
      </c>
      <c r="F1024">
        <f>IF(Skills!N23=TRUE,(Skills!L23/10)*(E1024/1000),Skills!L23/10)+Skills!O23</f>
        <v/>
      </c>
      <c r="G1024">
        <f>Skills!G23*IF(Skills!H23&gt;0,Skills!I23/Skills!H23,1)</f>
        <v/>
      </c>
      <c r="H1024">
        <f>1-(1-Skills!J23/100)^Skills!K23</f>
        <v/>
      </c>
      <c r="I1024" t="inlineStr">
        <is>
          <t>1</t>
        </is>
      </c>
      <c r="J1024" t="inlineStr"/>
      <c r="K1024" t="inlineStr"/>
      <c r="L1024" t="inlineStr"/>
      <c r="M1024" t="inlineStr"/>
      <c r="N1024" t="inlineStr"/>
      <c r="O1024">
        <f>(1-Summary!$B$55)*T1024+Summary!$B$55*V1024</f>
        <v/>
      </c>
      <c r="P1024">
        <f>IF(B1040=0,0,O1024/B1040)</f>
        <v/>
      </c>
      <c r="Q1024" t="n">
        <v>0</v>
      </c>
      <c r="R1024" t="n">
        <v>0</v>
      </c>
      <c r="S1024">
        <f>IFERROR(O1024/N1024,0)</f>
        <v/>
      </c>
      <c r="T1024" t="n">
        <v>0</v>
      </c>
      <c r="V1024" t="n">
        <v>0</v>
      </c>
    </row>
    <row r="1025">
      <c r="A1025">
        <f>Skills!A24</f>
        <v/>
      </c>
      <c r="B1025">
        <f>Skills!B24</f>
        <v/>
      </c>
      <c r="C1025">
        <f>Inputs!$B$3&gt;=120</f>
        <v/>
      </c>
      <c r="D1025">
        <f>IF(Skills!C24=1,60+Inputs!$B$26+Inputs!$B$30,IF(Skills!C24=2,90+Inputs!$B$27+Inputs!$B$30,IF(Skills!C24=3,120+Inputs!$B$28+Inputs!$B$30,MAX(0,(Inputs!$B$3-100)*3)+Inputs!$B$29+Inputs!$B$30)))</f>
        <v/>
      </c>
      <c r="E1025">
        <f>INDEX(FactorTable!$B$2:$Y$301, MATCH(ROUND(MIN(300,MAX(1,D1025)),0), FactorTable!$A$2:$A$301,0), Skills!M24+1)</f>
        <v/>
      </c>
      <c r="F1025">
        <f>IF(Skills!N24=TRUE,(Skills!L24/10)*(E1025/1000),Skills!L24/10)+Skills!O24</f>
        <v/>
      </c>
      <c r="G1025">
        <f>Skills!G24*IF(Skills!H24&gt;0,Skills!I24/Skills!H24,1)</f>
        <v/>
      </c>
      <c r="H1025">
        <f>1-(1-Skills!J24/100)^Skills!K24</f>
        <v/>
      </c>
      <c r="I1025" t="inlineStr">
        <is>
          <t>1</t>
        </is>
      </c>
      <c r="J1025" t="inlineStr"/>
      <c r="K1025" t="inlineStr"/>
      <c r="L1025" t="inlineStr"/>
      <c r="M1025" t="inlineStr"/>
      <c r="N1025" t="inlineStr"/>
      <c r="O1025">
        <f>(1-Summary!$B$55)*T1025+Summary!$B$55*V1025</f>
        <v/>
      </c>
      <c r="P1025">
        <f>IF(B1040=0,0,O1025/B1040)</f>
        <v/>
      </c>
      <c r="Q1025" t="n">
        <v>0</v>
      </c>
      <c r="R1025" t="n">
        <v>0</v>
      </c>
      <c r="S1025">
        <f>IFERROR(O1025/N1025,0)</f>
        <v/>
      </c>
      <c r="T1025" t="n">
        <v>0</v>
      </c>
      <c r="V1025" t="n">
        <v>0</v>
      </c>
    </row>
    <row r="1026">
      <c r="A1026">
        <f>Skills!A25</f>
        <v/>
      </c>
      <c r="B1026">
        <f>Skills!B25</f>
        <v/>
      </c>
      <c r="C1026">
        <f>Inputs!$B$3&gt;=125</f>
        <v/>
      </c>
      <c r="D1026">
        <f>IF(Skills!C25=1,60+Inputs!$B$26+Inputs!$B$30,IF(Skills!C25=2,90+Inputs!$B$27+Inputs!$B$30,IF(Skills!C25=3,120+Inputs!$B$28+Inputs!$B$30,MAX(0,(Inputs!$B$3-100)*3)+Inputs!$B$29+Inputs!$B$30)))</f>
        <v/>
      </c>
      <c r="E1026">
        <f>INDEX(FactorTable!$B$2:$Y$301, MATCH(ROUND(MIN(300,MAX(1,D1026)),0), FactorTable!$A$2:$A$301,0), Skills!M25+1)</f>
        <v/>
      </c>
      <c r="F1026">
        <f>IF(Skills!N25=TRUE,(Skills!L25/10)*(E1026/1000),Skills!L25/10)+Skills!O25</f>
        <v/>
      </c>
      <c r="G1026">
        <f>Skills!G25*IF(Skills!H25&gt;0,Skills!I25/Skills!H25,1)</f>
        <v/>
      </c>
      <c r="H1026">
        <f>1-(1-Skills!J25/100)^Skills!K25</f>
        <v/>
      </c>
      <c r="I1026" t="inlineStr">
        <is>
          <t>1</t>
        </is>
      </c>
      <c r="J1026" t="inlineStr"/>
      <c r="K1026" t="inlineStr"/>
      <c r="L1026" t="inlineStr"/>
      <c r="M1026" t="inlineStr"/>
      <c r="N1026" t="inlineStr"/>
      <c r="O1026">
        <f>(1-Summary!$B$55)*T1026+Summary!$B$55*V1026</f>
        <v/>
      </c>
      <c r="P1026">
        <f>IF(B1040=0,0,O1026/B1040)</f>
        <v/>
      </c>
      <c r="Q1026" t="n">
        <v>0</v>
      </c>
      <c r="R1026" t="n">
        <v>0</v>
      </c>
      <c r="S1026">
        <f>IFERROR(O1026/N1026,0)</f>
        <v/>
      </c>
      <c r="T1026" t="n">
        <v>0</v>
      </c>
      <c r="V1026" t="n">
        <v>0</v>
      </c>
    </row>
    <row r="1027">
      <c r="A1027">
        <f>Skills!A26</f>
        <v/>
      </c>
      <c r="B1027">
        <f>Skills!B26</f>
        <v/>
      </c>
      <c r="C1027">
        <f>Inputs!$B$3&gt;=107</f>
        <v/>
      </c>
      <c r="D1027">
        <f>IF(Skills!C26=1,60+Inputs!$B$26+Inputs!$B$30,IF(Skills!C26=2,90+Inputs!$B$27+Inputs!$B$30,IF(Skills!C26=3,120+Inputs!$B$28+Inputs!$B$30,MAX(0,(Inputs!$B$3-100)*3)+Inputs!$B$29+Inputs!$B$30)))</f>
        <v/>
      </c>
      <c r="E1027">
        <f>INDEX(FactorTable!$B$2:$Y$301, MATCH(ROUND(MIN(300,MAX(1,D1027)),0), FactorTable!$A$2:$A$301,0), Skills!M26+1)</f>
        <v/>
      </c>
      <c r="F1027">
        <f>IF(Skills!N26=TRUE,(Skills!L26/10)*(E1027/1000),Skills!L26/10)+Skills!O26</f>
        <v/>
      </c>
      <c r="G1027">
        <f>Skills!G26*IF(Skills!H26&gt;0,Skills!I26/Skills!H26,1)</f>
        <v/>
      </c>
      <c r="H1027">
        <f>1-(1-Skills!J26/100)^Skills!K26</f>
        <v/>
      </c>
      <c r="I1027" t="inlineStr">
        <is>
          <t>1</t>
        </is>
      </c>
      <c r="J1027" t="inlineStr"/>
      <c r="K1027" t="inlineStr"/>
      <c r="L1027" t="inlineStr"/>
      <c r="M1027" t="inlineStr"/>
      <c r="N1027" t="inlineStr"/>
      <c r="O1027">
        <f>(1-Summary!$B$55)*T1027+Summary!$B$55*V1027</f>
        <v/>
      </c>
      <c r="P1027">
        <f>IF(B1040=0,0,O1027/B1040)</f>
        <v/>
      </c>
      <c r="Q1027" t="n">
        <v>0</v>
      </c>
      <c r="R1027" t="n">
        <v>0</v>
      </c>
      <c r="S1027">
        <f>IFERROR(O1027/N1027,0)</f>
        <v/>
      </c>
      <c r="T1027" t="n">
        <v>0</v>
      </c>
      <c r="V1027" t="n">
        <v>0</v>
      </c>
    </row>
    <row r="1029">
      <c r="A1029" t="inlineStr">
        <is>
          <t>Attack% Bucket Multiplier</t>
        </is>
      </c>
      <c r="B1029">
        <f>(1+(((C1014=TRUE)*F1014*IF(AND(Inputs!$B$39&lt;&gt;"pvp",Inputs!$B$44&gt;0),(((R1014-1)*(Skills!T13*(1+Inputs!$B$35/100))+MIN((Skills!T13*(1+Inputs!$B$35/100)),MAX(0,Inputs!$B$44-((R1014-1)*Skills!D13))))/Inputs!$B$44),IF(Inputs!$B$39="pvp",MIN((Skills!T13*(1+Inputs!$B$35/100)),15)/15,(Skills!T13*(1+Inputs!$B$35/100))/Skills!D13)))+((C1015=TRUE)*F1015*IF(AND(Inputs!$B$39&lt;&gt;"pvp",Inputs!$B$44&gt;0),(((R1015-1)*(Skills!T14*(1+Inputs!$B$35/100))+MIN((Skills!T14*(1+Inputs!$B$35/100)),MAX(0,Inputs!$B$44-((R1015-1)*Skills!D14))))/Inputs!$B$44),IF(Inputs!$B$39="pvp",MIN((Skills!T14*(1+Inputs!$B$35/100)),15)/15,(Skills!T14*(1+Inputs!$B$35/100))/Skills!D14)))+((C1016=TRUE)*F1016*IF(AND(Inputs!$B$39&lt;&gt;"pvp",Inputs!$B$44&gt;0),(((R1016-1)*(Skills!T15*(1+Inputs!$B$35/100))+MIN((Skills!T15*(1+Inputs!$B$35/100)),MAX(0,Inputs!$B$44-((R1016-1)*Skills!D15))))/Inputs!$B$44),IF(Inputs!$B$39="pvp",MIN((Skills!T15*(1+Inputs!$B$35/100)),15)/15,(Skills!T15*(1+Inputs!$B$35/100))/Skills!D15)))+((C1017=TRUE)*F1017*IF(AND(Inputs!$B$39&lt;&gt;"pvp",Inputs!$B$44&gt;0),(((R1017-1)*(Skills!T16*(1+Inputs!$B$35/100))+MIN((Skills!T16*(1+Inputs!$B$35/100)),MAX(0,Inputs!$B$44-((R1017-1)*Skills!D16))))/Inputs!$B$44),IF(Inputs!$B$39="pvp",MIN((Skills!T16*(1+Inputs!$B$35/100)),15)/15,(Skills!T16*(1+Inputs!$B$35/100))/Skills!D16)))+0)/100)</f>
        <v/>
      </c>
    </row>
    <row r="1030">
      <c r="A1030" t="inlineStr">
        <is>
          <t>Global Crit Rate Bonus % (Lord of Darkness)</t>
        </is>
      </c>
      <c r="B1030">
        <f>((C1019=TRUE)*F1019*(Skills!J18/100)*IF(AND(Inputs!$B$39&lt;&gt;"pvp",Inputs!$B$44&gt;0),(((R1019-1)*(Skills!T18*(1+Inputs!$B$35/100))+MIN((Skills!T18*(1+Inputs!$B$35/100)),MAX(0,Inputs!$B$44-((R1019-1)*Skills!D18))))/Inputs!$B$44),IF(Inputs!$B$39="pvp",MIN((Skills!T18*(1+Inputs!$B$35/100)),15)/15,(Skills!T18*(1+Inputs!$B$35/100))/Skills!D18)))</f>
        <v/>
      </c>
    </row>
    <row r="1031">
      <c r="A1031" t="inlineStr">
        <is>
          <t>Attack Speed Buff Bonus %</t>
        </is>
      </c>
      <c r="B1031">
        <f>((C1021=TRUE)*F1021*IF(AND(Inputs!$B$39&lt;&gt;"pvp",Inputs!$B$44&gt;0),(((R1021-1)*(Skills!T20*(1+Inputs!$B$35/100))+MIN((Skills!T20*(1+Inputs!$B$35/100)),MAX(0,Inputs!$B$44-((R1021-1)*Skills!D20))))/Inputs!$B$44),IF(Inputs!$B$39="pvp",MIN((Skills!T20*(1+Inputs!$B$35/100)),15)/15,(Skills!T20*(1+Inputs!$B$35/100))/Skills!D20)))</f>
        <v/>
      </c>
    </row>
    <row r="1032">
      <c r="A1032" t="inlineStr">
        <is>
          <t>Actions Per Second</t>
        </is>
      </c>
      <c r="B1032">
        <f>1+MIN(150,150*(1-(1-(Inputs!$B$12+((C1022=TRUE)*(F1022-Calc!F21)))/150)*(1-B1031/150)))/100</f>
        <v/>
      </c>
    </row>
    <row r="1033">
      <c r="A1033" t="inlineStr">
        <is>
          <t>Skill + Buff Cast Rate</t>
        </is>
      </c>
      <c r="B1033">
        <f>IF(AND(Inputs!$B$39&lt;&gt;"pvp",Inputs!$B$44&gt;0),SUMPRODUCT((Skills!E2:E26=TRUE)*(C1003:C1027=TRUE)*R1003:R1027*Skills!F2:F26)/Inputs!$B$44,SUMPRODUCT((Skills!E2:E26=TRUE)*(C1003:C1027=TRUE)*Q1003:Q1027*Skills!F2:F26))</f>
        <v/>
      </c>
    </row>
    <row r="1034">
      <c r="A1034" t="inlineStr">
        <is>
          <t>Dark Impale Casts Per Second</t>
        </is>
      </c>
      <c r="B1034">
        <f>MAX(0,B1032-B1033)</f>
        <v/>
      </c>
    </row>
    <row r="1035">
      <c r="A1035" t="inlineStr">
        <is>
          <t>Global Critical Damage Bonus % (Lord of Darkness)</t>
        </is>
      </c>
      <c r="B1035">
        <f>((C1020=TRUE)*F1020*(Skills!J19/100)*IF(AND(Inputs!$B$39&lt;&gt;"pvp",Inputs!$B$44&gt;0),(((R1020-1)*(Skills!T19*(1+Inputs!$B$35/100))+MIN((Skills!T19*(1+Inputs!$B$35/100)),MAX(0,Inputs!$B$44-((R1020-1)*Skills!D19))))/Inputs!$B$44),IF(Inputs!$B$39="pvp",MIN((Skills!T19*(1+Inputs!$B$35/100)),15)/15,(Skills!T19*(1+Inputs!$B$35/100))/Skills!D19)))</f>
        <v/>
      </c>
    </row>
    <row r="1036">
      <c r="A1036" t="inlineStr">
        <is>
          <t>Global Final Damage Bonus % (unused)</t>
        </is>
      </c>
      <c r="B1036" t="n">
        <v>0</v>
      </c>
    </row>
    <row r="1037">
      <c r="A1037" t="inlineStr">
        <is>
          <t>Buff-Casting Startup Delay (s, fixed-duration only)</t>
        </is>
      </c>
      <c r="B1037">
        <f>IF(AND(Inputs!$B$39&lt;&gt;"pvp",Inputs!$B$44&gt;0),SUMPRODUCT((Skills!T2:T26&gt;0)*(Skills!E2:E26=TRUE)*(C1003:C1027=TRUE))/B1032,0)</f>
        <v/>
      </c>
    </row>
    <row r="1038">
      <c r="A1038" t="inlineStr">
        <is>
          <t>Boss-Only Total DPS (this block's swept value)</t>
        </is>
      </c>
      <c r="B1038">
        <f>SUM(T1003:T1027)</f>
        <v/>
      </c>
    </row>
    <row r="1039">
      <c r="A1039" t="inlineStr">
        <is>
          <t>Normal-Only Total DPS (this block's swept value)</t>
        </is>
      </c>
      <c r="B1039">
        <f>SUM(V1003:V1027)</f>
        <v/>
      </c>
    </row>
    <row r="1040">
      <c r="A1040" s="5" t="inlineStr">
        <is>
          <t>TOTAL DPS</t>
        </is>
      </c>
      <c r="B1040" s="5">
        <f>SUM(O1003:O1027)</f>
        <v/>
      </c>
    </row>
    <row r="1043">
      <c r="A1043" s="5" t="inlineStr">
        <is>
          <t>Stat: ATTACK %</t>
        </is>
      </c>
    </row>
    <row r="1044">
      <c r="A1044" s="9" t="inlineStr">
        <is>
          <t>Key</t>
        </is>
      </c>
      <c r="B1044" s="9" t="inlineStr">
        <is>
          <t>Name</t>
        </is>
      </c>
      <c r="C1044" s="9" t="inlineStr">
        <is>
          <t>Unlocked</t>
        </is>
      </c>
      <c r="D1044" s="9" t="inlineStr">
        <is>
          <t>InputLevel</t>
        </is>
      </c>
      <c r="E1044" s="9" t="inlineStr">
        <is>
          <t>Factor</t>
        </is>
      </c>
      <c r="F1044" s="9" t="inlineStr">
        <is>
          <t>CoefficientPercent</t>
        </is>
      </c>
      <c r="G1044" s="9" t="inlineStr">
        <is>
          <t>EffectiveHits</t>
        </is>
      </c>
      <c r="H1044" s="9" t="inlineStr">
        <is>
          <t>ProcProbability</t>
        </is>
      </c>
      <c r="I1044" s="9" t="inlineStr">
        <is>
          <t>MapleHeroMultiplier</t>
        </is>
      </c>
      <c r="J1044" s="9" t="inlineStr">
        <is>
          <t>BaseDamage</t>
        </is>
      </c>
      <c r="K1044" s="9" t="inlineStr">
        <is>
          <t>BaseHitDamage</t>
        </is>
      </c>
      <c r="L1044" s="9" t="inlineStr">
        <is>
          <t>NonCritAvg</t>
        </is>
      </c>
      <c r="M1044" s="9" t="inlineStr">
        <is>
          <t>CritAvg</t>
        </is>
      </c>
      <c r="N1044" s="9" t="inlineStr">
        <is>
          <t>ExpectedDamage(perHit)</t>
        </is>
      </c>
      <c r="O1044" s="9" t="inlineStr">
        <is>
          <t>DPS</t>
        </is>
      </c>
      <c r="P1044" s="9" t="inlineStr">
        <is>
          <t>% of Total</t>
        </is>
      </c>
      <c r="Q1044" s="9" t="inlineStr">
        <is>
          <t>InvCooldown</t>
        </is>
      </c>
      <c r="R1044" s="9" t="inlineStr">
        <is>
          <t>CastsInFight</t>
        </is>
      </c>
      <c r="S1044" s="9" t="inlineStr">
        <is>
          <t>HitRate(perSec)</t>
        </is>
      </c>
      <c r="U1044" t="inlineStr">
        <is>
          <t>helpers</t>
        </is>
      </c>
    </row>
    <row r="1045">
      <c r="A1045">
        <f>Skills!A2</f>
        <v/>
      </c>
      <c r="B1045">
        <f>Skills!B2</f>
        <v/>
      </c>
      <c r="C1045">
        <f>Inputs!$B$3&gt;=100</f>
        <v/>
      </c>
      <c r="D1045" t="inlineStr"/>
      <c r="E1045" t="inlineStr"/>
      <c r="F1045">
        <f>U1047+Skills!O2</f>
        <v/>
      </c>
      <c r="G1045">
        <f>Skills!G2*IF(Skills!H2&gt;0,Skills!I2/Skills!H2,1)</f>
        <v/>
      </c>
      <c r="H1045">
        <f>1-(1-Skills!J2/100)^Skills!K2</f>
        <v/>
      </c>
      <c r="I1045" t="inlineStr">
        <is>
          <t>1</t>
        </is>
      </c>
      <c r="J1045">
        <f>((Inputs!$B$6*(1+(Inputs!$B$7+1)/100))+(((Inputs!$B$13*(1+Inputs!$B$14/100))-(Inputs!$B$13*(1+Inputs!$B$14/100)))+0.25*(Inputs!$B$15-Inputs!$B$15))*(1+(Inputs!$B$7+1)/100))*(F1045/100)</f>
        <v/>
      </c>
      <c r="K1045">
        <f>J1045*(1+(((Inputs!$B$13+IF(Inputs!$B$3&gt;=38,(10*INDEX(FactorTable!$B$2:$Y$301, MATCH(ROUND(MIN(300,MAX(1,Inputs!$B$3)),0), FactorTable!$A$2:$A$301,0), 23)/1000)/100*(Inputs!$B$8*(1+Inputs!$B$9/100)),0))*(1+Inputs!$B$14/100))*0.01+Inputs!$B$15*0.0025)/100)*(1+Inputs!$B$16/100)*(1+Inputs!$B$17/100)*(5000/(6000+Inputs!$B$43*(1-(Inputs!$B$20+0)/100)))*(1+(Inputs!$B$25+((C1068=TRUE)*(F1068-Calc!F25))+((C1069=TRUE)*(F1069-Calc!F26))+B1078)/100)*(1+(IF(Skills!A2="DARK_IMPALE",Inputs!$B$18+0,Inputs!$B$19+((C1066=TRUE)*(F1066-Calc!F23))))/100)*((1+(((C1056=TRUE)*F1056*IF(AND(Inputs!$B$39&lt;&gt;"pvp",Inputs!$B$44&gt;0),(((R1056-1)*(Skills!T13*(1+Inputs!$B$35/100))+MIN((Skills!T13*(1+Inputs!$B$35/100)),MAX(0,Inputs!$B$44-((R1056-1)*Skills!D13))))/Inputs!$B$44),IF(Inputs!$B$39="pvp",MIN((Skills!T13*(1+Inputs!$B$35/100)),15)/15,(Skills!T13*(1+Inputs!$B$35/100))/Skills!D13)))+((C1057=TRUE)*F1057*IF(AND(Inputs!$B$39&lt;&gt;"pvp",Inputs!$B$44&gt;0),(((R1057-1)*(Skills!T14*(1+Inputs!$B$35/100))+MIN((Skills!T14*(1+Inputs!$B$35/100)),MAX(0,Inputs!$B$44-((R1057-1)*Skills!D14))))/Inputs!$B$44),IF(Inputs!$B$39="pvp",MIN((Skills!T14*(1+Inputs!$B$35/100)),15)/15,(Skills!T14*(1+Inputs!$B$35/100))/Skills!D14)))+((C1058=TRUE)*F1058*IF(AND(Inputs!$B$39&lt;&gt;"pvp",Inputs!$B$44&gt;0),(((R1058-1)*(Skills!T15*(1+Inputs!$B$35/100))+MIN((Skills!T15*(1+Inputs!$B$35/100)),MAX(0,Inputs!$B$44-((R1058-1)*Skills!D15))))/Inputs!$B$44),IF(Inputs!$B$39="pvp",MIN((Skills!T15*(1+Inputs!$B$35/100)),15)/15,(Skills!T15*(1+Inputs!$B$35/100))/Skills!D15)))+((C1059=TRUE)*F1059*IF(AND(Inputs!$B$39&lt;&gt;"pvp",Inputs!$B$44&gt;0),(((R1059-1)*(Skills!T16*(1+Inputs!$B$35/100))+MIN((Skills!T16*(1+Inputs!$B$35/100)),MAX(0,Inputs!$B$44-((R1059-1)*Skills!D16))))/Inputs!$B$44),IF(Inputs!$B$39="pvp",MIN((Skills!T16*(1+Inputs!$B$35/100)),15)/15,(Skills!T16*(1+Inputs!$B$35/100))/Skills!D16)))+0)/100)*I1045)</f>
        <v/>
      </c>
      <c r="L1045">
        <f>K1045*(MIN(Inputs!$B$23+((C1065=TRUE)*(F1065-Calc!F22)),Inputs!$B$24+((C1067=TRUE)*(F1067-Calc!F24)))/100+(Inputs!$B$24+((C1067=TRUE)*(F1067-Calc!F24)))/100)/2</f>
        <v/>
      </c>
      <c r="M1045">
        <f>L1045*(1+(Inputs!$B$11+0+B1077)/100)</f>
        <v/>
      </c>
      <c r="N1045">
        <f>L1045*(1-MIN((Inputs!$B$10+0+B1072),100)/100)+M1045*(MIN((Inputs!$B$10+0+B1072),100)/100)</f>
        <v/>
      </c>
      <c r="O1045">
        <f>(1-Summary!$B$55)*T1045+Summary!$B$55*V1045</f>
        <v/>
      </c>
      <c r="P1045">
        <f>IF(B1082=0,0,O1045/B1082)</f>
        <v/>
      </c>
      <c r="Q1045" t="n">
        <v>0</v>
      </c>
      <c r="R1045" t="n">
        <v>0</v>
      </c>
      <c r="S1045">
        <f>IFERROR(O1045/N1045,0)</f>
        <v/>
      </c>
      <c r="T1045">
        <f>IF(C1045,(Skills!G2*N1045*B1076)*IF(Inputs!$B$39="pvp",1,1+(Inputs!$B$21+0+Skills!P2+((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0)</f>
        <v/>
      </c>
      <c r="U1045">
        <f>MAX(0,(Inputs!$B$3-100)*3)+Inputs!$B$29+Inputs!$B$30</f>
        <v/>
      </c>
      <c r="V1045">
        <f>IF(C1045,(Skills!G2*N1045*B1076)*IF(Inputs!$B$39="pvp",1,(1+(Inputs!$B$22+Skills!Q2+((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MIN((6+Inputs!$B$34),Inputs!$B$38))),0)</f>
        <v/>
      </c>
    </row>
    <row r="1046">
      <c r="A1046">
        <f>Skills!A3</f>
        <v/>
      </c>
      <c r="B1046">
        <f>Skills!B3</f>
        <v/>
      </c>
      <c r="C1046">
        <f>Inputs!$B$3&gt;=50</f>
        <v/>
      </c>
      <c r="D1046">
        <f>IF(Skills!C3=1,60+Inputs!$B$26+Inputs!$B$30,IF(Skills!C3=2,90+Inputs!$B$27+Inputs!$B$30,IF(Skills!C3=3,120+Inputs!$B$28+Inputs!$B$30,MAX(0,(Inputs!$B$3-100)*3)+Inputs!$B$29+Inputs!$B$30)))</f>
        <v/>
      </c>
      <c r="E1046">
        <f>INDEX(FactorTable!$B$2:$Y$301, MATCH(ROUND(MIN(300,MAX(1,D1046)),0), FactorTable!$A$2:$A$301,0), Skills!M3+1)</f>
        <v/>
      </c>
      <c r="F1046">
        <f>IF(Skills!N3=TRUE,(Skills!L3/10)*(E1046/1000),Skills!L3/10)+Skills!O3</f>
        <v/>
      </c>
      <c r="G1046" t="inlineStr"/>
      <c r="H1046" t="inlineStr"/>
      <c r="I1046" t="inlineStr">
        <is>
          <t>1</t>
        </is>
      </c>
      <c r="J1046" t="inlineStr"/>
      <c r="K1046" t="inlineStr"/>
      <c r="L1046" t="inlineStr"/>
      <c r="M1046" t="inlineStr"/>
      <c r="N1046" t="inlineStr"/>
      <c r="O1046" t="inlineStr"/>
      <c r="P1046" t="inlineStr"/>
      <c r="Q1046" t="inlineStr"/>
      <c r="R1046" t="inlineStr"/>
      <c r="S1046" t="inlineStr"/>
      <c r="U1046">
        <f>INDEX(FactorTable!$B$2:$Y$301, MATCH(ROUND(MIN(300,MAX(1,U1045)),0), FactorTable!$A$2:$A$301,0), 22)</f>
        <v/>
      </c>
    </row>
    <row r="1047">
      <c r="A1047">
        <f>Skills!A4</f>
        <v/>
      </c>
      <c r="B1047">
        <f>Skills!B4</f>
        <v/>
      </c>
      <c r="C1047">
        <f>Inputs!$B$3&gt;=105</f>
        <v/>
      </c>
      <c r="D1047">
        <f>IF(Skills!C4=1,60+Inputs!$B$26+Inputs!$B$30,IF(Skills!C4=2,90+Inputs!$B$27+Inputs!$B$30,IF(Skills!C4=3,120+Inputs!$B$28+Inputs!$B$30,MAX(0,(Inputs!$B$3-100)*3)+Inputs!$B$29+Inputs!$B$30)))</f>
        <v/>
      </c>
      <c r="E1047">
        <f>INDEX(FactorTable!$B$2:$Y$301, MATCH(ROUND(MIN(300,MAX(1,D1047)),0), FactorTable!$A$2:$A$301,0), Skills!M4+1)</f>
        <v/>
      </c>
      <c r="F1047">
        <f>IF(Skills!N4=TRUE,(Skills!L4/10)*(E1047/1000),Skills!L4/10)+Skills!O4</f>
        <v/>
      </c>
      <c r="G1047" t="inlineStr"/>
      <c r="H1047" t="inlineStr"/>
      <c r="I1047" t="inlineStr">
        <is>
          <t>1</t>
        </is>
      </c>
      <c r="J1047" t="inlineStr"/>
      <c r="K1047" t="inlineStr"/>
      <c r="L1047" t="inlineStr"/>
      <c r="M1047" t="inlineStr"/>
      <c r="N1047" t="inlineStr"/>
      <c r="O1047" t="inlineStr"/>
      <c r="P1047" t="inlineStr"/>
      <c r="Q1047" t="inlineStr"/>
      <c r="R1047" t="inlineStr"/>
      <c r="S1047" t="inlineStr"/>
      <c r="U1047">
        <f>290*U1046/1000</f>
        <v/>
      </c>
    </row>
    <row r="1048">
      <c r="A1048">
        <f>Skills!A5</f>
        <v/>
      </c>
      <c r="B1048">
        <f>Skills!B5</f>
        <v/>
      </c>
      <c r="C1048">
        <f>Inputs!$B$3&gt;=117</f>
        <v/>
      </c>
      <c r="D1048">
        <f>IF(Skills!C5=1,60+Inputs!$B$26+Inputs!$B$30,IF(Skills!C5=2,90+Inputs!$B$27+Inputs!$B$30,IF(Skills!C5=3,120+Inputs!$B$28+Inputs!$B$30,MAX(0,(Inputs!$B$3-100)*3)+Inputs!$B$29+Inputs!$B$30)))</f>
        <v/>
      </c>
      <c r="E1048">
        <f>INDEX(FactorTable!$B$2:$Y$301, MATCH(ROUND(MIN(300,MAX(1,D1048)),0), FactorTable!$A$2:$A$301,0), Skills!M5+1)</f>
        <v/>
      </c>
      <c r="F1048">
        <f>IF(Skills!N5=TRUE,(Skills!L5/10)*(E1048/1000),Skills!L5/10)+Skills!O5</f>
        <v/>
      </c>
      <c r="G1048">
        <f>Skills!G5*IF(Skills!H5&gt;0,Skills!I5/Skills!H5,1)</f>
        <v/>
      </c>
      <c r="H1048">
        <f>1-(1-Skills!J5/100)^Skills!K5</f>
        <v/>
      </c>
      <c r="I1048" t="inlineStr">
        <is>
          <t>1</t>
        </is>
      </c>
      <c r="J1048">
        <f>((Inputs!$B$6*(1+(Inputs!$B$7+1)/100))+(((Inputs!$B$13*(1+Inputs!$B$14/100))-(Inputs!$B$13*(1+Inputs!$B$14/100)))+0.25*(Inputs!$B$15-Inputs!$B$15))*(1+(Inputs!$B$7+1)/100))*(F1048/100)</f>
        <v/>
      </c>
      <c r="K1048">
        <f>J1048*(1+(((Inputs!$B$13+IF(Inputs!$B$3&gt;=38,(10*INDEX(FactorTable!$B$2:$Y$301, MATCH(ROUND(MIN(300,MAX(1,Inputs!$B$3)),0), FactorTable!$A$2:$A$301,0), 23)/1000)/100*(Inputs!$B$8*(1+Inputs!$B$9/100)),0))*(1+Inputs!$B$14/100))*0.01+Inputs!$B$15*0.0025)/100)*(1+Inputs!$B$16/100)*(1+Inputs!$B$17/100)*(5000/(6000+Inputs!$B$43*(1-(Inputs!$B$20+0)/100)))*(1+(Inputs!$B$25+((C1068=TRUE)*(F1068-Calc!F25))+((C1069=TRUE)*(F1069-Calc!F26))+B1078)/100)*(1+(IF(Skills!A5="DARK_IMPALE",Inputs!$B$18+0,Inputs!$B$19+((C1066=TRUE)*(F1066-Calc!F23))))/100)*((1+(((C1056=TRUE)*F1056*IF(AND(Inputs!$B$39&lt;&gt;"pvp",Inputs!$B$44&gt;0),(((R1056-1)*(Skills!T13*(1+Inputs!$B$35/100))+MIN((Skills!T13*(1+Inputs!$B$35/100)),MAX(0,Inputs!$B$44-((R1056-1)*Skills!D13))))/Inputs!$B$44),IF(Inputs!$B$39="pvp",MIN((Skills!T13*(1+Inputs!$B$35/100)),15)/15,(Skills!T13*(1+Inputs!$B$35/100))/Skills!D13)))+((C1057=TRUE)*F1057*IF(AND(Inputs!$B$39&lt;&gt;"pvp",Inputs!$B$44&gt;0),(((R1057-1)*(Skills!T14*(1+Inputs!$B$35/100))+MIN((Skills!T14*(1+Inputs!$B$35/100)),MAX(0,Inputs!$B$44-((R1057-1)*Skills!D14))))/Inputs!$B$44),IF(Inputs!$B$39="pvp",MIN((Skills!T14*(1+Inputs!$B$35/100)),15)/15,(Skills!T14*(1+Inputs!$B$35/100))/Skills!D14)))+((C1058=TRUE)*F1058*IF(AND(Inputs!$B$39&lt;&gt;"pvp",Inputs!$B$44&gt;0),(((R1058-1)*(Skills!T15*(1+Inputs!$B$35/100))+MIN((Skills!T15*(1+Inputs!$B$35/100)),MAX(0,Inputs!$B$44-((R1058-1)*Skills!D15))))/Inputs!$B$44),IF(Inputs!$B$39="pvp",MIN((Skills!T15*(1+Inputs!$B$35/100)),15)/15,(Skills!T15*(1+Inputs!$B$35/100))/Skills!D15)))+((C1059=TRUE)*F1059*IF(AND(Inputs!$B$39&lt;&gt;"pvp",Inputs!$B$44&gt;0),(((R1059-1)*(Skills!T16*(1+Inputs!$B$35/100))+MIN((Skills!T16*(1+Inputs!$B$35/100)),MAX(0,Inputs!$B$44-((R1059-1)*Skills!D16))))/Inputs!$B$44),IF(Inputs!$B$39="pvp",MIN((Skills!T16*(1+Inputs!$B$35/100)),15)/15,(Skills!T16*(1+Inputs!$B$35/100))/Skills!D16)))+0)/100)*I1048)</f>
        <v/>
      </c>
      <c r="L1048">
        <f>K1048*(MIN(Inputs!$B$23+((C1065=TRUE)*(F1065-Calc!F22)),Inputs!$B$24+((C1067=TRUE)*(F1067-Calc!F24)))/100+(Inputs!$B$24+((C1067=TRUE)*(F1067-Calc!F24)))/100)/2</f>
        <v/>
      </c>
      <c r="M1048">
        <f>L1048*(1+(Inputs!$B$11+0+B1077)/100)</f>
        <v/>
      </c>
      <c r="N1048">
        <f>L1048*(1-MIN((Inputs!$B$10+0+B1072),100)/100)+M1048*(MIN((Inputs!$B$10+0+B1072),100)/100)</f>
        <v/>
      </c>
      <c r="O1048">
        <f>(1-Summary!$B$55)*T1048+Summary!$B$55*V1048</f>
        <v/>
      </c>
      <c r="P1048">
        <f>IF(B1082=0,0,O1048/B1082)</f>
        <v/>
      </c>
      <c r="Q1048">
        <f>IFERROR(1/IF(Inputs!$B$39="pvp",15,MAX(0.1,Skills!D5-IF(Skills!E5=TRUE,Inputs!$B$33,0))),0)</f>
        <v/>
      </c>
      <c r="R1048">
        <f>IF(AND(Inputs!$B$39&lt;&gt;"pvp",Inputs!$B$44&gt;0),IF(MAX(0,Inputs!$B$44-B1079)&lt;=0,0,(INT(MAX(0,Inputs!$B$44-B1079)/IF(Inputs!$B$39="pvp",15,MAX(0.1,Skills!D5-IF(Skills!E5=TRUE,Inputs!$B$33,0))))+1)),0)</f>
        <v/>
      </c>
      <c r="S1048">
        <f>IFERROR(O1048/N1048,0)</f>
        <v/>
      </c>
      <c r="T1048">
        <f>IF(C1048,(H1048*N1048*IF(AND(Inputs!$B$39&lt;&gt;"pvp",Inputs!$B$44&gt;0),((Skills!G5*((R1048-1)*IF(Skills!H5&gt;0,Skills!I5/Skills!H5,1)+IF(Skills!H5&gt;0,MIN(Skills!I5,MAX(0,MAX(0,Inputs!$B$44-B1079)-((R1048-1)*IF(Inputs!$B$39="pvp",15,MAX(0.1,Skills!D5-IF(Skills!E5=TRUE,Inputs!$B$33,0))))))/Skills!H5,1)))/Inputs!$B$44),G1048*Q1048))*IF(Inputs!$B$39="pvp",1,1+(Inputs!$B$21+0+Skills!P5+((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0)</f>
        <v/>
      </c>
      <c r="V1048">
        <f>IF(C1048,(H1048*N1048*IF(AND(Inputs!$B$39&lt;&gt;"pvp",Inputs!$B$44&gt;0),((Skills!G5*((R1048-1)*IF(Skills!H5&gt;0,Skills!I5/Skills!H5,1)+IF(Skills!H5&gt;0,MIN(Skills!I5,MAX(0,MAX(0,Inputs!$B$44-B1079)-((R1048-1)*IF(Inputs!$B$39="pvp",15,MAX(0.1,Skills!D5-IF(Skills!E5=TRUE,Inputs!$B$33,0))))))/Skills!H5,1)))/Inputs!$B$44),G1048*Q1048))*IF(Inputs!$B$39="pvp",1,(1+(Inputs!$B$22+Skills!Q5+((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MIN(Skills!R5,Inputs!$B$38))),0)</f>
        <v/>
      </c>
    </row>
    <row r="1049">
      <c r="A1049">
        <f>Skills!A6</f>
        <v/>
      </c>
      <c r="B1049">
        <f>Skills!B6</f>
        <v/>
      </c>
      <c r="C1049">
        <f>Inputs!$B$3&gt;=103</f>
        <v/>
      </c>
      <c r="D1049">
        <f>IF(Skills!C6=1,60+Inputs!$B$26+Inputs!$B$30,IF(Skills!C6=2,90+Inputs!$B$27+Inputs!$B$30,IF(Skills!C6=3,120+Inputs!$B$28+Inputs!$B$30,MAX(0,(Inputs!$B$3-100)*3)+Inputs!$B$29+Inputs!$B$30)))</f>
        <v/>
      </c>
      <c r="E1049">
        <f>INDEX(FactorTable!$B$2:$Y$301, MATCH(ROUND(MIN(300,MAX(1,D1049)),0), FactorTable!$A$2:$A$301,0), Skills!M6+1)</f>
        <v/>
      </c>
      <c r="F1049">
        <f>IF(Skills!N6=TRUE,(Skills!L6/10)*(E1049/1000),Skills!L6/10)+Skills!O6</f>
        <v/>
      </c>
      <c r="G1049">
        <f>Skills!G6*IF(Skills!H6&gt;0,Skills!I6/Skills!H6,1)</f>
        <v/>
      </c>
      <c r="H1049">
        <f>1-(1-Skills!J6/100)^Skills!K6</f>
        <v/>
      </c>
      <c r="I1049" t="inlineStr">
        <is>
          <t>1</t>
        </is>
      </c>
      <c r="J1049">
        <f>((Inputs!$B$6*(1+(Inputs!$B$7+1)/100))+(((Inputs!$B$13*(1+Inputs!$B$14/100))-(Inputs!$B$13*(1+Inputs!$B$14/100)))+0.25*(Inputs!$B$15-Inputs!$B$15))*(1+(Inputs!$B$7+1)/100))*(F1049/100)</f>
        <v/>
      </c>
      <c r="K1049">
        <f>J1049*(1+(((Inputs!$B$13+IF(Inputs!$B$3&gt;=38,(10*INDEX(FactorTable!$B$2:$Y$301, MATCH(ROUND(MIN(300,MAX(1,Inputs!$B$3)),0), FactorTable!$A$2:$A$301,0), 23)/1000)/100*(Inputs!$B$8*(1+Inputs!$B$9/100)),0))*(1+Inputs!$B$14/100))*0.01+Inputs!$B$15*0.0025)/100)*(1+Inputs!$B$16/100)*(1+Inputs!$B$17/100)*(5000/(6000+Inputs!$B$43*(1-(Inputs!$B$20+0)/100)))*(1+(Inputs!$B$25+((C1068=TRUE)*(F1068-Calc!F25))+((C1069=TRUE)*(F1069-Calc!F26))+B1078)/100)*(1+(IF(Skills!A6="DARK_IMPALE",Inputs!$B$18+0,Inputs!$B$19+((C1066=TRUE)*(F1066-Calc!F23))))/100)*((1+(((C1056=TRUE)*F1056*IF(AND(Inputs!$B$39&lt;&gt;"pvp",Inputs!$B$44&gt;0),(((R1056-1)*(Skills!T13*(1+Inputs!$B$35/100))+MIN((Skills!T13*(1+Inputs!$B$35/100)),MAX(0,Inputs!$B$44-((R1056-1)*Skills!D13))))/Inputs!$B$44),IF(Inputs!$B$39="pvp",MIN((Skills!T13*(1+Inputs!$B$35/100)),15)/15,(Skills!T13*(1+Inputs!$B$35/100))/Skills!D13)))+((C1057=TRUE)*F1057*IF(AND(Inputs!$B$39&lt;&gt;"pvp",Inputs!$B$44&gt;0),(((R1057-1)*(Skills!T14*(1+Inputs!$B$35/100))+MIN((Skills!T14*(1+Inputs!$B$35/100)),MAX(0,Inputs!$B$44-((R1057-1)*Skills!D14))))/Inputs!$B$44),IF(Inputs!$B$39="pvp",MIN((Skills!T14*(1+Inputs!$B$35/100)),15)/15,(Skills!T14*(1+Inputs!$B$35/100))/Skills!D14)))+((C1058=TRUE)*F1058*IF(AND(Inputs!$B$39&lt;&gt;"pvp",Inputs!$B$44&gt;0),(((R1058-1)*(Skills!T15*(1+Inputs!$B$35/100))+MIN((Skills!T15*(1+Inputs!$B$35/100)),MAX(0,Inputs!$B$44-((R1058-1)*Skills!D15))))/Inputs!$B$44),IF(Inputs!$B$39="pvp",MIN((Skills!T15*(1+Inputs!$B$35/100)),15)/15,(Skills!T15*(1+Inputs!$B$35/100))/Skills!D15)))+((C1059=TRUE)*F1059*IF(AND(Inputs!$B$39&lt;&gt;"pvp",Inputs!$B$44&gt;0),(((R1059-1)*(Skills!T16*(1+Inputs!$B$35/100))+MIN((Skills!T16*(1+Inputs!$B$35/100)),MAX(0,Inputs!$B$44-((R1059-1)*Skills!D16))))/Inputs!$B$44),IF(Inputs!$B$39="pvp",MIN((Skills!T16*(1+Inputs!$B$35/100)),15)/15,(Skills!T16*(1+Inputs!$B$35/100))/Skills!D16)))+0)/100)*I1049)</f>
        <v/>
      </c>
      <c r="L1049">
        <f>K1049*(MIN(Inputs!$B$23+((C1065=TRUE)*(F1065-Calc!F22)),Inputs!$B$24+((C1067=TRUE)*(F1067-Calc!F24)))/100+(Inputs!$B$24+((C1067=TRUE)*(F1067-Calc!F24)))/100)/2</f>
        <v/>
      </c>
      <c r="M1049">
        <f>L1049*(1+(Inputs!$B$11+0+B1077)/100)</f>
        <v/>
      </c>
      <c r="N1049">
        <f>L1049*(1-MIN((Inputs!$B$10+0+B1072),100)/100)+M1049*(MIN((Inputs!$B$10+0+B1072),100)/100)</f>
        <v/>
      </c>
      <c r="O1049">
        <f>(1-Summary!$B$55)*T1049+Summary!$B$55*V1049</f>
        <v/>
      </c>
      <c r="P1049">
        <f>IF(B1082=0,0,O1049/B1082)</f>
        <v/>
      </c>
      <c r="Q1049">
        <f>IFERROR(1/IF(Inputs!$B$39="pvp",15,MAX(0.1,Skills!D6-IF(Skills!E6=TRUE,Inputs!$B$33,0))),0)</f>
        <v/>
      </c>
      <c r="R1049">
        <f>IF(AND(Inputs!$B$39&lt;&gt;"pvp",Inputs!$B$44&gt;0),IF(MAX(0,Inputs!$B$44-B1079)&lt;=0,0,(INT(MAX(0,Inputs!$B$44-B1079)/IF(Inputs!$B$39="pvp",15,MAX(0.1,Skills!D6-IF(Skills!E6=TRUE,Inputs!$B$33,0))))+1)),0)</f>
        <v/>
      </c>
      <c r="S1049">
        <f>IFERROR(O1049/N1049,0)</f>
        <v/>
      </c>
      <c r="T1049">
        <f>IF(C1049,(H1049*N1049*IF(AND(Inputs!$B$39&lt;&gt;"pvp",Inputs!$B$44&gt;0),((Skills!G6*((R1049-1)*IF(Skills!H6&gt;0,Skills!I6/Skills!H6,1)+IF(Skills!H6&gt;0,MIN(Skills!I6,MAX(0,MAX(0,Inputs!$B$44-B1079)-((R1049-1)*IF(Inputs!$B$39="pvp",15,MAX(0.1,Skills!D6-IF(Skills!E6=TRUE,Inputs!$B$33,0))))))/Skills!H6,1)))/Inputs!$B$44),G1049*Q1049))*IF(Inputs!$B$39="pvp",1,1+(Inputs!$B$21+0+Skills!P6+((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0)</f>
        <v/>
      </c>
      <c r="V1049">
        <f>IF(C1049,(H1049*N1049*IF(AND(Inputs!$B$39&lt;&gt;"pvp",Inputs!$B$44&gt;0),((Skills!G6*((R1049-1)*IF(Skills!H6&gt;0,Skills!I6/Skills!H6,1)+IF(Skills!H6&gt;0,MIN(Skills!I6,MAX(0,MAX(0,Inputs!$B$44-B1079)-((R1049-1)*IF(Inputs!$B$39="pvp",15,MAX(0.1,Skills!D6-IF(Skills!E6=TRUE,Inputs!$B$33,0))))))/Skills!H6,1)))/Inputs!$B$44),G1049*Q1049))*IF(Inputs!$B$39="pvp",1,(1+(Inputs!$B$22+Skills!Q6+((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MIN(Skills!R6,Inputs!$B$38))),0)</f>
        <v/>
      </c>
    </row>
    <row r="1050">
      <c r="A1050">
        <f>Skills!A7</f>
        <v/>
      </c>
      <c r="B1050">
        <f>Skills!B7</f>
        <v/>
      </c>
      <c r="C1050">
        <f>Inputs!$B$3&gt;=40</f>
        <v/>
      </c>
      <c r="D1050">
        <f>IF(Skills!C7=1,60+Inputs!$B$26+Inputs!$B$30,IF(Skills!C7=2,90+Inputs!$B$27+Inputs!$B$30,IF(Skills!C7=3,120+Inputs!$B$28+Inputs!$B$30,MAX(0,(Inputs!$B$3-100)*3)+Inputs!$B$29+Inputs!$B$30)))</f>
        <v/>
      </c>
      <c r="E1050">
        <f>INDEX(FactorTable!$B$2:$Y$301, MATCH(ROUND(MIN(300,MAX(1,D1050)),0), FactorTable!$A$2:$A$301,0), Skills!M7+1)</f>
        <v/>
      </c>
      <c r="F1050">
        <f>IF(Skills!N7=TRUE,(Skills!L7/10)*(E1050/1000),Skills!L7/10)+Skills!O7</f>
        <v/>
      </c>
      <c r="G1050">
        <f>Skills!G7*IF(Skills!H7&gt;0,Skills!I7/Skills!H7,1)</f>
        <v/>
      </c>
      <c r="H1050">
        <f>1-(1-Skills!J7/100)^Skills!K7</f>
        <v/>
      </c>
      <c r="I1050" t="inlineStr">
        <is>
          <t>1</t>
        </is>
      </c>
      <c r="J1050">
        <f>((Inputs!$B$6*(1+(Inputs!$B$7+1)/100))+(((Inputs!$B$13*(1+Inputs!$B$14/100))-(Inputs!$B$13*(1+Inputs!$B$14/100)))+0.25*(Inputs!$B$15-Inputs!$B$15))*(1+(Inputs!$B$7+1)/100))*(F1050/100)</f>
        <v/>
      </c>
      <c r="K1050">
        <f>J1050*(1+(((Inputs!$B$13+IF(Inputs!$B$3&gt;=38,(10*INDEX(FactorTable!$B$2:$Y$301, MATCH(ROUND(MIN(300,MAX(1,Inputs!$B$3)),0), FactorTable!$A$2:$A$301,0), 23)/1000)/100*(Inputs!$B$8*(1+Inputs!$B$9/100)),0))*(1+Inputs!$B$14/100))*0.01+Inputs!$B$15*0.0025)/100)*(1+Inputs!$B$16/100)*(1+Inputs!$B$17/100)*(5000/(6000+Inputs!$B$43*(1-(Inputs!$B$20+0)/100)))*(1+(Inputs!$B$25+((C1068=TRUE)*(F1068-Calc!F25))+((C1069=TRUE)*(F1069-Calc!F26))+B1078)/100)*(1+0.75*IF(C1054=TRUE,F1054,0)/100)*(1+(IF(Skills!A7="DARK_IMPALE",Inputs!$B$18+0,Inputs!$B$19+((C1066=TRUE)*(F1066-Calc!F23))))/100)*((1+(((C1056=TRUE)*F1056*IF(AND(Inputs!$B$39&lt;&gt;"pvp",Inputs!$B$44&gt;0),(((R1056-1)*(Skills!T13*(1+Inputs!$B$35/100))+MIN((Skills!T13*(1+Inputs!$B$35/100)),MAX(0,Inputs!$B$44-((R1056-1)*Skills!D13))))/Inputs!$B$44),IF(Inputs!$B$39="pvp",MIN((Skills!T13*(1+Inputs!$B$35/100)),15)/15,(Skills!T13*(1+Inputs!$B$35/100))/Skills!D13)))+((C1057=TRUE)*F1057*IF(AND(Inputs!$B$39&lt;&gt;"pvp",Inputs!$B$44&gt;0),(((R1057-1)*(Skills!T14*(1+Inputs!$B$35/100))+MIN((Skills!T14*(1+Inputs!$B$35/100)),MAX(0,Inputs!$B$44-((R1057-1)*Skills!D14))))/Inputs!$B$44),IF(Inputs!$B$39="pvp",MIN((Skills!T14*(1+Inputs!$B$35/100)),15)/15,(Skills!T14*(1+Inputs!$B$35/100))/Skills!D14)))+((C1058=TRUE)*F1058*IF(AND(Inputs!$B$39&lt;&gt;"pvp",Inputs!$B$44&gt;0),(((R1058-1)*(Skills!T15*(1+Inputs!$B$35/100))+MIN((Skills!T15*(1+Inputs!$B$35/100)),MAX(0,Inputs!$B$44-((R1058-1)*Skills!D15))))/Inputs!$B$44),IF(Inputs!$B$39="pvp",MIN((Skills!T15*(1+Inputs!$B$35/100)),15)/15,(Skills!T15*(1+Inputs!$B$35/100))/Skills!D15)))+((C1059=TRUE)*F1059*IF(AND(Inputs!$B$39&lt;&gt;"pvp",Inputs!$B$44&gt;0),(((R1059-1)*(Skills!T16*(1+Inputs!$B$35/100))+MIN((Skills!T16*(1+Inputs!$B$35/100)),MAX(0,Inputs!$B$44-((R1059-1)*Skills!D16))))/Inputs!$B$44),IF(Inputs!$B$39="pvp",MIN((Skills!T16*(1+Inputs!$B$35/100)),15)/15,(Skills!T16*(1+Inputs!$B$35/100))/Skills!D16)))+0)/100)*I1050)</f>
        <v/>
      </c>
      <c r="L1050">
        <f>K1050*(MIN(Inputs!$B$23+((C1065=TRUE)*(F1065-Calc!F22)),Inputs!$B$24+((C1067=TRUE)*(F1067-Calc!F24)))/100+(Inputs!$B$24+((C1067=TRUE)*(F1067-Calc!F24)))/100)/2</f>
        <v/>
      </c>
      <c r="M1050">
        <f>L1050*(1+(Inputs!$B$11+0+B1077)/100)</f>
        <v/>
      </c>
      <c r="N1050">
        <f>L1050*(1-MIN((Inputs!$B$10+0+B1072),100)/100)+M1050*(MIN((Inputs!$B$10+0+B1072),100)/100)</f>
        <v/>
      </c>
      <c r="O1050">
        <f>(1-Summary!$B$55)*T1050+Summary!$B$55*V1050</f>
        <v/>
      </c>
      <c r="P1050">
        <f>IF(B1082=0,0,O1050/B1082)</f>
        <v/>
      </c>
      <c r="Q1050">
        <f>IFERROR(1/IF(Inputs!$B$39="pvp",15,MAX(0.1,Skills!D7-IF(Skills!E7=TRUE,Inputs!$B$33,0))),0)</f>
        <v/>
      </c>
      <c r="R1050">
        <f>IF(AND(Inputs!$B$39&lt;&gt;"pvp",Inputs!$B$44&gt;0),IF(MAX(0,Inputs!$B$44-B1079)&lt;=0,0,(INT(MAX(0,Inputs!$B$44-B1079)/IF(Inputs!$B$39="pvp",15,MAX(0.1,Skills!D7-IF(Skills!E7=TRUE,Inputs!$B$33,0))))+1)),0)</f>
        <v/>
      </c>
      <c r="S1050">
        <f>IFERROR(O1050/N1050,0)</f>
        <v/>
      </c>
      <c r="T1050">
        <f>IF(C1050,(H1050*N1050*IF(AND(Inputs!$B$39&lt;&gt;"pvp",Inputs!$B$44&gt;0),((Skills!G7*((R1050-1)*IF(Skills!H7&gt;0,Skills!I7/Skills!H7,1)+IF(Skills!H7&gt;0,MIN(Skills!I7,MAX(0,MAX(0,Inputs!$B$44-B1079)-((R1050-1)*IF(Inputs!$B$39="pvp",15,MAX(0.1,Skills!D7-IF(Skills!E7=TRUE,Inputs!$B$33,0))))))/Skills!H7,1)))/Inputs!$B$44),G1050*Q1050))*IF(Inputs!$B$39="pvp",1,1+(Inputs!$B$21+0+Skills!P7+((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0)</f>
        <v/>
      </c>
      <c r="V1050">
        <f>IF(C1050,(H1050*N1050*IF(AND(Inputs!$B$39&lt;&gt;"pvp",Inputs!$B$44&gt;0),((Skills!G7*((R1050-1)*IF(Skills!H7&gt;0,Skills!I7/Skills!H7,1)+IF(Skills!H7&gt;0,MIN(Skills!I7,MAX(0,MAX(0,Inputs!$B$44-B1079)-((R1050-1)*IF(Inputs!$B$39="pvp",15,MAX(0.1,Skills!D7-IF(Skills!E7=TRUE,Inputs!$B$33,0))))))/Skills!H7,1)))/Inputs!$B$44),G1050*Q1050))*IF(Inputs!$B$39="pvp",1,(1+(Inputs!$B$22+Skills!Q7+((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MIN(Skills!R7,Inputs!$B$38))),0)</f>
        <v/>
      </c>
    </row>
    <row r="1051">
      <c r="A1051">
        <f>Skills!A8</f>
        <v/>
      </c>
      <c r="B1051">
        <f>Skills!B8</f>
        <v/>
      </c>
      <c r="C1051">
        <f>Inputs!$B$3&gt;=75</f>
        <v/>
      </c>
      <c r="D1051">
        <f>IF(Skills!C8=1,60+Inputs!$B$26+Inputs!$B$30,IF(Skills!C8=2,90+Inputs!$B$27+Inputs!$B$30,IF(Skills!C8=3,120+Inputs!$B$28+Inputs!$B$30,MAX(0,(Inputs!$B$3-100)*3)+Inputs!$B$29+Inputs!$B$30)))</f>
        <v/>
      </c>
      <c r="E1051">
        <f>INDEX(FactorTable!$B$2:$Y$301, MATCH(ROUND(MIN(300,MAX(1,D1051)),0), FactorTable!$A$2:$A$301,0), Skills!M8+1)</f>
        <v/>
      </c>
      <c r="F1051">
        <f>IF(Skills!N8=TRUE,(Skills!L8/10)*(E1051/1000),Skills!L8/10)+Skills!O8</f>
        <v/>
      </c>
      <c r="G1051" t="inlineStr"/>
      <c r="H1051" t="inlineStr"/>
      <c r="I1051" t="inlineStr">
        <is>
          <t>1</t>
        </is>
      </c>
      <c r="J1051" t="inlineStr"/>
      <c r="K1051" t="inlineStr"/>
      <c r="L1051" t="inlineStr"/>
      <c r="M1051" t="inlineStr"/>
      <c r="N1051" t="inlineStr"/>
      <c r="O1051" t="inlineStr"/>
      <c r="P1051" t="inlineStr"/>
      <c r="Q1051" t="inlineStr"/>
      <c r="R1051" t="inlineStr"/>
      <c r="S1051" t="inlineStr"/>
    </row>
    <row r="1052">
      <c r="A1052">
        <f>Skills!A9</f>
        <v/>
      </c>
      <c r="B1052">
        <f>Skills!B9</f>
        <v/>
      </c>
      <c r="C1052">
        <f>Inputs!$B$3&gt;=60</f>
        <v/>
      </c>
      <c r="D1052">
        <f>IF(Skills!C9=1,60+Inputs!$B$26+Inputs!$B$30,IF(Skills!C9=2,90+Inputs!$B$27+Inputs!$B$30,IF(Skills!C9=3,120+Inputs!$B$28+Inputs!$B$30,MAX(0,(Inputs!$B$3-100)*3)+Inputs!$B$29+Inputs!$B$30)))</f>
        <v/>
      </c>
      <c r="E1052">
        <f>INDEX(FactorTable!$B$2:$Y$301, MATCH(ROUND(MIN(300,MAX(1,D1052)),0), FactorTable!$A$2:$A$301,0), Skills!M9+1)</f>
        <v/>
      </c>
      <c r="F1052">
        <f>IF(Skills!N9=TRUE,(Skills!L9/10)*(E1052/1000),Skills!L9/10)+Skills!O9</f>
        <v/>
      </c>
      <c r="G1052">
        <f>Skills!G9*IF(Skills!H9&gt;0,Skills!I9/Skills!H9,1)</f>
        <v/>
      </c>
      <c r="H1052">
        <f>1-(1-Skills!J9/100)^Skills!K9</f>
        <v/>
      </c>
      <c r="I1052" t="inlineStr">
        <is>
          <t>1</t>
        </is>
      </c>
      <c r="J1052">
        <f>((Inputs!$B$6*(1+(Inputs!$B$7+1)/100))+(((Inputs!$B$13*(1+Inputs!$B$14/100))-(Inputs!$B$13*(1+Inputs!$B$14/100)))+0.25*(Inputs!$B$15-Inputs!$B$15))*(1+(Inputs!$B$7+1)/100))*(F1052/100)</f>
        <v/>
      </c>
      <c r="K1052">
        <f>J1052*(1+(((Inputs!$B$13+IF(Inputs!$B$3&gt;=38,(10*INDEX(FactorTable!$B$2:$Y$301, MATCH(ROUND(MIN(300,MAX(1,Inputs!$B$3)),0), FactorTable!$A$2:$A$301,0), 23)/1000)/100*(Inputs!$B$8*(1+Inputs!$B$9/100)),0))*(1+Inputs!$B$14/100))*0.01+Inputs!$B$15*0.0025)/100)*(1+Inputs!$B$16/100)*(1+Inputs!$B$17/100)*(5000/(6000+Inputs!$B$43*(1-(Inputs!$B$20+0)/100)))*(1+(Inputs!$B$25+((C1068=TRUE)*(F1068-Calc!F25))+((C1069=TRUE)*(F1069-Calc!F26))+B1078)/100)*(1+1.0*IF(C1054=TRUE,F1054,0)/100)*(1+(IF(Skills!A9="DARK_IMPALE",Inputs!$B$18+0,Inputs!$B$19+((C1066=TRUE)*(F1066-Calc!F23))))/100)*((1+(((C1056=TRUE)*F1056*IF(AND(Inputs!$B$39&lt;&gt;"pvp",Inputs!$B$44&gt;0),(((R1056-1)*(Skills!T13*(1+Inputs!$B$35/100))+MIN((Skills!T13*(1+Inputs!$B$35/100)),MAX(0,Inputs!$B$44-((R1056-1)*Skills!D13))))/Inputs!$B$44),IF(Inputs!$B$39="pvp",MIN((Skills!T13*(1+Inputs!$B$35/100)),15)/15,(Skills!T13*(1+Inputs!$B$35/100))/Skills!D13)))+((C1057=TRUE)*F1057*IF(AND(Inputs!$B$39&lt;&gt;"pvp",Inputs!$B$44&gt;0),(((R1057-1)*(Skills!T14*(1+Inputs!$B$35/100))+MIN((Skills!T14*(1+Inputs!$B$35/100)),MAX(0,Inputs!$B$44-((R1057-1)*Skills!D14))))/Inputs!$B$44),IF(Inputs!$B$39="pvp",MIN((Skills!T14*(1+Inputs!$B$35/100)),15)/15,(Skills!T14*(1+Inputs!$B$35/100))/Skills!D14)))+((C1058=TRUE)*F1058*IF(AND(Inputs!$B$39&lt;&gt;"pvp",Inputs!$B$44&gt;0),(((R1058-1)*(Skills!T15*(1+Inputs!$B$35/100))+MIN((Skills!T15*(1+Inputs!$B$35/100)),MAX(0,Inputs!$B$44-((R1058-1)*Skills!D15))))/Inputs!$B$44),IF(Inputs!$B$39="pvp",MIN((Skills!T15*(1+Inputs!$B$35/100)),15)/15,(Skills!T15*(1+Inputs!$B$35/100))/Skills!D15)))+((C1059=TRUE)*F1059*IF(AND(Inputs!$B$39&lt;&gt;"pvp",Inputs!$B$44&gt;0),(((R1059-1)*(Skills!T16*(1+Inputs!$B$35/100))+MIN((Skills!T16*(1+Inputs!$B$35/100)),MAX(0,Inputs!$B$44-((R1059-1)*Skills!D16))))/Inputs!$B$44),IF(Inputs!$B$39="pvp",MIN((Skills!T16*(1+Inputs!$B$35/100)),15)/15,(Skills!T16*(1+Inputs!$B$35/100))/Skills!D16)))+0)/100)*I1052)</f>
        <v/>
      </c>
      <c r="L1052">
        <f>K1052*(MIN(Inputs!$B$23+((C1065=TRUE)*(F1065-Calc!F22)),Inputs!$B$24+((C1067=TRUE)*(F1067-Calc!F24)))/100+(Inputs!$B$24+((C1067=TRUE)*(F1067-Calc!F24)))/100)/2</f>
        <v/>
      </c>
      <c r="M1052">
        <f>L1052*(1+(Inputs!$B$11+0+B1077)/100)</f>
        <v/>
      </c>
      <c r="N1052">
        <f>L1052*(1-MIN((Inputs!$B$10+0+B1072),100)/100)+M1052*(MIN((Inputs!$B$10+0+B1072),100)/100)</f>
        <v/>
      </c>
      <c r="O1052">
        <f>(1-Summary!$B$55)*T1052+Summary!$B$55*V1052</f>
        <v/>
      </c>
      <c r="P1052">
        <f>IF(B1082=0,0,O1052/B1082)</f>
        <v/>
      </c>
      <c r="Q1052">
        <f>IFERROR(1/IF(Inputs!$B$39="pvp",15,MAX(0.1,Skills!D9-IF(Skills!E9=TRUE,Inputs!$B$33,0))),0)</f>
        <v/>
      </c>
      <c r="R1052">
        <f>IF(AND(Inputs!$B$39&lt;&gt;"pvp",Inputs!$B$44&gt;0),IF(MAX(0,Inputs!$B$44-B1079)&lt;=0,0,(INT(MAX(0,Inputs!$B$44-B1079)/IF(Inputs!$B$39="pvp",15,MAX(0.1,Skills!D9-IF(Skills!E9=TRUE,Inputs!$B$33,0))))+1)),0)</f>
        <v/>
      </c>
      <c r="S1052">
        <f>IFERROR(O1052/N1052,0)</f>
        <v/>
      </c>
      <c r="T1052">
        <f>IF(C1052,(H1052*N1052*IF(AND(Inputs!$B$39&lt;&gt;"pvp",Inputs!$B$44&gt;0),((Skills!G9*((R1052-1)*IF(Skills!H9&gt;0,Skills!I9/Skills!H9,1)+IF(Skills!H9&gt;0,MIN(Skills!I9,MAX(0,MAX(0,Inputs!$B$44-B1079)-((R1052-1)*IF(Inputs!$B$39="pvp",15,MAX(0.1,Skills!D9-IF(Skills!E9=TRUE,Inputs!$B$33,0))))))/Skills!H9,1)))/Inputs!$B$44),G1052*Q1052))*IF(Inputs!$B$39="pvp",1,1+(Inputs!$B$21+0+Skills!P9+((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0)</f>
        <v/>
      </c>
      <c r="V1052">
        <f>IF(C1052,(H1052*N1052*IF(AND(Inputs!$B$39&lt;&gt;"pvp",Inputs!$B$44&gt;0),((Skills!G9*((R1052-1)*IF(Skills!H9&gt;0,Skills!I9/Skills!H9,1)+IF(Skills!H9&gt;0,MIN(Skills!I9,MAX(0,MAX(0,Inputs!$B$44-B1079)-((R1052-1)*IF(Inputs!$B$39="pvp",15,MAX(0.1,Skills!D9-IF(Skills!E9=TRUE,Inputs!$B$33,0))))))/Skills!H9,1)))/Inputs!$B$44),G1052*Q1052))*IF(Inputs!$B$39="pvp",1,(1+(Inputs!$B$22+Skills!Q9+((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MIN(Skills!R9,Inputs!$B$38))),0)</f>
        <v/>
      </c>
    </row>
    <row r="1053">
      <c r="A1053">
        <f>Skills!A10</f>
        <v/>
      </c>
      <c r="B1053">
        <f>Skills!B10</f>
        <v/>
      </c>
      <c r="C1053">
        <f>Inputs!$B$3&gt;=110</f>
        <v/>
      </c>
      <c r="D1053">
        <f>IF(Skills!C10=1,60+Inputs!$B$26+Inputs!$B$30,IF(Skills!C10=2,90+Inputs!$B$27+Inputs!$B$30,IF(Skills!C10=3,120+Inputs!$B$28+Inputs!$B$30,MAX(0,(Inputs!$B$3-100)*3)+Inputs!$B$29+Inputs!$B$30)))</f>
        <v/>
      </c>
      <c r="E1053">
        <f>INDEX(FactorTable!$B$2:$Y$301, MATCH(ROUND(MIN(300,MAX(1,D1053)),0), FactorTable!$A$2:$A$301,0), Skills!M10+1)</f>
        <v/>
      </c>
      <c r="F1053">
        <f>IF(Skills!N10=TRUE,(Skills!L10/10)*(E1053/1000),Skills!L10/10)+Skills!O10</f>
        <v/>
      </c>
      <c r="G1053">
        <f>Skills!G10*IF(Skills!H10&gt;0,Skills!I10/Skills!H10,1)</f>
        <v/>
      </c>
      <c r="H1053">
        <f>1-(1-Skills!J10/100)^Skills!K10</f>
        <v/>
      </c>
      <c r="I1053" t="inlineStr">
        <is>
          <t>1</t>
        </is>
      </c>
      <c r="J1053">
        <f>((Inputs!$B$6*(1+(Inputs!$B$7+1)/100))+(((Inputs!$B$13*(1+Inputs!$B$14/100))-(Inputs!$B$13*(1+Inputs!$B$14/100)))+0.25*(Inputs!$B$15-Inputs!$B$15))*(1+(Inputs!$B$7+1)/100))*(F1053/100)</f>
        <v/>
      </c>
      <c r="K1053">
        <f>J1053*(1+(((Inputs!$B$13+IF(Inputs!$B$3&gt;=38,(10*INDEX(FactorTable!$B$2:$Y$301, MATCH(ROUND(MIN(300,MAX(1,Inputs!$B$3)),0), FactorTable!$A$2:$A$301,0), 23)/1000)/100*(Inputs!$B$8*(1+Inputs!$B$9/100)),0))*(1+Inputs!$B$14/100))*0.01+Inputs!$B$15*0.0025)/100)*(1+Inputs!$B$16/100)*(1+Inputs!$B$17/100)*(5000/(6000+Inputs!$B$43*(1-(Inputs!$B$20+0)/100)))*(1+(Inputs!$B$25+((C1068=TRUE)*(F1068-Calc!F25))+((C1069=TRUE)*(F1069-Calc!F26))+B1078)/100)*(1+(IF(Skills!A10="DARK_IMPALE",Inputs!$B$18+0,Inputs!$B$19+((C1066=TRUE)*(F1066-Calc!F23))))/100)*((1+(((C1056=TRUE)*F1056*IF(AND(Inputs!$B$39&lt;&gt;"pvp",Inputs!$B$44&gt;0),(((R1056-1)*(Skills!T13*(1+Inputs!$B$35/100))+MIN((Skills!T13*(1+Inputs!$B$35/100)),MAX(0,Inputs!$B$44-((R1056-1)*Skills!D13))))/Inputs!$B$44),IF(Inputs!$B$39="pvp",MIN((Skills!T13*(1+Inputs!$B$35/100)),15)/15,(Skills!T13*(1+Inputs!$B$35/100))/Skills!D13)))+((C1057=TRUE)*F1057*IF(AND(Inputs!$B$39&lt;&gt;"pvp",Inputs!$B$44&gt;0),(((R1057-1)*(Skills!T14*(1+Inputs!$B$35/100))+MIN((Skills!T14*(1+Inputs!$B$35/100)),MAX(0,Inputs!$B$44-((R1057-1)*Skills!D14))))/Inputs!$B$44),IF(Inputs!$B$39="pvp",MIN((Skills!T14*(1+Inputs!$B$35/100)),15)/15,(Skills!T14*(1+Inputs!$B$35/100))/Skills!D14)))+((C1058=TRUE)*F1058*IF(AND(Inputs!$B$39&lt;&gt;"pvp",Inputs!$B$44&gt;0),(((R1058-1)*(Skills!T15*(1+Inputs!$B$35/100))+MIN((Skills!T15*(1+Inputs!$B$35/100)),MAX(0,Inputs!$B$44-((R1058-1)*Skills!D15))))/Inputs!$B$44),IF(Inputs!$B$39="pvp",MIN((Skills!T15*(1+Inputs!$B$35/100)),15)/15,(Skills!T15*(1+Inputs!$B$35/100))/Skills!D15)))+((C1059=TRUE)*F1059*IF(AND(Inputs!$B$39&lt;&gt;"pvp",Inputs!$B$44&gt;0),(((R1059-1)*(Skills!T16*(1+Inputs!$B$35/100))+MIN((Skills!T16*(1+Inputs!$B$35/100)),MAX(0,Inputs!$B$44-((R1059-1)*Skills!D16))))/Inputs!$B$44),IF(Inputs!$B$39="pvp",MIN((Skills!T16*(1+Inputs!$B$35/100)),15)/15,(Skills!T16*(1+Inputs!$B$35/100))/Skills!D16)))+0)/100)*I1053)</f>
        <v/>
      </c>
      <c r="L1053">
        <f>K1053*(MIN(Inputs!$B$23+((C1065=TRUE)*(F1065-Calc!F22)),Inputs!$B$24+((C1067=TRUE)*(F1067-Calc!F24)))/100+(Inputs!$B$24+((C1067=TRUE)*(F1067-Calc!F24)))/100)/2</f>
        <v/>
      </c>
      <c r="M1053">
        <f>L1053*(1+(Inputs!$B$11+0+B1077)/100)</f>
        <v/>
      </c>
      <c r="N1053">
        <f>L1053*(1-MIN((Inputs!$B$10+0+B1072),100)/100)+M1053*(MIN((Inputs!$B$10+0+B1072),100)/100)</f>
        <v/>
      </c>
      <c r="O1053">
        <f>(1-Summary!$B$55)*T1053+Summary!$B$55*V1053</f>
        <v/>
      </c>
      <c r="P1053">
        <f>IF(B1082=0,0,O1053/B1082)</f>
        <v/>
      </c>
      <c r="Q1053">
        <f>IFERROR(1/IF(Inputs!$B$39="pvp",15,MAX(0.1,Skills!D10-IF(Skills!E10=TRUE,Inputs!$B$33,0))),0)</f>
        <v/>
      </c>
      <c r="R1053">
        <f>IF(AND(Inputs!$B$39&lt;&gt;"pvp",Inputs!$B$44&gt;0),IF(MAX(0,Inputs!$B$44-B1079)&lt;=0,0,(INT(MAX(0,Inputs!$B$44-B1079)/IF(Inputs!$B$39="pvp",15,MAX(0.1,Skills!D10-IF(Skills!E10=TRUE,Inputs!$B$33,0))))+1)),0)</f>
        <v/>
      </c>
      <c r="S1053">
        <f>IFERROR(O1053/N1053,0)</f>
        <v/>
      </c>
      <c r="T1053">
        <f>IF(C1053,(H1053*N1053*IF(AND(Inputs!$B$39&lt;&gt;"pvp",Inputs!$B$44&gt;0),((Skills!G10*((R1053-1)*IF(Skills!H10&gt;0,Skills!I10/Skills!H10,1)+IF(Skills!H10&gt;0,MIN(Skills!I10,MAX(0,MAX(0,Inputs!$B$44-B1079)-((R1053-1)*IF(Inputs!$B$39="pvp",15,MAX(0.1,Skills!D10-IF(Skills!E10=TRUE,Inputs!$B$33,0))))))/Skills!H10,1)))/Inputs!$B$44),G1053*Q1053))*IF(Inputs!$B$39="pvp",1,1+(Inputs!$B$21+0+Skills!P10+((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0)</f>
        <v/>
      </c>
      <c r="V1053">
        <f>IF(C1053,(H1053*N1053*IF(AND(Inputs!$B$39&lt;&gt;"pvp",Inputs!$B$44&gt;0),((Skills!G10*((R1053-1)*IF(Skills!H10&gt;0,Skills!I10/Skills!H10,1)+IF(Skills!H10&gt;0,MIN(Skills!I10,MAX(0,MAX(0,Inputs!$B$44-B1079)-((R1053-1)*IF(Inputs!$B$39="pvp",15,MAX(0.1,Skills!D10-IF(Skills!E10=TRUE,Inputs!$B$33,0))))))/Skills!H10,1)))/Inputs!$B$44),G1053*Q1053))*IF(Inputs!$B$39="pvp",1,(1+(Inputs!$B$22+Skills!Q10+((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MIN(Skills!R10,Inputs!$B$38))),0)</f>
        <v/>
      </c>
    </row>
    <row r="1054">
      <c r="A1054">
        <f>Skills!A11</f>
        <v/>
      </c>
      <c r="B1054">
        <f>Skills!B11</f>
        <v/>
      </c>
      <c r="C1054">
        <f>Inputs!$B$3&gt;=100</f>
        <v/>
      </c>
      <c r="D1054">
        <f>IF(Skills!C11=1,60+Inputs!$B$26+Inputs!$B$30,IF(Skills!C11=2,90+Inputs!$B$27+Inputs!$B$30,IF(Skills!C11=3,120+Inputs!$B$28+Inputs!$B$30,MAX(0,(Inputs!$B$3-100)*3)+Inputs!$B$29+Inputs!$B$30)))</f>
        <v/>
      </c>
      <c r="E1054">
        <f>INDEX(FactorTable!$B$2:$Y$301, MATCH(ROUND(MIN(300,MAX(1,D1054)),0), FactorTable!$A$2:$A$301,0), Skills!M11+1)</f>
        <v/>
      </c>
      <c r="F1054">
        <f>IF(Skills!N11=TRUE,(Skills!L11/10)*(E1054/1000),Skills!L11/10)+Skills!O11</f>
        <v/>
      </c>
      <c r="G1054" t="inlineStr"/>
      <c r="H1054" t="inlineStr"/>
      <c r="I1054" t="inlineStr">
        <is>
          <t>1</t>
        </is>
      </c>
      <c r="J1054" t="inlineStr"/>
      <c r="K1054" t="inlineStr"/>
      <c r="L1054" t="inlineStr"/>
      <c r="M1054" t="inlineStr"/>
      <c r="N1054" t="inlineStr"/>
      <c r="O1054" t="inlineStr"/>
      <c r="P1054" t="inlineStr"/>
      <c r="Q1054" t="inlineStr"/>
      <c r="R1054" t="inlineStr"/>
      <c r="S1054" t="inlineStr"/>
    </row>
    <row r="1055">
      <c r="A1055">
        <f>Skills!A12</f>
        <v/>
      </c>
      <c r="B1055">
        <f>Skills!B12</f>
        <v/>
      </c>
      <c r="C1055">
        <f>Inputs!$B$3&gt;=63</f>
        <v/>
      </c>
      <c r="D1055">
        <f>IF(Skills!C12=1,60+Inputs!$B$26+Inputs!$B$30,IF(Skills!C12=2,90+Inputs!$B$27+Inputs!$B$30,IF(Skills!C12=3,120+Inputs!$B$28+Inputs!$B$30,MAX(0,(Inputs!$B$3-100)*3)+Inputs!$B$29+Inputs!$B$30)))</f>
        <v/>
      </c>
      <c r="E1055">
        <f>INDEX(FactorTable!$B$2:$Y$301, MATCH(ROUND(MIN(300,MAX(1,D1055)),0), FactorTable!$A$2:$A$301,0), Skills!M12+1)</f>
        <v/>
      </c>
      <c r="F1055">
        <f>IF(Skills!N12=TRUE,(Skills!L12/10)*(E1055/1000),Skills!L12/10)+Skills!O12</f>
        <v/>
      </c>
      <c r="G1055">
        <f>Skills!G12*IF(Skills!H12&gt;0,Skills!I12/Skills!H12,1)</f>
        <v/>
      </c>
      <c r="H1055">
        <f>1-(1-Skills!J12/100)^Skills!K12</f>
        <v/>
      </c>
      <c r="I1055" t="inlineStr">
        <is>
          <t>1</t>
        </is>
      </c>
      <c r="J1055">
        <f>((Inputs!$B$6*(1+(Inputs!$B$7+1)/100))+(((Inputs!$B$13*(1+Inputs!$B$14/100))-(Inputs!$B$13*(1+Inputs!$B$14/100)))+0.25*(Inputs!$B$15-Inputs!$B$15))*(1+(Inputs!$B$7+1)/100))*(F1055/100)</f>
        <v/>
      </c>
      <c r="K1055">
        <f>J1055*(1+(((Inputs!$B$13+IF(Inputs!$B$3&gt;=38,(10*INDEX(FactorTable!$B$2:$Y$301, MATCH(ROUND(MIN(300,MAX(1,Inputs!$B$3)),0), FactorTable!$A$2:$A$301,0), 23)/1000)/100*(Inputs!$B$8*(1+Inputs!$B$9/100)),0))*(1+Inputs!$B$14/100))*0.01+Inputs!$B$15*0.0025)/100)*(1+Inputs!$B$16/100)*(1+Inputs!$B$17/100)*(5000/(6000+Inputs!$B$43*(1-(Inputs!$B$20+0)/100)))*(1+(Inputs!$B$25+((C1068=TRUE)*(F1068-Calc!F25))+((C1069=TRUE)*(F1069-Calc!F26))+B1078)/100)*(1+0.75*IF(C1054=TRUE,F1054,0)/100)*(1+(IF(Skills!A12="DARK_IMPALE",Inputs!$B$18+0,Inputs!$B$19+((C1066=TRUE)*(F1066-Calc!F23))))/100)*((1+(((C1056=TRUE)*F1056*IF(AND(Inputs!$B$39&lt;&gt;"pvp",Inputs!$B$44&gt;0),(((R1056-1)*(Skills!T13*(1+Inputs!$B$35/100))+MIN((Skills!T13*(1+Inputs!$B$35/100)),MAX(0,Inputs!$B$44-((R1056-1)*Skills!D13))))/Inputs!$B$44),IF(Inputs!$B$39="pvp",MIN((Skills!T13*(1+Inputs!$B$35/100)),15)/15,(Skills!T13*(1+Inputs!$B$35/100))/Skills!D13)))+((C1057=TRUE)*F1057*IF(AND(Inputs!$B$39&lt;&gt;"pvp",Inputs!$B$44&gt;0),(((R1057-1)*(Skills!T14*(1+Inputs!$B$35/100))+MIN((Skills!T14*(1+Inputs!$B$35/100)),MAX(0,Inputs!$B$44-((R1057-1)*Skills!D14))))/Inputs!$B$44),IF(Inputs!$B$39="pvp",MIN((Skills!T14*(1+Inputs!$B$35/100)),15)/15,(Skills!T14*(1+Inputs!$B$35/100))/Skills!D14)))+((C1058=TRUE)*F1058*IF(AND(Inputs!$B$39&lt;&gt;"pvp",Inputs!$B$44&gt;0),(((R1058-1)*(Skills!T15*(1+Inputs!$B$35/100))+MIN((Skills!T15*(1+Inputs!$B$35/100)),MAX(0,Inputs!$B$44-((R1058-1)*Skills!D15))))/Inputs!$B$44),IF(Inputs!$B$39="pvp",MIN((Skills!T15*(1+Inputs!$B$35/100)),15)/15,(Skills!T15*(1+Inputs!$B$35/100))/Skills!D15)))+((C1059=TRUE)*F1059*IF(AND(Inputs!$B$39&lt;&gt;"pvp",Inputs!$B$44&gt;0),(((R1059-1)*(Skills!T16*(1+Inputs!$B$35/100))+MIN((Skills!T16*(1+Inputs!$B$35/100)),MAX(0,Inputs!$B$44-((R1059-1)*Skills!D16))))/Inputs!$B$44),IF(Inputs!$B$39="pvp",MIN((Skills!T16*(1+Inputs!$B$35/100)),15)/15,(Skills!T16*(1+Inputs!$B$35/100))/Skills!D16)))+0)/100)*I1055)</f>
        <v/>
      </c>
      <c r="L1055">
        <f>K1055*(MIN(Inputs!$B$23+((C1065=TRUE)*(F1065-Calc!F22)),Inputs!$B$24+((C1067=TRUE)*(F1067-Calc!F24)))/100+(Inputs!$B$24+((C1067=TRUE)*(F1067-Calc!F24)))/100)/2</f>
        <v/>
      </c>
      <c r="M1055">
        <f>L1055*(1+(Inputs!$B$11+0+B1077)/100)</f>
        <v/>
      </c>
      <c r="N1055">
        <f>L1055*(1-MIN((Inputs!$B$10+0+B1072),100)/100)+M1055*(MIN((Inputs!$B$10+0+B1072),100)/100)</f>
        <v/>
      </c>
      <c r="O1055">
        <f>(1-Summary!$B$55)*T1055+Summary!$B$55*V1055</f>
        <v/>
      </c>
      <c r="P1055">
        <f>IF(B1082=0,0,O1055/B1082)</f>
        <v/>
      </c>
      <c r="Q1055">
        <f>IFERROR(1/IF(Inputs!$B$39="pvp",15,MAX(0.1,Skills!D12-IF(Skills!E12=TRUE,Inputs!$B$33,0))),0)</f>
        <v/>
      </c>
      <c r="R1055">
        <f>IF(AND(Inputs!$B$39&lt;&gt;"pvp",Inputs!$B$44&gt;0),IF(MAX(0,Inputs!$B$44-B1079)&lt;=0,0,(INT(MAX(0,Inputs!$B$44-B1079)/IF(Inputs!$B$39="pvp",15,MAX(0.1,Skills!D12-IF(Skills!E12=TRUE,Inputs!$B$33,0))))+1)),0)</f>
        <v/>
      </c>
      <c r="S1055">
        <f>IFERROR(O1055/N1055,0)</f>
        <v/>
      </c>
      <c r="T1055">
        <f>IF(C1055,(H1055*N1055*IF(AND(Inputs!$B$39&lt;&gt;"pvp",Inputs!$B$44&gt;0),((Skills!G12*((R1055-1)*IF(Skills!H12&gt;0,Skills!I12/Skills!H12,1)+IF(Skills!H12&gt;0,MIN(Skills!I12,MAX(0,MAX(0,Inputs!$B$44-B1079)-((R1055-1)*IF(Inputs!$B$39="pvp",15,MAX(0.1,Skills!D12-IF(Skills!E12=TRUE,Inputs!$B$33,0))))))/Skills!H12,1)))/Inputs!$B$44),G1055*Q1055))*IF(Inputs!$B$39="pvp",1,1+(Inputs!$B$21+0+Skills!P12+((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0)</f>
        <v/>
      </c>
      <c r="V1055">
        <f>IF(C1055,(H1055*N1055*IF(AND(Inputs!$B$39&lt;&gt;"pvp",Inputs!$B$44&gt;0),((Skills!G12*((R1055-1)*IF(Skills!H12&gt;0,Skills!I12/Skills!H12,1)+IF(Skills!H12&gt;0,MIN(Skills!I12,MAX(0,MAX(0,Inputs!$B$44-B1079)-((R1055-1)*IF(Inputs!$B$39="pvp",15,MAX(0.1,Skills!D12-IF(Skills!E12=TRUE,Inputs!$B$33,0))))))/Skills!H12,1)))/Inputs!$B$44),G1055*Q1055))*IF(Inputs!$B$39="pvp",1,(1+(Inputs!$B$22+Skills!Q12+((C1060=TRUE)*F1060*IF(AND(Inputs!$B$39&lt;&gt;"pvp",Inputs!$B$44&gt;0),(((R1060-1)*(Skills!T17*(1+Inputs!$B$35/100))+MIN((Skills!T17*(1+Inputs!$B$35/100)),MAX(0,Inputs!$B$44-((R1060-1)*Skills!D17))))/Inputs!$B$44),IF(Inputs!$B$39="pvp",MIN((Skills!T17*(1+Inputs!$B$35/100)),15)/15,(Skills!T17*(1+Inputs!$B$35/100))/Skills!D17)))+((C1057=TRUE)*IF(Inputs!$B$39="pvp",20,(1-Summary!$B$55)*(20)+Summary!$B$55*(0))*IF(AND(Inputs!$B$39&lt;&gt;"pvp",Inputs!$B$44&gt;0),(((R1057-1)*(Skills!T14*(1+Inputs!$B$35/100))+MIN((Skills!T14*(1+Inputs!$B$35/100)),MAX(0,Inputs!$B$44-((R1057-1)*Skills!D14))))/Inputs!$B$44),IF(Inputs!$B$39="pvp",MIN((Skills!T14*(1+Inputs!$B$35/100)),15)/15,(Skills!T14*(1+Inputs!$B$35/100))/Skills!D14))))/100)*(MIN(Skills!R12,Inputs!$B$38))),0)</f>
        <v/>
      </c>
    </row>
    <row r="1056">
      <c r="A1056">
        <f>Skills!A13</f>
        <v/>
      </c>
      <c r="B1056">
        <f>Skills!B13</f>
        <v/>
      </c>
      <c r="C1056">
        <f>Inputs!$B$3&gt;=69</f>
        <v/>
      </c>
      <c r="D1056">
        <f>IF(Skills!C13=1,60+Inputs!$B$26+Inputs!$B$30,IF(Skills!C13=2,90+Inputs!$B$27+Inputs!$B$30,IF(Skills!C13=3,120+Inputs!$B$28+Inputs!$B$30,MAX(0,(Inputs!$B$3-100)*3)+Inputs!$B$29+Inputs!$B$30)))</f>
        <v/>
      </c>
      <c r="E1056">
        <f>INDEX(FactorTable!$B$2:$Y$301, MATCH(ROUND(MIN(300,MAX(1,D1056)),0), FactorTable!$A$2:$A$301,0), Skills!M13+1)</f>
        <v/>
      </c>
      <c r="F1056">
        <f>IF(Skills!N13=TRUE,(Skills!L13/10)*(E1056/1000),Skills!L13/10)+Skills!O13</f>
        <v/>
      </c>
      <c r="G1056">
        <f>Skills!G13*IF(Skills!H13&gt;0,Skills!I13/Skills!H13,1)</f>
        <v/>
      </c>
      <c r="H1056">
        <f>1-(1-Skills!J13/100)^Skills!K13</f>
        <v/>
      </c>
      <c r="I1056" t="inlineStr">
        <is>
          <t>1</t>
        </is>
      </c>
      <c r="J1056" t="inlineStr"/>
      <c r="K1056" t="inlineStr"/>
      <c r="L1056" t="inlineStr"/>
      <c r="M1056" t="inlineStr"/>
      <c r="N1056" t="inlineStr"/>
      <c r="O1056">
        <f>(1-Summary!$B$55)*T1056+Summary!$B$55*V1056</f>
        <v/>
      </c>
      <c r="P1056">
        <f>IF(B1082=0,0,O1056/B1082)</f>
        <v/>
      </c>
      <c r="Q1056">
        <f>IFERROR(1/IF(Inputs!$B$39="pvp",15,MAX(0.1,Skills!D13-IF(Skills!E13=TRUE,Inputs!$B$33,0))),0)</f>
        <v/>
      </c>
      <c r="R1056">
        <f>IF(AND(Inputs!$B$39&lt;&gt;"pvp",Inputs!$B$44&gt;0),IF(Inputs!$B$44&lt;=0,0,(INT(Inputs!$B$44/IF(Inputs!$B$39="pvp",15,MAX(0.1,Skills!D13-IF(Skills!E13=TRUE,Inputs!$B$33,0))))+1)),0)</f>
        <v/>
      </c>
      <c r="S1056">
        <f>IFERROR(O1056/N1056,0)</f>
        <v/>
      </c>
      <c r="T1056" t="n">
        <v>0</v>
      </c>
      <c r="V1056" t="n">
        <v>0</v>
      </c>
    </row>
    <row r="1057">
      <c r="A1057">
        <f>Skills!A14</f>
        <v/>
      </c>
      <c r="B1057">
        <f>Skills!B14</f>
        <v/>
      </c>
      <c r="C1057">
        <f>Inputs!$B$3&gt;=115</f>
        <v/>
      </c>
      <c r="D1057">
        <f>IF(Skills!C14=1,60+Inputs!$B$26+Inputs!$B$30,IF(Skills!C14=2,90+Inputs!$B$27+Inputs!$B$30,IF(Skills!C14=3,120+Inputs!$B$28+Inputs!$B$30,MAX(0,(Inputs!$B$3-100)*3)+Inputs!$B$29+Inputs!$B$30)))</f>
        <v/>
      </c>
      <c r="E1057">
        <f>INDEX(FactorTable!$B$2:$Y$301, MATCH(ROUND(MIN(300,MAX(1,D1057)),0), FactorTable!$A$2:$A$301,0), Skills!M14+1)</f>
        <v/>
      </c>
      <c r="F1057">
        <f>IF(Skills!N14=TRUE,(Skills!L14/10)*(E1057/1000),Skills!L14/10)+Skills!O14</f>
        <v/>
      </c>
      <c r="G1057">
        <f>Skills!G14*IF(Skills!H14&gt;0,Skills!I14/Skills!H14,1)</f>
        <v/>
      </c>
      <c r="H1057">
        <f>1-(1-Skills!J14/100)^Skills!K14</f>
        <v/>
      </c>
      <c r="I1057" t="inlineStr">
        <is>
          <t>1</t>
        </is>
      </c>
      <c r="J1057" t="inlineStr"/>
      <c r="K1057" t="inlineStr"/>
      <c r="L1057" t="inlineStr"/>
      <c r="M1057" t="inlineStr"/>
      <c r="N1057" t="inlineStr"/>
      <c r="O1057">
        <f>(1-Summary!$B$55)*T1057+Summary!$B$55*V1057</f>
        <v/>
      </c>
      <c r="P1057">
        <f>IF(B1082=0,0,O1057/B1082)</f>
        <v/>
      </c>
      <c r="Q1057">
        <f>IFERROR(1/IF(Inputs!$B$39="pvp",15,MAX(0.1,Skills!D14-IF(Skills!E14=TRUE,Inputs!$B$33,0))),0)</f>
        <v/>
      </c>
      <c r="R1057">
        <f>IF(AND(Inputs!$B$39&lt;&gt;"pvp",Inputs!$B$44&gt;0),IF(Inputs!$B$44&lt;=0,0,(INT(Inputs!$B$44/IF(Inputs!$B$39="pvp",15,MAX(0.1,Skills!D14-IF(Skills!E14=TRUE,Inputs!$B$33,0))))+1)),0)</f>
        <v/>
      </c>
      <c r="S1057">
        <f>IFERROR(O1057/N1057,0)</f>
        <v/>
      </c>
      <c r="T1057" t="n">
        <v>0</v>
      </c>
      <c r="V1057" t="n">
        <v>0</v>
      </c>
    </row>
    <row r="1058">
      <c r="A1058">
        <f>Skills!A15</f>
        <v/>
      </c>
      <c r="B1058">
        <f>Skills!B15</f>
        <v/>
      </c>
      <c r="C1058">
        <f>Inputs!$B$3&gt;=66</f>
        <v/>
      </c>
      <c r="D1058">
        <f>IF(Skills!C15=1,60+Inputs!$B$26+Inputs!$B$30,IF(Skills!C15=2,90+Inputs!$B$27+Inputs!$B$30,IF(Skills!C15=3,120+Inputs!$B$28+Inputs!$B$30,MAX(0,(Inputs!$B$3-100)*3)+Inputs!$B$29+Inputs!$B$30)))</f>
        <v/>
      </c>
      <c r="E1058">
        <f>INDEX(FactorTable!$B$2:$Y$301, MATCH(ROUND(MIN(300,MAX(1,D1058)),0), FactorTable!$A$2:$A$301,0), Skills!M15+1)</f>
        <v/>
      </c>
      <c r="F1058">
        <f>IF(Skills!N15=TRUE,(Skills!L15/10)*(E1058/1000),Skills!L15/10)+Skills!O15</f>
        <v/>
      </c>
      <c r="G1058">
        <f>Skills!G15*IF(Skills!H15&gt;0,Skills!I15/Skills!H15,1)</f>
        <v/>
      </c>
      <c r="H1058">
        <f>1-(1-Skills!J15/100)^Skills!K15</f>
        <v/>
      </c>
      <c r="I1058" t="inlineStr">
        <is>
          <t>1</t>
        </is>
      </c>
      <c r="J1058" t="inlineStr"/>
      <c r="K1058" t="inlineStr"/>
      <c r="L1058" t="inlineStr"/>
      <c r="M1058" t="inlineStr"/>
      <c r="N1058" t="inlineStr"/>
      <c r="O1058">
        <f>(1-Summary!$B$55)*T1058+Summary!$B$55*V1058</f>
        <v/>
      </c>
      <c r="P1058">
        <f>IF(B1082=0,0,O1058/B1082)</f>
        <v/>
      </c>
      <c r="Q1058">
        <f>IFERROR(1/IF(Inputs!$B$39="pvp",15,MAX(0.1,Skills!D15-IF(Skills!E15=TRUE,Inputs!$B$33,0))),0)</f>
        <v/>
      </c>
      <c r="R1058">
        <f>IF(AND(Inputs!$B$39&lt;&gt;"pvp",Inputs!$B$44&gt;0),IF(Inputs!$B$44&lt;=0,0,(INT(Inputs!$B$44/IF(Inputs!$B$39="pvp",15,MAX(0.1,Skills!D15-IF(Skills!E15=TRUE,Inputs!$B$33,0))))+1)),0)</f>
        <v/>
      </c>
      <c r="S1058">
        <f>IFERROR(O1058/N1058,0)</f>
        <v/>
      </c>
      <c r="T1058" t="n">
        <v>0</v>
      </c>
      <c r="V1058" t="n">
        <v>0</v>
      </c>
    </row>
    <row r="1059">
      <c r="A1059">
        <f>Skills!A16</f>
        <v/>
      </c>
      <c r="B1059">
        <f>Skills!B16</f>
        <v/>
      </c>
      <c r="C1059">
        <f>Inputs!$B$3&gt;=45</f>
        <v/>
      </c>
      <c r="D1059">
        <f>IF(Skills!C16=1,60+Inputs!$B$26+Inputs!$B$30,IF(Skills!C16=2,90+Inputs!$B$27+Inputs!$B$30,IF(Skills!C16=3,120+Inputs!$B$28+Inputs!$B$30,MAX(0,(Inputs!$B$3-100)*3)+Inputs!$B$29+Inputs!$B$30)))</f>
        <v/>
      </c>
      <c r="E1059">
        <f>INDEX(FactorTable!$B$2:$Y$301, MATCH(ROUND(MIN(300,MAX(1,D1059)),0), FactorTable!$A$2:$A$301,0), Skills!M16+1)</f>
        <v/>
      </c>
      <c r="F1059">
        <f>IF(Skills!N16=TRUE,(Skills!L16/10)*(E1059/1000),Skills!L16/10)+Skills!O16</f>
        <v/>
      </c>
      <c r="G1059">
        <f>Skills!G16*IF(Skills!H16&gt;0,Skills!I16/Skills!H16,1)</f>
        <v/>
      </c>
      <c r="H1059">
        <f>1-(1-Skills!J16/100)^Skills!K16</f>
        <v/>
      </c>
      <c r="I1059" t="inlineStr">
        <is>
          <t>1</t>
        </is>
      </c>
      <c r="J1059" t="inlineStr"/>
      <c r="K1059" t="inlineStr"/>
      <c r="L1059" t="inlineStr"/>
      <c r="M1059" t="inlineStr"/>
      <c r="N1059" t="inlineStr"/>
      <c r="O1059">
        <f>(1-Summary!$B$55)*T1059+Summary!$B$55*V1059</f>
        <v/>
      </c>
      <c r="P1059">
        <f>IF(B1082=0,0,O1059/B1082)</f>
        <v/>
      </c>
      <c r="Q1059">
        <f>IFERROR(1/IF(Inputs!$B$39="pvp",15,MAX(0.1,Skills!D16-IF(Skills!E16=TRUE,Inputs!$B$33,0))),0)</f>
        <v/>
      </c>
      <c r="R1059">
        <f>IF(AND(Inputs!$B$39&lt;&gt;"pvp",Inputs!$B$44&gt;0),IF(Inputs!$B$44&lt;=0,0,(INT(Inputs!$B$44/IF(Inputs!$B$39="pvp",15,MAX(0.1,Skills!D16-IF(Skills!E16=TRUE,Inputs!$B$33,0))))+1)),0)</f>
        <v/>
      </c>
      <c r="S1059">
        <f>IFERROR(O1059/N1059,0)</f>
        <v/>
      </c>
      <c r="T1059" t="n">
        <v>0</v>
      </c>
      <c r="V1059" t="n">
        <v>0</v>
      </c>
    </row>
    <row r="1060">
      <c r="A1060">
        <f>Skills!A17</f>
        <v/>
      </c>
      <c r="B1060">
        <f>Skills!B17</f>
        <v/>
      </c>
      <c r="C1060">
        <f>Inputs!$B$3&gt;=35</f>
        <v/>
      </c>
      <c r="D1060">
        <f>IF(Skills!C17=1,60+Inputs!$B$26+Inputs!$B$30,IF(Skills!C17=2,90+Inputs!$B$27+Inputs!$B$30,IF(Skills!C17=3,120+Inputs!$B$28+Inputs!$B$30,MAX(0,(Inputs!$B$3-100)*3)+Inputs!$B$29+Inputs!$B$30)))</f>
        <v/>
      </c>
      <c r="E1060">
        <f>INDEX(FactorTable!$B$2:$Y$301, MATCH(ROUND(MIN(300,MAX(1,D1060)),0), FactorTable!$A$2:$A$301,0), Skills!M17+1)</f>
        <v/>
      </c>
      <c r="F1060">
        <f>IF(Skills!N17=TRUE,(Skills!L17/10)*(E1060/1000),Skills!L17/10)+Skills!O17</f>
        <v/>
      </c>
      <c r="G1060">
        <f>Skills!G17*IF(Skills!H17&gt;0,Skills!I17/Skills!H17,1)</f>
        <v/>
      </c>
      <c r="H1060">
        <f>1-(1-Skills!J17/100)^Skills!K17</f>
        <v/>
      </c>
      <c r="I1060" t="inlineStr">
        <is>
          <t>1</t>
        </is>
      </c>
      <c r="J1060" t="inlineStr"/>
      <c r="K1060" t="inlineStr"/>
      <c r="L1060" t="inlineStr"/>
      <c r="M1060" t="inlineStr"/>
      <c r="N1060" t="inlineStr"/>
      <c r="O1060">
        <f>(1-Summary!$B$55)*T1060+Summary!$B$55*V1060</f>
        <v/>
      </c>
      <c r="P1060">
        <f>IF(B1082=0,0,O1060/B1082)</f>
        <v/>
      </c>
      <c r="Q1060">
        <f>IFERROR(1/IF(Inputs!$B$39="pvp",15,MAX(0.1,Skills!D17-IF(Skills!E17=TRUE,Inputs!$B$33,0))),0)</f>
        <v/>
      </c>
      <c r="R1060">
        <f>IF(AND(Inputs!$B$39&lt;&gt;"pvp",Inputs!$B$44&gt;0),IF(Inputs!$B$44&lt;=0,0,(INT(Inputs!$B$44/IF(Inputs!$B$39="pvp",15,MAX(0.1,Skills!D17-IF(Skills!E17=TRUE,Inputs!$B$33,0))))+1)),0)</f>
        <v/>
      </c>
      <c r="S1060">
        <f>IFERROR(O1060/N1060,0)</f>
        <v/>
      </c>
      <c r="T1060" t="n">
        <v>0</v>
      </c>
      <c r="V1060" t="n">
        <v>0</v>
      </c>
    </row>
    <row r="1061">
      <c r="A1061">
        <f>Skills!A18</f>
        <v/>
      </c>
      <c r="B1061">
        <f>Skills!B18</f>
        <v/>
      </c>
      <c r="C1061">
        <f>Inputs!$B$3&gt;=72</f>
        <v/>
      </c>
      <c r="D1061">
        <f>IF(Skills!C18=1,60+Inputs!$B$26+Inputs!$B$30,IF(Skills!C18=2,90+Inputs!$B$27+Inputs!$B$30,IF(Skills!C18=3,120+Inputs!$B$28+Inputs!$B$30,MAX(0,(Inputs!$B$3-100)*3)+Inputs!$B$29+Inputs!$B$30)))</f>
        <v/>
      </c>
      <c r="E1061">
        <f>INDEX(FactorTable!$B$2:$Y$301, MATCH(ROUND(MIN(300,MAX(1,D1061)),0), FactorTable!$A$2:$A$301,0), Skills!M18+1)</f>
        <v/>
      </c>
      <c r="F1061">
        <f>IF(Skills!N18=TRUE,(Skills!L18/10)*(E1061/1000),Skills!L18/10)+Skills!O18</f>
        <v/>
      </c>
      <c r="G1061">
        <f>Skills!G18*IF(Skills!H18&gt;0,Skills!I18/Skills!H18,1)</f>
        <v/>
      </c>
      <c r="H1061">
        <f>1-(1-Skills!J18/100)^Skills!K18</f>
        <v/>
      </c>
      <c r="I1061" t="inlineStr">
        <is>
          <t>1</t>
        </is>
      </c>
      <c r="J1061" t="inlineStr"/>
      <c r="K1061" t="inlineStr"/>
      <c r="L1061" t="inlineStr"/>
      <c r="M1061" t="inlineStr"/>
      <c r="N1061" t="inlineStr"/>
      <c r="O1061">
        <f>(1-Summary!$B$55)*T1061+Summary!$B$55*V1061</f>
        <v/>
      </c>
      <c r="P1061">
        <f>IF(B1082=0,0,O1061/B1082)</f>
        <v/>
      </c>
      <c r="Q1061">
        <f>IFERROR(1/IF(Inputs!$B$39="pvp",15,MAX(0.1,Skills!D18-IF(Skills!E18=TRUE,Inputs!$B$33,0))),0)</f>
        <v/>
      </c>
      <c r="R1061">
        <f>IF(AND(Inputs!$B$39&lt;&gt;"pvp",Inputs!$B$44&gt;0),IF(Inputs!$B$44&lt;=0,0,(INT(Inputs!$B$44/IF(Inputs!$B$39="pvp",15,MAX(0.1,Skills!D18-IF(Skills!E18=TRUE,Inputs!$B$33,0))))+1)),0)</f>
        <v/>
      </c>
      <c r="S1061">
        <f>IFERROR(O1061/N1061,0)</f>
        <v/>
      </c>
      <c r="T1061" t="n">
        <v>0</v>
      </c>
      <c r="V1061" t="n">
        <v>0</v>
      </c>
    </row>
    <row r="1062">
      <c r="A1062">
        <f>Skills!A19</f>
        <v/>
      </c>
      <c r="B1062">
        <f>Skills!B19</f>
        <v/>
      </c>
      <c r="C1062">
        <f>Inputs!$B$3&gt;=72</f>
        <v/>
      </c>
      <c r="D1062">
        <f>IF(Skills!C19=1,60+Inputs!$B$26+Inputs!$B$30,IF(Skills!C19=2,90+Inputs!$B$27+Inputs!$B$30,IF(Skills!C19=3,120+Inputs!$B$28+Inputs!$B$30,MAX(0,(Inputs!$B$3-100)*3)+Inputs!$B$29+Inputs!$B$30)))</f>
        <v/>
      </c>
      <c r="E1062">
        <f>INDEX(FactorTable!$B$2:$Y$301, MATCH(ROUND(MIN(300,MAX(1,D1062)),0), FactorTable!$A$2:$A$301,0), Skills!M19+1)</f>
        <v/>
      </c>
      <c r="F1062">
        <f>IF(Skills!N19=TRUE,(Skills!L19/10)*(E1062/1000),Skills!L19/10)+Skills!O19</f>
        <v/>
      </c>
      <c r="G1062">
        <f>Skills!G19*IF(Skills!H19&gt;0,Skills!I19/Skills!H19,1)</f>
        <v/>
      </c>
      <c r="H1062">
        <f>1-(1-Skills!J19/100)^Skills!K19</f>
        <v/>
      </c>
      <c r="I1062" t="inlineStr">
        <is>
          <t>1</t>
        </is>
      </c>
      <c r="J1062" t="inlineStr"/>
      <c r="K1062" t="inlineStr"/>
      <c r="L1062" t="inlineStr"/>
      <c r="M1062" t="inlineStr"/>
      <c r="N1062" t="inlineStr"/>
      <c r="O1062">
        <f>(1-Summary!$B$55)*T1062+Summary!$B$55*V1062</f>
        <v/>
      </c>
      <c r="P1062">
        <f>IF(B1082=0,0,O1062/B1082)</f>
        <v/>
      </c>
      <c r="Q1062">
        <f>IFERROR(1/IF(Inputs!$B$39="pvp",15,MAX(0.1,Skills!D19-IF(Skills!E19=TRUE,Inputs!$B$33,0))),0)</f>
        <v/>
      </c>
      <c r="R1062">
        <f>IF(AND(Inputs!$B$39&lt;&gt;"pvp",Inputs!$B$44&gt;0),IF(Inputs!$B$44&lt;=0,0,(INT(Inputs!$B$44/IF(Inputs!$B$39="pvp",15,MAX(0.1,Skills!D19-IF(Skills!E19=TRUE,Inputs!$B$33,0))))+1)),0)</f>
        <v/>
      </c>
      <c r="S1062">
        <f>IFERROR(O1062/N1062,0)</f>
        <v/>
      </c>
      <c r="T1062" t="n">
        <v>0</v>
      </c>
      <c r="V1062" t="n">
        <v>0</v>
      </c>
    </row>
    <row r="1063">
      <c r="A1063">
        <f>Skills!A20</f>
        <v/>
      </c>
      <c r="B1063">
        <f>Skills!B20</f>
        <v/>
      </c>
      <c r="C1063">
        <f>TRUE</f>
        <v/>
      </c>
      <c r="D1063">
        <f>IF(Skills!C20=1,60+Inputs!$B$26+Inputs!$B$30,IF(Skills!C20=2,90+Inputs!$B$27+Inputs!$B$30,IF(Skills!C20=3,120+Inputs!$B$28+Inputs!$B$30,MAX(0,(Inputs!$B$3-100)*3)+Inputs!$B$29+Inputs!$B$30)))</f>
        <v/>
      </c>
      <c r="E1063">
        <f>INDEX(FactorTable!$B$2:$Y$301, MATCH(ROUND(MIN(300,MAX(1,D1063)),0), FactorTable!$A$2:$A$301,0), Skills!M20+1)</f>
        <v/>
      </c>
      <c r="F1063">
        <f>IF(Skills!N20=TRUE,(Skills!L20/10)*(E1063/1000),Skills!L20/10)+Skills!O20</f>
        <v/>
      </c>
      <c r="G1063">
        <f>Skills!G20*IF(Skills!H20&gt;0,Skills!I20/Skills!H20,1)</f>
        <v/>
      </c>
      <c r="H1063">
        <f>1-(1-Skills!J20/100)^Skills!K20</f>
        <v/>
      </c>
      <c r="I1063" t="inlineStr">
        <is>
          <t>1</t>
        </is>
      </c>
      <c r="J1063" t="inlineStr"/>
      <c r="K1063" t="inlineStr"/>
      <c r="L1063" t="inlineStr"/>
      <c r="M1063" t="inlineStr"/>
      <c r="N1063" t="inlineStr"/>
      <c r="O1063">
        <f>(1-Summary!$B$55)*T1063+Summary!$B$55*V1063</f>
        <v/>
      </c>
      <c r="P1063">
        <f>IF(B1082=0,0,O1063/B1082)</f>
        <v/>
      </c>
      <c r="Q1063">
        <f>IFERROR(1/IF(Inputs!$B$39="pvp",15,MAX(0.1,Skills!D20-IF(Skills!E20=TRUE,Inputs!$B$33,0))),0)</f>
        <v/>
      </c>
      <c r="R1063">
        <f>IF(AND(Inputs!$B$39&lt;&gt;"pvp",Inputs!$B$44&gt;0),IF(Inputs!$B$44&lt;=0,0,(INT(Inputs!$B$44/IF(Inputs!$B$39="pvp",15,MAX(0.1,Skills!D20-IF(Skills!E20=TRUE,Inputs!$B$33,0))))+1)),0)</f>
        <v/>
      </c>
      <c r="S1063">
        <f>IFERROR(O1063/N1063,0)</f>
        <v/>
      </c>
      <c r="T1063" t="n">
        <v>0</v>
      </c>
      <c r="V1063" t="n">
        <v>0</v>
      </c>
    </row>
    <row r="1064">
      <c r="A1064">
        <f>Skills!A21</f>
        <v/>
      </c>
      <c r="B1064">
        <f>Skills!B21</f>
        <v/>
      </c>
      <c r="C1064">
        <f>Inputs!$B$3&gt;=33</f>
        <v/>
      </c>
      <c r="D1064">
        <f>IF(Skills!C21=1,60+Inputs!$B$26+Inputs!$B$30,IF(Skills!C21=2,90+Inputs!$B$27+Inputs!$B$30,IF(Skills!C21=3,120+Inputs!$B$28+Inputs!$B$30,MAX(0,(Inputs!$B$3-100)*3)+Inputs!$B$29+Inputs!$B$30)))</f>
        <v/>
      </c>
      <c r="E1064">
        <f>INDEX(FactorTable!$B$2:$Y$301, MATCH(ROUND(MIN(300,MAX(1,D1064)),0), FactorTable!$A$2:$A$301,0), Skills!M21+1)</f>
        <v/>
      </c>
      <c r="F1064">
        <f>IF(Skills!N21=TRUE,(Skills!L21/10)*(E1064/1000),Skills!L21/10)+Skills!O21</f>
        <v/>
      </c>
      <c r="G1064">
        <f>Skills!G21*IF(Skills!H21&gt;0,Skills!I21/Skills!H21,1)</f>
        <v/>
      </c>
      <c r="H1064">
        <f>1-(1-Skills!J21/100)^Skills!K21</f>
        <v/>
      </c>
      <c r="I1064" t="inlineStr">
        <is>
          <t>1</t>
        </is>
      </c>
      <c r="J1064" t="inlineStr"/>
      <c r="K1064" t="inlineStr"/>
      <c r="L1064" t="inlineStr"/>
      <c r="M1064" t="inlineStr"/>
      <c r="N1064" t="inlineStr"/>
      <c r="O1064">
        <f>(1-Summary!$B$55)*T1064+Summary!$B$55*V1064</f>
        <v/>
      </c>
      <c r="P1064">
        <f>IF(B1082=0,0,O1064/B1082)</f>
        <v/>
      </c>
      <c r="Q1064" t="n">
        <v>0</v>
      </c>
      <c r="R1064" t="n">
        <v>0</v>
      </c>
      <c r="S1064">
        <f>IFERROR(O1064/N1064,0)</f>
        <v/>
      </c>
      <c r="T1064" t="n">
        <v>0</v>
      </c>
      <c r="V1064" t="n">
        <v>0</v>
      </c>
    </row>
    <row r="1065">
      <c r="A1065">
        <f>Skills!A22</f>
        <v/>
      </c>
      <c r="B1065">
        <f>Skills!B22</f>
        <v/>
      </c>
      <c r="C1065">
        <f>Inputs!$B$3&gt;=43</f>
        <v/>
      </c>
      <c r="D1065">
        <f>IF(Skills!C22=1,60+Inputs!$B$26+Inputs!$B$30,IF(Skills!C22=2,90+Inputs!$B$27+Inputs!$B$30,IF(Skills!C22=3,120+Inputs!$B$28+Inputs!$B$30,MAX(0,(Inputs!$B$3-100)*3)+Inputs!$B$29+Inputs!$B$30)))</f>
        <v/>
      </c>
      <c r="E1065">
        <f>INDEX(FactorTable!$B$2:$Y$301, MATCH(ROUND(MIN(300,MAX(1,D1065)),0), FactorTable!$A$2:$A$301,0), Skills!M22+1)</f>
        <v/>
      </c>
      <c r="F1065">
        <f>IF(Skills!N22=TRUE,(Skills!L22/10)*(E1065/1000),Skills!L22/10)+Skills!O22</f>
        <v/>
      </c>
      <c r="G1065">
        <f>Skills!G22*IF(Skills!H22&gt;0,Skills!I22/Skills!H22,1)</f>
        <v/>
      </c>
      <c r="H1065">
        <f>1-(1-Skills!J22/100)^Skills!K22</f>
        <v/>
      </c>
      <c r="I1065" t="inlineStr">
        <is>
          <t>1</t>
        </is>
      </c>
      <c r="J1065" t="inlineStr"/>
      <c r="K1065" t="inlineStr"/>
      <c r="L1065" t="inlineStr"/>
      <c r="M1065" t="inlineStr"/>
      <c r="N1065" t="inlineStr"/>
      <c r="O1065">
        <f>(1-Summary!$B$55)*T1065+Summary!$B$55*V1065</f>
        <v/>
      </c>
      <c r="P1065">
        <f>IF(B1082=0,0,O1065/B1082)</f>
        <v/>
      </c>
      <c r="Q1065" t="n">
        <v>0</v>
      </c>
      <c r="R1065" t="n">
        <v>0</v>
      </c>
      <c r="S1065">
        <f>IFERROR(O1065/N1065,0)</f>
        <v/>
      </c>
      <c r="T1065" t="n">
        <v>0</v>
      </c>
      <c r="V1065" t="n">
        <v>0</v>
      </c>
    </row>
    <row r="1066">
      <c r="A1066">
        <f>Skills!A23</f>
        <v/>
      </c>
      <c r="B1066">
        <f>Skills!B23</f>
        <v/>
      </c>
      <c r="C1066">
        <f>Inputs!$B$3&gt;=120</f>
        <v/>
      </c>
      <c r="D1066">
        <f>IF(Skills!C23=1,60+Inputs!$B$26+Inputs!$B$30,IF(Skills!C23=2,90+Inputs!$B$27+Inputs!$B$30,IF(Skills!C23=3,120+Inputs!$B$28+Inputs!$B$30,MAX(0,(Inputs!$B$3-100)*3)+Inputs!$B$29+Inputs!$B$30)))</f>
        <v/>
      </c>
      <c r="E1066">
        <f>INDEX(FactorTable!$B$2:$Y$301, MATCH(ROUND(MIN(300,MAX(1,D1066)),0), FactorTable!$A$2:$A$301,0), Skills!M23+1)</f>
        <v/>
      </c>
      <c r="F1066">
        <f>IF(Skills!N23=TRUE,(Skills!L23/10)*(E1066/1000),Skills!L23/10)+Skills!O23</f>
        <v/>
      </c>
      <c r="G1066">
        <f>Skills!G23*IF(Skills!H23&gt;0,Skills!I23/Skills!H23,1)</f>
        <v/>
      </c>
      <c r="H1066">
        <f>1-(1-Skills!J23/100)^Skills!K23</f>
        <v/>
      </c>
      <c r="I1066" t="inlineStr">
        <is>
          <t>1</t>
        </is>
      </c>
      <c r="J1066" t="inlineStr"/>
      <c r="K1066" t="inlineStr"/>
      <c r="L1066" t="inlineStr"/>
      <c r="M1066" t="inlineStr"/>
      <c r="N1066" t="inlineStr"/>
      <c r="O1066">
        <f>(1-Summary!$B$55)*T1066+Summary!$B$55*V1066</f>
        <v/>
      </c>
      <c r="P1066">
        <f>IF(B1082=0,0,O1066/B1082)</f>
        <v/>
      </c>
      <c r="Q1066" t="n">
        <v>0</v>
      </c>
      <c r="R1066" t="n">
        <v>0</v>
      </c>
      <c r="S1066">
        <f>IFERROR(O1066/N1066,0)</f>
        <v/>
      </c>
      <c r="T1066" t="n">
        <v>0</v>
      </c>
      <c r="V1066" t="n">
        <v>0</v>
      </c>
    </row>
    <row r="1067">
      <c r="A1067">
        <f>Skills!A24</f>
        <v/>
      </c>
      <c r="B1067">
        <f>Skills!B24</f>
        <v/>
      </c>
      <c r="C1067">
        <f>Inputs!$B$3&gt;=120</f>
        <v/>
      </c>
      <c r="D1067">
        <f>IF(Skills!C24=1,60+Inputs!$B$26+Inputs!$B$30,IF(Skills!C24=2,90+Inputs!$B$27+Inputs!$B$30,IF(Skills!C24=3,120+Inputs!$B$28+Inputs!$B$30,MAX(0,(Inputs!$B$3-100)*3)+Inputs!$B$29+Inputs!$B$30)))</f>
        <v/>
      </c>
      <c r="E1067">
        <f>INDEX(FactorTable!$B$2:$Y$301, MATCH(ROUND(MIN(300,MAX(1,D1067)),0), FactorTable!$A$2:$A$301,0), Skills!M24+1)</f>
        <v/>
      </c>
      <c r="F1067">
        <f>IF(Skills!N24=TRUE,(Skills!L24/10)*(E1067/1000),Skills!L24/10)+Skills!O24</f>
        <v/>
      </c>
      <c r="G1067">
        <f>Skills!G24*IF(Skills!H24&gt;0,Skills!I24/Skills!H24,1)</f>
        <v/>
      </c>
      <c r="H1067">
        <f>1-(1-Skills!J24/100)^Skills!K24</f>
        <v/>
      </c>
      <c r="I1067" t="inlineStr">
        <is>
          <t>1</t>
        </is>
      </c>
      <c r="J1067" t="inlineStr"/>
      <c r="K1067" t="inlineStr"/>
      <c r="L1067" t="inlineStr"/>
      <c r="M1067" t="inlineStr"/>
      <c r="N1067" t="inlineStr"/>
      <c r="O1067">
        <f>(1-Summary!$B$55)*T1067+Summary!$B$55*V1067</f>
        <v/>
      </c>
      <c r="P1067">
        <f>IF(B1082=0,0,O1067/B1082)</f>
        <v/>
      </c>
      <c r="Q1067" t="n">
        <v>0</v>
      </c>
      <c r="R1067" t="n">
        <v>0</v>
      </c>
      <c r="S1067">
        <f>IFERROR(O1067/N1067,0)</f>
        <v/>
      </c>
      <c r="T1067" t="n">
        <v>0</v>
      </c>
      <c r="V1067" t="n">
        <v>0</v>
      </c>
    </row>
    <row r="1068">
      <c r="A1068">
        <f>Skills!A25</f>
        <v/>
      </c>
      <c r="B1068">
        <f>Skills!B25</f>
        <v/>
      </c>
      <c r="C1068">
        <f>Inputs!$B$3&gt;=125</f>
        <v/>
      </c>
      <c r="D1068">
        <f>IF(Skills!C25=1,60+Inputs!$B$26+Inputs!$B$30,IF(Skills!C25=2,90+Inputs!$B$27+Inputs!$B$30,IF(Skills!C25=3,120+Inputs!$B$28+Inputs!$B$30,MAX(0,(Inputs!$B$3-100)*3)+Inputs!$B$29+Inputs!$B$30)))</f>
        <v/>
      </c>
      <c r="E1068">
        <f>INDEX(FactorTable!$B$2:$Y$301, MATCH(ROUND(MIN(300,MAX(1,D1068)),0), FactorTable!$A$2:$A$301,0), Skills!M25+1)</f>
        <v/>
      </c>
      <c r="F1068">
        <f>IF(Skills!N25=TRUE,(Skills!L25/10)*(E1068/1000),Skills!L25/10)+Skills!O25</f>
        <v/>
      </c>
      <c r="G1068">
        <f>Skills!G25*IF(Skills!H25&gt;0,Skills!I25/Skills!H25,1)</f>
        <v/>
      </c>
      <c r="H1068">
        <f>1-(1-Skills!J25/100)^Skills!K25</f>
        <v/>
      </c>
      <c r="I1068" t="inlineStr">
        <is>
          <t>1</t>
        </is>
      </c>
      <c r="J1068" t="inlineStr"/>
      <c r="K1068" t="inlineStr"/>
      <c r="L1068" t="inlineStr"/>
      <c r="M1068" t="inlineStr"/>
      <c r="N1068" t="inlineStr"/>
      <c r="O1068">
        <f>(1-Summary!$B$55)*T1068+Summary!$B$55*V1068</f>
        <v/>
      </c>
      <c r="P1068">
        <f>IF(B1082=0,0,O1068/B1082)</f>
        <v/>
      </c>
      <c r="Q1068" t="n">
        <v>0</v>
      </c>
      <c r="R1068" t="n">
        <v>0</v>
      </c>
      <c r="S1068">
        <f>IFERROR(O1068/N1068,0)</f>
        <v/>
      </c>
      <c r="T1068" t="n">
        <v>0</v>
      </c>
      <c r="V1068" t="n">
        <v>0</v>
      </c>
    </row>
    <row r="1069">
      <c r="A1069">
        <f>Skills!A26</f>
        <v/>
      </c>
      <c r="B1069">
        <f>Skills!B26</f>
        <v/>
      </c>
      <c r="C1069">
        <f>Inputs!$B$3&gt;=107</f>
        <v/>
      </c>
      <c r="D1069">
        <f>IF(Skills!C26=1,60+Inputs!$B$26+Inputs!$B$30,IF(Skills!C26=2,90+Inputs!$B$27+Inputs!$B$30,IF(Skills!C26=3,120+Inputs!$B$28+Inputs!$B$30,MAX(0,(Inputs!$B$3-100)*3)+Inputs!$B$29+Inputs!$B$30)))</f>
        <v/>
      </c>
      <c r="E1069">
        <f>INDEX(FactorTable!$B$2:$Y$301, MATCH(ROUND(MIN(300,MAX(1,D1069)),0), FactorTable!$A$2:$A$301,0), Skills!M26+1)</f>
        <v/>
      </c>
      <c r="F1069">
        <f>IF(Skills!N26=TRUE,(Skills!L26/10)*(E1069/1000),Skills!L26/10)+Skills!O26</f>
        <v/>
      </c>
      <c r="G1069">
        <f>Skills!G26*IF(Skills!H26&gt;0,Skills!I26/Skills!H26,1)</f>
        <v/>
      </c>
      <c r="H1069">
        <f>1-(1-Skills!J26/100)^Skills!K26</f>
        <v/>
      </c>
      <c r="I1069" t="inlineStr">
        <is>
          <t>1</t>
        </is>
      </c>
      <c r="J1069" t="inlineStr"/>
      <c r="K1069" t="inlineStr"/>
      <c r="L1069" t="inlineStr"/>
      <c r="M1069" t="inlineStr"/>
      <c r="N1069" t="inlineStr"/>
      <c r="O1069">
        <f>(1-Summary!$B$55)*T1069+Summary!$B$55*V1069</f>
        <v/>
      </c>
      <c r="P1069">
        <f>IF(B1082=0,0,O1069/B1082)</f>
        <v/>
      </c>
      <c r="Q1069" t="n">
        <v>0</v>
      </c>
      <c r="R1069" t="n">
        <v>0</v>
      </c>
      <c r="S1069">
        <f>IFERROR(O1069/N1069,0)</f>
        <v/>
      </c>
      <c r="T1069" t="n">
        <v>0</v>
      </c>
      <c r="V1069" t="n">
        <v>0</v>
      </c>
    </row>
    <row r="1071">
      <c r="A1071" t="inlineStr">
        <is>
          <t>Attack% Bucket Multiplier</t>
        </is>
      </c>
      <c r="B1071">
        <f>(1+(((C1056=TRUE)*F1056*IF(AND(Inputs!$B$39&lt;&gt;"pvp",Inputs!$B$44&gt;0),(((R1056-1)*(Skills!T13*(1+Inputs!$B$35/100))+MIN((Skills!T13*(1+Inputs!$B$35/100)),MAX(0,Inputs!$B$44-((R1056-1)*Skills!D13))))/Inputs!$B$44),IF(Inputs!$B$39="pvp",MIN((Skills!T13*(1+Inputs!$B$35/100)),15)/15,(Skills!T13*(1+Inputs!$B$35/100))/Skills!D13)))+((C1057=TRUE)*F1057*IF(AND(Inputs!$B$39&lt;&gt;"pvp",Inputs!$B$44&gt;0),(((R1057-1)*(Skills!T14*(1+Inputs!$B$35/100))+MIN((Skills!T14*(1+Inputs!$B$35/100)),MAX(0,Inputs!$B$44-((R1057-1)*Skills!D14))))/Inputs!$B$44),IF(Inputs!$B$39="pvp",MIN((Skills!T14*(1+Inputs!$B$35/100)),15)/15,(Skills!T14*(1+Inputs!$B$35/100))/Skills!D14)))+((C1058=TRUE)*F1058*IF(AND(Inputs!$B$39&lt;&gt;"pvp",Inputs!$B$44&gt;0),(((R1058-1)*(Skills!T15*(1+Inputs!$B$35/100))+MIN((Skills!T15*(1+Inputs!$B$35/100)),MAX(0,Inputs!$B$44-((R1058-1)*Skills!D15))))/Inputs!$B$44),IF(Inputs!$B$39="pvp",MIN((Skills!T15*(1+Inputs!$B$35/100)),15)/15,(Skills!T15*(1+Inputs!$B$35/100))/Skills!D15)))+((C1059=TRUE)*F1059*IF(AND(Inputs!$B$39&lt;&gt;"pvp",Inputs!$B$44&gt;0),(((R1059-1)*(Skills!T16*(1+Inputs!$B$35/100))+MIN((Skills!T16*(1+Inputs!$B$35/100)),MAX(0,Inputs!$B$44-((R1059-1)*Skills!D16))))/Inputs!$B$44),IF(Inputs!$B$39="pvp",MIN((Skills!T16*(1+Inputs!$B$35/100)),15)/15,(Skills!T16*(1+Inputs!$B$35/100))/Skills!D16)))+0)/100)</f>
        <v/>
      </c>
    </row>
    <row r="1072">
      <c r="A1072" t="inlineStr">
        <is>
          <t>Global Crit Rate Bonus % (Lord of Darkness)</t>
        </is>
      </c>
      <c r="B1072">
        <f>((C1061=TRUE)*F1061*(Skills!J18/100)*IF(AND(Inputs!$B$39&lt;&gt;"pvp",Inputs!$B$44&gt;0),(((R1061-1)*(Skills!T18*(1+Inputs!$B$35/100))+MIN((Skills!T18*(1+Inputs!$B$35/100)),MAX(0,Inputs!$B$44-((R1061-1)*Skills!D18))))/Inputs!$B$44),IF(Inputs!$B$39="pvp",MIN((Skills!T18*(1+Inputs!$B$35/100)),15)/15,(Skills!T18*(1+Inputs!$B$35/100))/Skills!D18)))</f>
        <v/>
      </c>
    </row>
    <row r="1073">
      <c r="A1073" t="inlineStr">
        <is>
          <t>Attack Speed Buff Bonus %</t>
        </is>
      </c>
      <c r="B1073">
        <f>((C1063=TRUE)*F1063*IF(AND(Inputs!$B$39&lt;&gt;"pvp",Inputs!$B$44&gt;0),(((R1063-1)*(Skills!T20*(1+Inputs!$B$35/100))+MIN((Skills!T20*(1+Inputs!$B$35/100)),MAX(0,Inputs!$B$44-((R1063-1)*Skills!D20))))/Inputs!$B$44),IF(Inputs!$B$39="pvp",MIN((Skills!T20*(1+Inputs!$B$35/100)),15)/15,(Skills!T20*(1+Inputs!$B$35/100))/Skills!D20)))</f>
        <v/>
      </c>
    </row>
    <row r="1074">
      <c r="A1074" t="inlineStr">
        <is>
          <t>Actions Per Second</t>
        </is>
      </c>
      <c r="B1074">
        <f>1+MIN(150,150*(1-(1-(Inputs!$B$12+((C1064=TRUE)*(F1064-Calc!F21)))/150)*(1-B1073/150)))/100</f>
        <v/>
      </c>
    </row>
    <row r="1075">
      <c r="A1075" t="inlineStr">
        <is>
          <t>Skill + Buff Cast Rate</t>
        </is>
      </c>
      <c r="B1075">
        <f>IF(AND(Inputs!$B$39&lt;&gt;"pvp",Inputs!$B$44&gt;0),SUMPRODUCT((Skills!E2:E26=TRUE)*(C1045:C1069=TRUE)*R1045:R1069*Skills!F2:F26)/Inputs!$B$44,SUMPRODUCT((Skills!E2:E26=TRUE)*(C1045:C1069=TRUE)*Q1045:Q1069*Skills!F2:F26))</f>
        <v/>
      </c>
    </row>
    <row r="1076">
      <c r="A1076" t="inlineStr">
        <is>
          <t>Dark Impale Casts Per Second</t>
        </is>
      </c>
      <c r="B1076">
        <f>MAX(0,B1074-B1075)</f>
        <v/>
      </c>
    </row>
    <row r="1077">
      <c r="A1077" t="inlineStr">
        <is>
          <t>Global Critical Damage Bonus % (Lord of Darkness)</t>
        </is>
      </c>
      <c r="B1077">
        <f>((C1062=TRUE)*F1062*(Skills!J19/100)*IF(AND(Inputs!$B$39&lt;&gt;"pvp",Inputs!$B$44&gt;0),(((R1062-1)*(Skills!T19*(1+Inputs!$B$35/100))+MIN((Skills!T19*(1+Inputs!$B$35/100)),MAX(0,Inputs!$B$44-((R1062-1)*Skills!D19))))/Inputs!$B$44),IF(Inputs!$B$39="pvp",MIN((Skills!T19*(1+Inputs!$B$35/100)),15)/15,(Skills!T19*(1+Inputs!$B$35/100))/Skills!D19)))</f>
        <v/>
      </c>
    </row>
    <row r="1078">
      <c r="A1078" t="inlineStr">
        <is>
          <t>Global Final Damage Bonus % (unused)</t>
        </is>
      </c>
      <c r="B1078" t="n">
        <v>0</v>
      </c>
    </row>
    <row r="1079">
      <c r="A1079" t="inlineStr">
        <is>
          <t>Buff-Casting Startup Delay (s, fixed-duration only)</t>
        </is>
      </c>
      <c r="B1079">
        <f>IF(AND(Inputs!$B$39&lt;&gt;"pvp",Inputs!$B$44&gt;0),SUMPRODUCT((Skills!T2:T26&gt;0)*(Skills!E2:E26=TRUE)*(C1045:C1069=TRUE))/B1074,0)</f>
        <v/>
      </c>
    </row>
    <row r="1080">
      <c r="A1080" t="inlineStr">
        <is>
          <t>Boss-Only Total DPS (this block's swept value)</t>
        </is>
      </c>
      <c r="B1080">
        <f>SUM(T1045:T1069)</f>
        <v/>
      </c>
    </row>
    <row r="1081">
      <c r="A1081" t="inlineStr">
        <is>
          <t>Normal-Only Total DPS (this block's swept value)</t>
        </is>
      </c>
      <c r="B1081">
        <f>SUM(V1045:V1069)</f>
        <v/>
      </c>
    </row>
    <row r="1082">
      <c r="A1082" s="5" t="inlineStr">
        <is>
          <t>TOTAL DPS</t>
        </is>
      </c>
      <c r="B1082" s="5">
        <f>SUM(O1045:O1069)</f>
        <v/>
      </c>
    </row>
    <row r="1085">
      <c r="A1085" s="5" t="inlineStr">
        <is>
          <t>Stat: Skill Cooldown Decrease (seconds)</t>
        </is>
      </c>
    </row>
    <row r="1086">
      <c r="A1086" s="9" t="inlineStr">
        <is>
          <t>Key</t>
        </is>
      </c>
      <c r="B1086" s="9" t="inlineStr">
        <is>
          <t>Name</t>
        </is>
      </c>
      <c r="C1086" s="9" t="inlineStr">
        <is>
          <t>Unlocked</t>
        </is>
      </c>
      <c r="D1086" s="9" t="inlineStr">
        <is>
          <t>InputLevel</t>
        </is>
      </c>
      <c r="E1086" s="9" t="inlineStr">
        <is>
          <t>Factor</t>
        </is>
      </c>
      <c r="F1086" s="9" t="inlineStr">
        <is>
          <t>CoefficientPercent</t>
        </is>
      </c>
      <c r="G1086" s="9" t="inlineStr">
        <is>
          <t>EffectiveHits</t>
        </is>
      </c>
      <c r="H1086" s="9" t="inlineStr">
        <is>
          <t>ProcProbability</t>
        </is>
      </c>
      <c r="I1086" s="9" t="inlineStr">
        <is>
          <t>MapleHeroMultiplier</t>
        </is>
      </c>
      <c r="J1086" s="9" t="inlineStr">
        <is>
          <t>BaseDamage</t>
        </is>
      </c>
      <c r="K1086" s="9" t="inlineStr">
        <is>
          <t>BaseHitDamage</t>
        </is>
      </c>
      <c r="L1086" s="9" t="inlineStr">
        <is>
          <t>NonCritAvg</t>
        </is>
      </c>
      <c r="M1086" s="9" t="inlineStr">
        <is>
          <t>CritAvg</t>
        </is>
      </c>
      <c r="N1086" s="9" t="inlineStr">
        <is>
          <t>ExpectedDamage(perHit)</t>
        </is>
      </c>
      <c r="O1086" s="9" t="inlineStr">
        <is>
          <t>DPS</t>
        </is>
      </c>
      <c r="P1086" s="9" t="inlineStr">
        <is>
          <t>% of Total</t>
        </is>
      </c>
      <c r="Q1086" s="9" t="inlineStr">
        <is>
          <t>InvCooldown</t>
        </is>
      </c>
      <c r="R1086" s="9" t="inlineStr">
        <is>
          <t>CastsInFight</t>
        </is>
      </c>
      <c r="S1086" s="9" t="inlineStr">
        <is>
          <t>HitRate(perSec)</t>
        </is>
      </c>
      <c r="U1086" t="inlineStr">
        <is>
          <t>helpers</t>
        </is>
      </c>
    </row>
    <row r="1087">
      <c r="A1087">
        <f>Skills!A2</f>
        <v/>
      </c>
      <c r="B1087">
        <f>Skills!B2</f>
        <v/>
      </c>
      <c r="C1087">
        <f>Inputs!$B$3&gt;=100</f>
        <v/>
      </c>
      <c r="D1087" t="inlineStr"/>
      <c r="E1087" t="inlineStr"/>
      <c r="F1087">
        <f>U1089+Skills!O2</f>
        <v/>
      </c>
      <c r="G1087">
        <f>Skills!G2*IF(Skills!H2&gt;0,Skills!I2/Skills!H2,1)</f>
        <v/>
      </c>
      <c r="H1087">
        <f>1-(1-Skills!J2/100)^Skills!K2</f>
        <v/>
      </c>
      <c r="I1087" t="inlineStr">
        <is>
          <t>1</t>
        </is>
      </c>
      <c r="J1087">
        <f>((Inputs!$B$6*(1+Inputs!$B$7/100))+(((Inputs!$B$13*(1+Inputs!$B$14/100))-(Inputs!$B$13*(1+Inputs!$B$14/100)))+0.25*(Inputs!$B$15-Inputs!$B$15))*(1+Inputs!$B$7/100))*(F1087/100)</f>
        <v/>
      </c>
      <c r="K1087">
        <f>J1087*(1+(((Inputs!$B$13+IF(Inputs!$B$3&gt;=38,(10*INDEX(FactorTable!$B$2:$Y$301, MATCH(ROUND(MIN(300,MAX(1,Inputs!$B$3)),0), FactorTable!$A$2:$A$301,0), 23)/1000)/100*(Inputs!$B$8*(1+Inputs!$B$9/100)),0))*(1+Inputs!$B$14/100))*0.01+Inputs!$B$15*0.0025)/100)*(1+Inputs!$B$16/100)*(1+Inputs!$B$17/100)*(5000/(6000+Inputs!$B$43*(1-(Inputs!$B$20+0)/100)))*(1+(Inputs!$B$25+((C1110=TRUE)*(F1110-Calc!F25))+((C1111=TRUE)*(F1111-Calc!F26))+B1120)/100)*(1+(IF(Skills!A2="DARK_IMPALE",Inputs!$B$18+0,Inputs!$B$19+((C1108=TRUE)*(F1108-Calc!F23))))/100)*((1+(((C1098=TRUE)*F1098*IF(AND(Inputs!$B$39&lt;&gt;"pvp",Inputs!$B$44&gt;0),(((R1098-1)*(Skills!T13*(1+Inputs!$B$35/100))+MIN((Skills!T13*(1+Inputs!$B$35/100)),MAX(0,Inputs!$B$44-((R1098-1)*Skills!D13))))/Inputs!$B$44),IF(Inputs!$B$39="pvp",MIN((Skills!T13*(1+Inputs!$B$35/100)),15)/15,(Skills!T13*(1+Inputs!$B$35/100))/Skills!D13)))+((C1099=TRUE)*F1099*IF(AND(Inputs!$B$39&lt;&gt;"pvp",Inputs!$B$44&gt;0),(((R1099-1)*(Skills!T14*(1+Inputs!$B$35/100))+MIN((Skills!T14*(1+Inputs!$B$35/100)),MAX(0,Inputs!$B$44-((R1099-1)*Skills!D14))))/Inputs!$B$44),IF(Inputs!$B$39="pvp",MIN((Skills!T14*(1+Inputs!$B$35/100)),15)/15,(Skills!T14*(1+Inputs!$B$35/100))/Skills!D14)))+((C1100=TRUE)*F1100*IF(AND(Inputs!$B$39&lt;&gt;"pvp",Inputs!$B$44&gt;0),(((R1100-1)*(Skills!T15*(1+Inputs!$B$35/100))+MIN((Skills!T15*(1+Inputs!$B$35/100)),MAX(0,Inputs!$B$44-((R1100-1)*Skills!D15))))/Inputs!$B$44),IF(Inputs!$B$39="pvp",MIN((Skills!T15*(1+Inputs!$B$35/100)),15)/15,(Skills!T15*(1+Inputs!$B$35/100))/Skills!D15)))+((C1101=TRUE)*F1101*IF(AND(Inputs!$B$39&lt;&gt;"pvp",Inputs!$B$44&gt;0),(((R1101-1)*(Skills!T16*(1+Inputs!$B$35/100))+MIN((Skills!T16*(1+Inputs!$B$35/100)),MAX(0,Inputs!$B$44-((R1101-1)*Skills!D16))))/Inputs!$B$44),IF(Inputs!$B$39="pvp",MIN((Skills!T16*(1+Inputs!$B$35/100)),15)/15,(Skills!T16*(1+Inputs!$B$35/100))/Skills!D16)))+0)/100)*I1087)</f>
        <v/>
      </c>
      <c r="L1087">
        <f>K1087*(MIN(Inputs!$B$23+((C1107=TRUE)*(F1107-Calc!F22)),Inputs!$B$24+((C1109=TRUE)*(F1109-Calc!F24)))/100+(Inputs!$B$24+((C1109=TRUE)*(F1109-Calc!F24)))/100)/2</f>
        <v/>
      </c>
      <c r="M1087">
        <f>L1087*(1+(Inputs!$B$11+0+B1119)/100)</f>
        <v/>
      </c>
      <c r="N1087">
        <f>L1087*(1-MIN((Inputs!$B$10+0+B1114),100)/100)+M1087*(MIN((Inputs!$B$10+0+B1114),100)/100)</f>
        <v/>
      </c>
      <c r="O1087">
        <f>(1-Summary!$B$55)*T1087+Summary!$B$55*V1087</f>
        <v/>
      </c>
      <c r="P1087">
        <f>IF(B1124=0,0,O1087/B1124)</f>
        <v/>
      </c>
      <c r="Q1087" t="n">
        <v>0</v>
      </c>
      <c r="R1087" t="n">
        <v>0</v>
      </c>
      <c r="S1087">
        <f>IFERROR(O1087/N1087,0)</f>
        <v/>
      </c>
      <c r="T1087">
        <f>IF(C1087,(Skills!G2*N1087*B1118)*IF(Inputs!$B$39="pvp",1,1+(Inputs!$B$21+0+Skills!P2+((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0)</f>
        <v/>
      </c>
      <c r="U1087">
        <f>MAX(0,(Inputs!$B$3-100)*3)+Inputs!$B$29+Inputs!$B$30</f>
        <v/>
      </c>
      <c r="V1087">
        <f>IF(C1087,(Skills!G2*N1087*B1118)*IF(Inputs!$B$39="pvp",1,(1+(Inputs!$B$22+Skills!Q2+((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MIN((6+Inputs!$B$34),Inputs!$B$38))),0)</f>
        <v/>
      </c>
    </row>
    <row r="1088">
      <c r="A1088">
        <f>Skills!A3</f>
        <v/>
      </c>
      <c r="B1088">
        <f>Skills!B3</f>
        <v/>
      </c>
      <c r="C1088">
        <f>Inputs!$B$3&gt;=50</f>
        <v/>
      </c>
      <c r="D1088">
        <f>IF(Skills!C3=1,60+Inputs!$B$26+Inputs!$B$30,IF(Skills!C3=2,90+Inputs!$B$27+Inputs!$B$30,IF(Skills!C3=3,120+Inputs!$B$28+Inputs!$B$30,MAX(0,(Inputs!$B$3-100)*3)+Inputs!$B$29+Inputs!$B$30)))</f>
        <v/>
      </c>
      <c r="E1088">
        <f>INDEX(FactorTable!$B$2:$Y$301, MATCH(ROUND(MIN(300,MAX(1,D1088)),0), FactorTable!$A$2:$A$301,0), Skills!M3+1)</f>
        <v/>
      </c>
      <c r="F1088">
        <f>IF(Skills!N3=TRUE,(Skills!L3/10)*(E1088/1000),Skills!L3/10)+Skills!O3</f>
        <v/>
      </c>
      <c r="G1088" t="inlineStr"/>
      <c r="H1088" t="inlineStr"/>
      <c r="I1088" t="inlineStr">
        <is>
          <t>1</t>
        </is>
      </c>
      <c r="J1088" t="inlineStr"/>
      <c r="K1088" t="inlineStr"/>
      <c r="L1088" t="inlineStr"/>
      <c r="M1088" t="inlineStr"/>
      <c r="N1088" t="inlineStr"/>
      <c r="O1088" t="inlineStr"/>
      <c r="P1088" t="inlineStr"/>
      <c r="Q1088" t="inlineStr"/>
      <c r="R1088" t="inlineStr"/>
      <c r="S1088" t="inlineStr"/>
      <c r="U1088">
        <f>INDEX(FactorTable!$B$2:$Y$301, MATCH(ROUND(MIN(300,MAX(1,U1087)),0), FactorTable!$A$2:$A$301,0), 22)</f>
        <v/>
      </c>
    </row>
    <row r="1089">
      <c r="A1089">
        <f>Skills!A4</f>
        <v/>
      </c>
      <c r="B1089">
        <f>Skills!B4</f>
        <v/>
      </c>
      <c r="C1089">
        <f>Inputs!$B$3&gt;=105</f>
        <v/>
      </c>
      <c r="D1089">
        <f>IF(Skills!C4=1,60+Inputs!$B$26+Inputs!$B$30,IF(Skills!C4=2,90+Inputs!$B$27+Inputs!$B$30,IF(Skills!C4=3,120+Inputs!$B$28+Inputs!$B$30,MAX(0,(Inputs!$B$3-100)*3)+Inputs!$B$29+Inputs!$B$30)))</f>
        <v/>
      </c>
      <c r="E1089">
        <f>INDEX(FactorTable!$B$2:$Y$301, MATCH(ROUND(MIN(300,MAX(1,D1089)),0), FactorTable!$A$2:$A$301,0), Skills!M4+1)</f>
        <v/>
      </c>
      <c r="F1089">
        <f>IF(Skills!N4=TRUE,(Skills!L4/10)*(E1089/1000),Skills!L4/10)+Skills!O4</f>
        <v/>
      </c>
      <c r="G1089" t="inlineStr"/>
      <c r="H1089" t="inlineStr"/>
      <c r="I1089" t="inlineStr">
        <is>
          <t>1</t>
        </is>
      </c>
      <c r="J1089" t="inlineStr"/>
      <c r="K1089" t="inlineStr"/>
      <c r="L1089" t="inlineStr"/>
      <c r="M1089" t="inlineStr"/>
      <c r="N1089" t="inlineStr"/>
      <c r="O1089" t="inlineStr"/>
      <c r="P1089" t="inlineStr"/>
      <c r="Q1089" t="inlineStr"/>
      <c r="R1089" t="inlineStr"/>
      <c r="S1089" t="inlineStr"/>
      <c r="U1089">
        <f>290*U1088/1000</f>
        <v/>
      </c>
    </row>
    <row r="1090">
      <c r="A1090">
        <f>Skills!A5</f>
        <v/>
      </c>
      <c r="B1090">
        <f>Skills!B5</f>
        <v/>
      </c>
      <c r="C1090">
        <f>Inputs!$B$3&gt;=117</f>
        <v/>
      </c>
      <c r="D1090">
        <f>IF(Skills!C5=1,60+Inputs!$B$26+Inputs!$B$30,IF(Skills!C5=2,90+Inputs!$B$27+Inputs!$B$30,IF(Skills!C5=3,120+Inputs!$B$28+Inputs!$B$30,MAX(0,(Inputs!$B$3-100)*3)+Inputs!$B$29+Inputs!$B$30)))</f>
        <v/>
      </c>
      <c r="E1090">
        <f>INDEX(FactorTable!$B$2:$Y$301, MATCH(ROUND(MIN(300,MAX(1,D1090)),0), FactorTable!$A$2:$A$301,0), Skills!M5+1)</f>
        <v/>
      </c>
      <c r="F1090">
        <f>IF(Skills!N5=TRUE,(Skills!L5/10)*(E1090/1000),Skills!L5/10)+Skills!O5</f>
        <v/>
      </c>
      <c r="G1090">
        <f>Skills!G5*IF(Skills!H5&gt;0,Skills!I5/Skills!H5,1)</f>
        <v/>
      </c>
      <c r="H1090">
        <f>1-(1-Skills!J5/100)^Skills!K5</f>
        <v/>
      </c>
      <c r="I1090" t="inlineStr">
        <is>
          <t>1</t>
        </is>
      </c>
      <c r="J1090">
        <f>((Inputs!$B$6*(1+Inputs!$B$7/100))+(((Inputs!$B$13*(1+Inputs!$B$14/100))-(Inputs!$B$13*(1+Inputs!$B$14/100)))+0.25*(Inputs!$B$15-Inputs!$B$15))*(1+Inputs!$B$7/100))*(F1090/100)</f>
        <v/>
      </c>
      <c r="K1090">
        <f>J1090*(1+(((Inputs!$B$13+IF(Inputs!$B$3&gt;=38,(10*INDEX(FactorTable!$B$2:$Y$301, MATCH(ROUND(MIN(300,MAX(1,Inputs!$B$3)),0), FactorTable!$A$2:$A$301,0), 23)/1000)/100*(Inputs!$B$8*(1+Inputs!$B$9/100)),0))*(1+Inputs!$B$14/100))*0.01+Inputs!$B$15*0.0025)/100)*(1+Inputs!$B$16/100)*(1+Inputs!$B$17/100)*(5000/(6000+Inputs!$B$43*(1-(Inputs!$B$20+0)/100)))*(1+(Inputs!$B$25+((C1110=TRUE)*(F1110-Calc!F25))+((C1111=TRUE)*(F1111-Calc!F26))+B1120)/100)*(1+(IF(Skills!A5="DARK_IMPALE",Inputs!$B$18+0,Inputs!$B$19+((C1108=TRUE)*(F1108-Calc!F23))))/100)*((1+(((C1098=TRUE)*F1098*IF(AND(Inputs!$B$39&lt;&gt;"pvp",Inputs!$B$44&gt;0),(((R1098-1)*(Skills!T13*(1+Inputs!$B$35/100))+MIN((Skills!T13*(1+Inputs!$B$35/100)),MAX(0,Inputs!$B$44-((R1098-1)*Skills!D13))))/Inputs!$B$44),IF(Inputs!$B$39="pvp",MIN((Skills!T13*(1+Inputs!$B$35/100)),15)/15,(Skills!T13*(1+Inputs!$B$35/100))/Skills!D13)))+((C1099=TRUE)*F1099*IF(AND(Inputs!$B$39&lt;&gt;"pvp",Inputs!$B$44&gt;0),(((R1099-1)*(Skills!T14*(1+Inputs!$B$35/100))+MIN((Skills!T14*(1+Inputs!$B$35/100)),MAX(0,Inputs!$B$44-((R1099-1)*Skills!D14))))/Inputs!$B$44),IF(Inputs!$B$39="pvp",MIN((Skills!T14*(1+Inputs!$B$35/100)),15)/15,(Skills!T14*(1+Inputs!$B$35/100))/Skills!D14)))+((C1100=TRUE)*F1100*IF(AND(Inputs!$B$39&lt;&gt;"pvp",Inputs!$B$44&gt;0),(((R1100-1)*(Skills!T15*(1+Inputs!$B$35/100))+MIN((Skills!T15*(1+Inputs!$B$35/100)),MAX(0,Inputs!$B$44-((R1100-1)*Skills!D15))))/Inputs!$B$44),IF(Inputs!$B$39="pvp",MIN((Skills!T15*(1+Inputs!$B$35/100)),15)/15,(Skills!T15*(1+Inputs!$B$35/100))/Skills!D15)))+((C1101=TRUE)*F1101*IF(AND(Inputs!$B$39&lt;&gt;"pvp",Inputs!$B$44&gt;0),(((R1101-1)*(Skills!T16*(1+Inputs!$B$35/100))+MIN((Skills!T16*(1+Inputs!$B$35/100)),MAX(0,Inputs!$B$44-((R1101-1)*Skills!D16))))/Inputs!$B$44),IF(Inputs!$B$39="pvp",MIN((Skills!T16*(1+Inputs!$B$35/100)),15)/15,(Skills!T16*(1+Inputs!$B$35/100))/Skills!D16)))+0)/100)*I1090)</f>
        <v/>
      </c>
      <c r="L1090">
        <f>K1090*(MIN(Inputs!$B$23+((C1107=TRUE)*(F1107-Calc!F22)),Inputs!$B$24+((C1109=TRUE)*(F1109-Calc!F24)))/100+(Inputs!$B$24+((C1109=TRUE)*(F1109-Calc!F24)))/100)/2</f>
        <v/>
      </c>
      <c r="M1090">
        <f>L1090*(1+(Inputs!$B$11+0+B1119)/100)</f>
        <v/>
      </c>
      <c r="N1090">
        <f>L1090*(1-MIN((Inputs!$B$10+0+B1114),100)/100)+M1090*(MIN((Inputs!$B$10+0+B1114),100)/100)</f>
        <v/>
      </c>
      <c r="O1090">
        <f>(1-Summary!$B$55)*T1090+Summary!$B$55*V1090</f>
        <v/>
      </c>
      <c r="P1090">
        <f>IF(B1124=0,0,O1090/B1124)</f>
        <v/>
      </c>
      <c r="Q1090">
        <f>IFERROR(1/IF(Inputs!$B$39="pvp",15,MAX(0.1,Skills!D5-IF(Skills!E5=TRUE,(Inputs!$B$33+1),0))),0)</f>
        <v/>
      </c>
      <c r="R1090">
        <f>IF(AND(Inputs!$B$39&lt;&gt;"pvp",Inputs!$B$44&gt;0),IF(MAX(0,Inputs!$B$44-B1121)&lt;=0,0,(INT(MAX(0,Inputs!$B$44-B1121)/IF(Inputs!$B$39="pvp",15,MAX(0.1,Skills!D5-IF(Skills!E5=TRUE,(Inputs!$B$33+1),0))))+1)),0)</f>
        <v/>
      </c>
      <c r="S1090">
        <f>IFERROR(O1090/N1090,0)</f>
        <v/>
      </c>
      <c r="T1090">
        <f>IF(C1090,(H1090*N1090*IF(AND(Inputs!$B$39&lt;&gt;"pvp",Inputs!$B$44&gt;0),((Skills!G5*((R1090-1)*IF(Skills!H5&gt;0,Skills!I5/Skills!H5,1)+IF(Skills!H5&gt;0,MIN(Skills!I5,MAX(0,MAX(0,Inputs!$B$44-B1121)-((R1090-1)*IF(Inputs!$B$39="pvp",15,MAX(0.1,Skills!D5-IF(Skills!E5=TRUE,(Inputs!$B$33+1),0))))))/Skills!H5,1)))/Inputs!$B$44),G1090*Q1090))*IF(Inputs!$B$39="pvp",1,1+(Inputs!$B$21+0+Skills!P5+((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0)</f>
        <v/>
      </c>
      <c r="V1090">
        <f>IF(C1090,(H1090*N1090*IF(AND(Inputs!$B$39&lt;&gt;"pvp",Inputs!$B$44&gt;0),((Skills!G5*((R1090-1)*IF(Skills!H5&gt;0,Skills!I5/Skills!H5,1)+IF(Skills!H5&gt;0,MIN(Skills!I5,MAX(0,MAX(0,Inputs!$B$44-B1121)-((R1090-1)*IF(Inputs!$B$39="pvp",15,MAX(0.1,Skills!D5-IF(Skills!E5=TRUE,(Inputs!$B$33+1),0))))))/Skills!H5,1)))/Inputs!$B$44),G1090*Q1090))*IF(Inputs!$B$39="pvp",1,(1+(Inputs!$B$22+Skills!Q5+((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MIN(Skills!R5,Inputs!$B$38))),0)</f>
        <v/>
      </c>
    </row>
    <row r="1091">
      <c r="A1091">
        <f>Skills!A6</f>
        <v/>
      </c>
      <c r="B1091">
        <f>Skills!B6</f>
        <v/>
      </c>
      <c r="C1091">
        <f>Inputs!$B$3&gt;=103</f>
        <v/>
      </c>
      <c r="D1091">
        <f>IF(Skills!C6=1,60+Inputs!$B$26+Inputs!$B$30,IF(Skills!C6=2,90+Inputs!$B$27+Inputs!$B$30,IF(Skills!C6=3,120+Inputs!$B$28+Inputs!$B$30,MAX(0,(Inputs!$B$3-100)*3)+Inputs!$B$29+Inputs!$B$30)))</f>
        <v/>
      </c>
      <c r="E1091">
        <f>INDEX(FactorTable!$B$2:$Y$301, MATCH(ROUND(MIN(300,MAX(1,D1091)),0), FactorTable!$A$2:$A$301,0), Skills!M6+1)</f>
        <v/>
      </c>
      <c r="F1091">
        <f>IF(Skills!N6=TRUE,(Skills!L6/10)*(E1091/1000),Skills!L6/10)+Skills!O6</f>
        <v/>
      </c>
      <c r="G1091">
        <f>Skills!G6*IF(Skills!H6&gt;0,Skills!I6/Skills!H6,1)</f>
        <v/>
      </c>
      <c r="H1091">
        <f>1-(1-Skills!J6/100)^Skills!K6</f>
        <v/>
      </c>
      <c r="I1091" t="inlineStr">
        <is>
          <t>1</t>
        </is>
      </c>
      <c r="J1091">
        <f>((Inputs!$B$6*(1+Inputs!$B$7/100))+(((Inputs!$B$13*(1+Inputs!$B$14/100))-(Inputs!$B$13*(1+Inputs!$B$14/100)))+0.25*(Inputs!$B$15-Inputs!$B$15))*(1+Inputs!$B$7/100))*(F1091/100)</f>
        <v/>
      </c>
      <c r="K1091">
        <f>J1091*(1+(((Inputs!$B$13+IF(Inputs!$B$3&gt;=38,(10*INDEX(FactorTable!$B$2:$Y$301, MATCH(ROUND(MIN(300,MAX(1,Inputs!$B$3)),0), FactorTable!$A$2:$A$301,0), 23)/1000)/100*(Inputs!$B$8*(1+Inputs!$B$9/100)),0))*(1+Inputs!$B$14/100))*0.01+Inputs!$B$15*0.0025)/100)*(1+Inputs!$B$16/100)*(1+Inputs!$B$17/100)*(5000/(6000+Inputs!$B$43*(1-(Inputs!$B$20+0)/100)))*(1+(Inputs!$B$25+((C1110=TRUE)*(F1110-Calc!F25))+((C1111=TRUE)*(F1111-Calc!F26))+B1120)/100)*(1+(IF(Skills!A6="DARK_IMPALE",Inputs!$B$18+0,Inputs!$B$19+((C1108=TRUE)*(F1108-Calc!F23))))/100)*((1+(((C1098=TRUE)*F1098*IF(AND(Inputs!$B$39&lt;&gt;"pvp",Inputs!$B$44&gt;0),(((R1098-1)*(Skills!T13*(1+Inputs!$B$35/100))+MIN((Skills!T13*(1+Inputs!$B$35/100)),MAX(0,Inputs!$B$44-((R1098-1)*Skills!D13))))/Inputs!$B$44),IF(Inputs!$B$39="pvp",MIN((Skills!T13*(1+Inputs!$B$35/100)),15)/15,(Skills!T13*(1+Inputs!$B$35/100))/Skills!D13)))+((C1099=TRUE)*F1099*IF(AND(Inputs!$B$39&lt;&gt;"pvp",Inputs!$B$44&gt;0),(((R1099-1)*(Skills!T14*(1+Inputs!$B$35/100))+MIN((Skills!T14*(1+Inputs!$B$35/100)),MAX(0,Inputs!$B$44-((R1099-1)*Skills!D14))))/Inputs!$B$44),IF(Inputs!$B$39="pvp",MIN((Skills!T14*(1+Inputs!$B$35/100)),15)/15,(Skills!T14*(1+Inputs!$B$35/100))/Skills!D14)))+((C1100=TRUE)*F1100*IF(AND(Inputs!$B$39&lt;&gt;"pvp",Inputs!$B$44&gt;0),(((R1100-1)*(Skills!T15*(1+Inputs!$B$35/100))+MIN((Skills!T15*(1+Inputs!$B$35/100)),MAX(0,Inputs!$B$44-((R1100-1)*Skills!D15))))/Inputs!$B$44),IF(Inputs!$B$39="pvp",MIN((Skills!T15*(1+Inputs!$B$35/100)),15)/15,(Skills!T15*(1+Inputs!$B$35/100))/Skills!D15)))+((C1101=TRUE)*F1101*IF(AND(Inputs!$B$39&lt;&gt;"pvp",Inputs!$B$44&gt;0),(((R1101-1)*(Skills!T16*(1+Inputs!$B$35/100))+MIN((Skills!T16*(1+Inputs!$B$35/100)),MAX(0,Inputs!$B$44-((R1101-1)*Skills!D16))))/Inputs!$B$44),IF(Inputs!$B$39="pvp",MIN((Skills!T16*(1+Inputs!$B$35/100)),15)/15,(Skills!T16*(1+Inputs!$B$35/100))/Skills!D16)))+0)/100)*I1091)</f>
        <v/>
      </c>
      <c r="L1091">
        <f>K1091*(MIN(Inputs!$B$23+((C1107=TRUE)*(F1107-Calc!F22)),Inputs!$B$24+((C1109=TRUE)*(F1109-Calc!F24)))/100+(Inputs!$B$24+((C1109=TRUE)*(F1109-Calc!F24)))/100)/2</f>
        <v/>
      </c>
      <c r="M1091">
        <f>L1091*(1+(Inputs!$B$11+0+B1119)/100)</f>
        <v/>
      </c>
      <c r="N1091">
        <f>L1091*(1-MIN((Inputs!$B$10+0+B1114),100)/100)+M1091*(MIN((Inputs!$B$10+0+B1114),100)/100)</f>
        <v/>
      </c>
      <c r="O1091">
        <f>(1-Summary!$B$55)*T1091+Summary!$B$55*V1091</f>
        <v/>
      </c>
      <c r="P1091">
        <f>IF(B1124=0,0,O1091/B1124)</f>
        <v/>
      </c>
      <c r="Q1091">
        <f>IFERROR(1/IF(Inputs!$B$39="pvp",15,MAX(0.1,Skills!D6-IF(Skills!E6=TRUE,(Inputs!$B$33+1),0))),0)</f>
        <v/>
      </c>
      <c r="R1091">
        <f>IF(AND(Inputs!$B$39&lt;&gt;"pvp",Inputs!$B$44&gt;0),IF(MAX(0,Inputs!$B$44-B1121)&lt;=0,0,(INT(MAX(0,Inputs!$B$44-B1121)/IF(Inputs!$B$39="pvp",15,MAX(0.1,Skills!D6-IF(Skills!E6=TRUE,(Inputs!$B$33+1),0))))+1)),0)</f>
        <v/>
      </c>
      <c r="S1091">
        <f>IFERROR(O1091/N1091,0)</f>
        <v/>
      </c>
      <c r="T1091">
        <f>IF(C1091,(H1091*N1091*IF(AND(Inputs!$B$39&lt;&gt;"pvp",Inputs!$B$44&gt;0),((Skills!G6*((R1091-1)*IF(Skills!H6&gt;0,Skills!I6/Skills!H6,1)+IF(Skills!H6&gt;0,MIN(Skills!I6,MAX(0,MAX(0,Inputs!$B$44-B1121)-((R1091-1)*IF(Inputs!$B$39="pvp",15,MAX(0.1,Skills!D6-IF(Skills!E6=TRUE,(Inputs!$B$33+1),0))))))/Skills!H6,1)))/Inputs!$B$44),G1091*Q1091))*IF(Inputs!$B$39="pvp",1,1+(Inputs!$B$21+0+Skills!P6+((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0)</f>
        <v/>
      </c>
      <c r="V1091">
        <f>IF(C1091,(H1091*N1091*IF(AND(Inputs!$B$39&lt;&gt;"pvp",Inputs!$B$44&gt;0),((Skills!G6*((R1091-1)*IF(Skills!H6&gt;0,Skills!I6/Skills!H6,1)+IF(Skills!H6&gt;0,MIN(Skills!I6,MAX(0,MAX(0,Inputs!$B$44-B1121)-((R1091-1)*IF(Inputs!$B$39="pvp",15,MAX(0.1,Skills!D6-IF(Skills!E6=TRUE,(Inputs!$B$33+1),0))))))/Skills!H6,1)))/Inputs!$B$44),G1091*Q1091))*IF(Inputs!$B$39="pvp",1,(1+(Inputs!$B$22+Skills!Q6+((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MIN(Skills!R6,Inputs!$B$38))),0)</f>
        <v/>
      </c>
    </row>
    <row r="1092">
      <c r="A1092">
        <f>Skills!A7</f>
        <v/>
      </c>
      <c r="B1092">
        <f>Skills!B7</f>
        <v/>
      </c>
      <c r="C1092">
        <f>Inputs!$B$3&gt;=40</f>
        <v/>
      </c>
      <c r="D1092">
        <f>IF(Skills!C7=1,60+Inputs!$B$26+Inputs!$B$30,IF(Skills!C7=2,90+Inputs!$B$27+Inputs!$B$30,IF(Skills!C7=3,120+Inputs!$B$28+Inputs!$B$30,MAX(0,(Inputs!$B$3-100)*3)+Inputs!$B$29+Inputs!$B$30)))</f>
        <v/>
      </c>
      <c r="E1092">
        <f>INDEX(FactorTable!$B$2:$Y$301, MATCH(ROUND(MIN(300,MAX(1,D1092)),0), FactorTable!$A$2:$A$301,0), Skills!M7+1)</f>
        <v/>
      </c>
      <c r="F1092">
        <f>IF(Skills!N7=TRUE,(Skills!L7/10)*(E1092/1000),Skills!L7/10)+Skills!O7</f>
        <v/>
      </c>
      <c r="G1092">
        <f>Skills!G7*IF(Skills!H7&gt;0,Skills!I7/Skills!H7,1)</f>
        <v/>
      </c>
      <c r="H1092">
        <f>1-(1-Skills!J7/100)^Skills!K7</f>
        <v/>
      </c>
      <c r="I1092" t="inlineStr">
        <is>
          <t>1</t>
        </is>
      </c>
      <c r="J1092">
        <f>((Inputs!$B$6*(1+Inputs!$B$7/100))+(((Inputs!$B$13*(1+Inputs!$B$14/100))-(Inputs!$B$13*(1+Inputs!$B$14/100)))+0.25*(Inputs!$B$15-Inputs!$B$15))*(1+Inputs!$B$7/100))*(F1092/100)</f>
        <v/>
      </c>
      <c r="K1092">
        <f>J1092*(1+(((Inputs!$B$13+IF(Inputs!$B$3&gt;=38,(10*INDEX(FactorTable!$B$2:$Y$301, MATCH(ROUND(MIN(300,MAX(1,Inputs!$B$3)),0), FactorTable!$A$2:$A$301,0), 23)/1000)/100*(Inputs!$B$8*(1+Inputs!$B$9/100)),0))*(1+Inputs!$B$14/100))*0.01+Inputs!$B$15*0.0025)/100)*(1+Inputs!$B$16/100)*(1+Inputs!$B$17/100)*(5000/(6000+Inputs!$B$43*(1-(Inputs!$B$20+0)/100)))*(1+(Inputs!$B$25+((C1110=TRUE)*(F1110-Calc!F25))+((C1111=TRUE)*(F1111-Calc!F26))+B1120)/100)*(1+0.75*IF(C1096=TRUE,F1096,0)/100)*(1+(IF(Skills!A7="DARK_IMPALE",Inputs!$B$18+0,Inputs!$B$19+((C1108=TRUE)*(F1108-Calc!F23))))/100)*((1+(((C1098=TRUE)*F1098*IF(AND(Inputs!$B$39&lt;&gt;"pvp",Inputs!$B$44&gt;0),(((R1098-1)*(Skills!T13*(1+Inputs!$B$35/100))+MIN((Skills!T13*(1+Inputs!$B$35/100)),MAX(0,Inputs!$B$44-((R1098-1)*Skills!D13))))/Inputs!$B$44),IF(Inputs!$B$39="pvp",MIN((Skills!T13*(1+Inputs!$B$35/100)),15)/15,(Skills!T13*(1+Inputs!$B$35/100))/Skills!D13)))+((C1099=TRUE)*F1099*IF(AND(Inputs!$B$39&lt;&gt;"pvp",Inputs!$B$44&gt;0),(((R1099-1)*(Skills!T14*(1+Inputs!$B$35/100))+MIN((Skills!T14*(1+Inputs!$B$35/100)),MAX(0,Inputs!$B$44-((R1099-1)*Skills!D14))))/Inputs!$B$44),IF(Inputs!$B$39="pvp",MIN((Skills!T14*(1+Inputs!$B$35/100)),15)/15,(Skills!T14*(1+Inputs!$B$35/100))/Skills!D14)))+((C1100=TRUE)*F1100*IF(AND(Inputs!$B$39&lt;&gt;"pvp",Inputs!$B$44&gt;0),(((R1100-1)*(Skills!T15*(1+Inputs!$B$35/100))+MIN((Skills!T15*(1+Inputs!$B$35/100)),MAX(0,Inputs!$B$44-((R1100-1)*Skills!D15))))/Inputs!$B$44),IF(Inputs!$B$39="pvp",MIN((Skills!T15*(1+Inputs!$B$35/100)),15)/15,(Skills!T15*(1+Inputs!$B$35/100))/Skills!D15)))+((C1101=TRUE)*F1101*IF(AND(Inputs!$B$39&lt;&gt;"pvp",Inputs!$B$44&gt;0),(((R1101-1)*(Skills!T16*(1+Inputs!$B$35/100))+MIN((Skills!T16*(1+Inputs!$B$35/100)),MAX(0,Inputs!$B$44-((R1101-1)*Skills!D16))))/Inputs!$B$44),IF(Inputs!$B$39="pvp",MIN((Skills!T16*(1+Inputs!$B$35/100)),15)/15,(Skills!T16*(1+Inputs!$B$35/100))/Skills!D16)))+0)/100)*I1092)</f>
        <v/>
      </c>
      <c r="L1092">
        <f>K1092*(MIN(Inputs!$B$23+((C1107=TRUE)*(F1107-Calc!F22)),Inputs!$B$24+((C1109=TRUE)*(F1109-Calc!F24)))/100+(Inputs!$B$24+((C1109=TRUE)*(F1109-Calc!F24)))/100)/2</f>
        <v/>
      </c>
      <c r="M1092">
        <f>L1092*(1+(Inputs!$B$11+0+B1119)/100)</f>
        <v/>
      </c>
      <c r="N1092">
        <f>L1092*(1-MIN((Inputs!$B$10+0+B1114),100)/100)+M1092*(MIN((Inputs!$B$10+0+B1114),100)/100)</f>
        <v/>
      </c>
      <c r="O1092">
        <f>(1-Summary!$B$55)*T1092+Summary!$B$55*V1092</f>
        <v/>
      </c>
      <c r="P1092">
        <f>IF(B1124=0,0,O1092/B1124)</f>
        <v/>
      </c>
      <c r="Q1092">
        <f>IFERROR(1/IF(Inputs!$B$39="pvp",15,MAX(0.1,Skills!D7-IF(Skills!E7=TRUE,(Inputs!$B$33+1),0))),0)</f>
        <v/>
      </c>
      <c r="R1092">
        <f>IF(AND(Inputs!$B$39&lt;&gt;"pvp",Inputs!$B$44&gt;0),IF(MAX(0,Inputs!$B$44-B1121)&lt;=0,0,(INT(MAX(0,Inputs!$B$44-B1121)/IF(Inputs!$B$39="pvp",15,MAX(0.1,Skills!D7-IF(Skills!E7=TRUE,(Inputs!$B$33+1),0))))+1)),0)</f>
        <v/>
      </c>
      <c r="S1092">
        <f>IFERROR(O1092/N1092,0)</f>
        <v/>
      </c>
      <c r="T1092">
        <f>IF(C1092,(H1092*N1092*IF(AND(Inputs!$B$39&lt;&gt;"pvp",Inputs!$B$44&gt;0),((Skills!G7*((R1092-1)*IF(Skills!H7&gt;0,Skills!I7/Skills!H7,1)+IF(Skills!H7&gt;0,MIN(Skills!I7,MAX(0,MAX(0,Inputs!$B$44-B1121)-((R1092-1)*IF(Inputs!$B$39="pvp",15,MAX(0.1,Skills!D7-IF(Skills!E7=TRUE,(Inputs!$B$33+1),0))))))/Skills!H7,1)))/Inputs!$B$44),G1092*Q1092))*IF(Inputs!$B$39="pvp",1,1+(Inputs!$B$21+0+Skills!P7+((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0)</f>
        <v/>
      </c>
      <c r="V1092">
        <f>IF(C1092,(H1092*N1092*IF(AND(Inputs!$B$39&lt;&gt;"pvp",Inputs!$B$44&gt;0),((Skills!G7*((R1092-1)*IF(Skills!H7&gt;0,Skills!I7/Skills!H7,1)+IF(Skills!H7&gt;0,MIN(Skills!I7,MAX(0,MAX(0,Inputs!$B$44-B1121)-((R1092-1)*IF(Inputs!$B$39="pvp",15,MAX(0.1,Skills!D7-IF(Skills!E7=TRUE,(Inputs!$B$33+1),0))))))/Skills!H7,1)))/Inputs!$B$44),G1092*Q1092))*IF(Inputs!$B$39="pvp",1,(1+(Inputs!$B$22+Skills!Q7+((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MIN(Skills!R7,Inputs!$B$38))),0)</f>
        <v/>
      </c>
    </row>
    <row r="1093">
      <c r="A1093">
        <f>Skills!A8</f>
        <v/>
      </c>
      <c r="B1093">
        <f>Skills!B8</f>
        <v/>
      </c>
      <c r="C1093">
        <f>Inputs!$B$3&gt;=75</f>
        <v/>
      </c>
      <c r="D1093">
        <f>IF(Skills!C8=1,60+Inputs!$B$26+Inputs!$B$30,IF(Skills!C8=2,90+Inputs!$B$27+Inputs!$B$30,IF(Skills!C8=3,120+Inputs!$B$28+Inputs!$B$30,MAX(0,(Inputs!$B$3-100)*3)+Inputs!$B$29+Inputs!$B$30)))</f>
        <v/>
      </c>
      <c r="E1093">
        <f>INDEX(FactorTable!$B$2:$Y$301, MATCH(ROUND(MIN(300,MAX(1,D1093)),0), FactorTable!$A$2:$A$301,0), Skills!M8+1)</f>
        <v/>
      </c>
      <c r="F1093">
        <f>IF(Skills!N8=TRUE,(Skills!L8/10)*(E1093/1000),Skills!L8/10)+Skills!O8</f>
        <v/>
      </c>
      <c r="G1093" t="inlineStr"/>
      <c r="H1093" t="inlineStr"/>
      <c r="I1093" t="inlineStr">
        <is>
          <t>1</t>
        </is>
      </c>
      <c r="J1093" t="inlineStr"/>
      <c r="K1093" t="inlineStr"/>
      <c r="L1093" t="inlineStr"/>
      <c r="M1093" t="inlineStr"/>
      <c r="N1093" t="inlineStr"/>
      <c r="O1093" t="inlineStr"/>
      <c r="P1093" t="inlineStr"/>
      <c r="Q1093" t="inlineStr"/>
      <c r="R1093" t="inlineStr"/>
      <c r="S1093" t="inlineStr"/>
    </row>
    <row r="1094">
      <c r="A1094">
        <f>Skills!A9</f>
        <v/>
      </c>
      <c r="B1094">
        <f>Skills!B9</f>
        <v/>
      </c>
      <c r="C1094">
        <f>Inputs!$B$3&gt;=60</f>
        <v/>
      </c>
      <c r="D1094">
        <f>IF(Skills!C9=1,60+Inputs!$B$26+Inputs!$B$30,IF(Skills!C9=2,90+Inputs!$B$27+Inputs!$B$30,IF(Skills!C9=3,120+Inputs!$B$28+Inputs!$B$30,MAX(0,(Inputs!$B$3-100)*3)+Inputs!$B$29+Inputs!$B$30)))</f>
        <v/>
      </c>
      <c r="E1094">
        <f>INDEX(FactorTable!$B$2:$Y$301, MATCH(ROUND(MIN(300,MAX(1,D1094)),0), FactorTable!$A$2:$A$301,0), Skills!M9+1)</f>
        <v/>
      </c>
      <c r="F1094">
        <f>IF(Skills!N9=TRUE,(Skills!L9/10)*(E1094/1000),Skills!L9/10)+Skills!O9</f>
        <v/>
      </c>
      <c r="G1094">
        <f>Skills!G9*IF(Skills!H9&gt;0,Skills!I9/Skills!H9,1)</f>
        <v/>
      </c>
      <c r="H1094">
        <f>1-(1-Skills!J9/100)^Skills!K9</f>
        <v/>
      </c>
      <c r="I1094" t="inlineStr">
        <is>
          <t>1</t>
        </is>
      </c>
      <c r="J1094">
        <f>((Inputs!$B$6*(1+Inputs!$B$7/100))+(((Inputs!$B$13*(1+Inputs!$B$14/100))-(Inputs!$B$13*(1+Inputs!$B$14/100)))+0.25*(Inputs!$B$15-Inputs!$B$15))*(1+Inputs!$B$7/100))*(F1094/100)</f>
        <v/>
      </c>
      <c r="K1094">
        <f>J1094*(1+(((Inputs!$B$13+IF(Inputs!$B$3&gt;=38,(10*INDEX(FactorTable!$B$2:$Y$301, MATCH(ROUND(MIN(300,MAX(1,Inputs!$B$3)),0), FactorTable!$A$2:$A$301,0), 23)/1000)/100*(Inputs!$B$8*(1+Inputs!$B$9/100)),0))*(1+Inputs!$B$14/100))*0.01+Inputs!$B$15*0.0025)/100)*(1+Inputs!$B$16/100)*(1+Inputs!$B$17/100)*(5000/(6000+Inputs!$B$43*(1-(Inputs!$B$20+0)/100)))*(1+(Inputs!$B$25+((C1110=TRUE)*(F1110-Calc!F25))+((C1111=TRUE)*(F1111-Calc!F26))+B1120)/100)*(1+1.0*IF(C1096=TRUE,F1096,0)/100)*(1+(IF(Skills!A9="DARK_IMPALE",Inputs!$B$18+0,Inputs!$B$19+((C1108=TRUE)*(F1108-Calc!F23))))/100)*((1+(((C1098=TRUE)*F1098*IF(AND(Inputs!$B$39&lt;&gt;"pvp",Inputs!$B$44&gt;0),(((R1098-1)*(Skills!T13*(1+Inputs!$B$35/100))+MIN((Skills!T13*(1+Inputs!$B$35/100)),MAX(0,Inputs!$B$44-((R1098-1)*Skills!D13))))/Inputs!$B$44),IF(Inputs!$B$39="pvp",MIN((Skills!T13*(1+Inputs!$B$35/100)),15)/15,(Skills!T13*(1+Inputs!$B$35/100))/Skills!D13)))+((C1099=TRUE)*F1099*IF(AND(Inputs!$B$39&lt;&gt;"pvp",Inputs!$B$44&gt;0),(((R1099-1)*(Skills!T14*(1+Inputs!$B$35/100))+MIN((Skills!T14*(1+Inputs!$B$35/100)),MAX(0,Inputs!$B$44-((R1099-1)*Skills!D14))))/Inputs!$B$44),IF(Inputs!$B$39="pvp",MIN((Skills!T14*(1+Inputs!$B$35/100)),15)/15,(Skills!T14*(1+Inputs!$B$35/100))/Skills!D14)))+((C1100=TRUE)*F1100*IF(AND(Inputs!$B$39&lt;&gt;"pvp",Inputs!$B$44&gt;0),(((R1100-1)*(Skills!T15*(1+Inputs!$B$35/100))+MIN((Skills!T15*(1+Inputs!$B$35/100)),MAX(0,Inputs!$B$44-((R1100-1)*Skills!D15))))/Inputs!$B$44),IF(Inputs!$B$39="pvp",MIN((Skills!T15*(1+Inputs!$B$35/100)),15)/15,(Skills!T15*(1+Inputs!$B$35/100))/Skills!D15)))+((C1101=TRUE)*F1101*IF(AND(Inputs!$B$39&lt;&gt;"pvp",Inputs!$B$44&gt;0),(((R1101-1)*(Skills!T16*(1+Inputs!$B$35/100))+MIN((Skills!T16*(1+Inputs!$B$35/100)),MAX(0,Inputs!$B$44-((R1101-1)*Skills!D16))))/Inputs!$B$44),IF(Inputs!$B$39="pvp",MIN((Skills!T16*(1+Inputs!$B$35/100)),15)/15,(Skills!T16*(1+Inputs!$B$35/100))/Skills!D16)))+0)/100)*I1094)</f>
        <v/>
      </c>
      <c r="L1094">
        <f>K1094*(MIN(Inputs!$B$23+((C1107=TRUE)*(F1107-Calc!F22)),Inputs!$B$24+((C1109=TRUE)*(F1109-Calc!F24)))/100+(Inputs!$B$24+((C1109=TRUE)*(F1109-Calc!F24)))/100)/2</f>
        <v/>
      </c>
      <c r="M1094">
        <f>L1094*(1+(Inputs!$B$11+0+B1119)/100)</f>
        <v/>
      </c>
      <c r="N1094">
        <f>L1094*(1-MIN((Inputs!$B$10+0+B1114),100)/100)+M1094*(MIN((Inputs!$B$10+0+B1114),100)/100)</f>
        <v/>
      </c>
      <c r="O1094">
        <f>(1-Summary!$B$55)*T1094+Summary!$B$55*V1094</f>
        <v/>
      </c>
      <c r="P1094">
        <f>IF(B1124=0,0,O1094/B1124)</f>
        <v/>
      </c>
      <c r="Q1094">
        <f>IFERROR(1/IF(Inputs!$B$39="pvp",15,MAX(0.1,Skills!D9-IF(Skills!E9=TRUE,(Inputs!$B$33+1),0))),0)</f>
        <v/>
      </c>
      <c r="R1094">
        <f>IF(AND(Inputs!$B$39&lt;&gt;"pvp",Inputs!$B$44&gt;0),IF(MAX(0,Inputs!$B$44-B1121)&lt;=0,0,(INT(MAX(0,Inputs!$B$44-B1121)/IF(Inputs!$B$39="pvp",15,MAX(0.1,Skills!D9-IF(Skills!E9=TRUE,(Inputs!$B$33+1),0))))+1)),0)</f>
        <v/>
      </c>
      <c r="S1094">
        <f>IFERROR(O1094/N1094,0)</f>
        <v/>
      </c>
      <c r="T1094">
        <f>IF(C1094,(H1094*N1094*IF(AND(Inputs!$B$39&lt;&gt;"pvp",Inputs!$B$44&gt;0),((Skills!G9*((R1094-1)*IF(Skills!H9&gt;0,Skills!I9/Skills!H9,1)+IF(Skills!H9&gt;0,MIN(Skills!I9,MAX(0,MAX(0,Inputs!$B$44-B1121)-((R1094-1)*IF(Inputs!$B$39="pvp",15,MAX(0.1,Skills!D9-IF(Skills!E9=TRUE,(Inputs!$B$33+1),0))))))/Skills!H9,1)))/Inputs!$B$44),G1094*Q1094))*IF(Inputs!$B$39="pvp",1,1+(Inputs!$B$21+0+Skills!P9+((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0)</f>
        <v/>
      </c>
      <c r="V1094">
        <f>IF(C1094,(H1094*N1094*IF(AND(Inputs!$B$39&lt;&gt;"pvp",Inputs!$B$44&gt;0),((Skills!G9*((R1094-1)*IF(Skills!H9&gt;0,Skills!I9/Skills!H9,1)+IF(Skills!H9&gt;0,MIN(Skills!I9,MAX(0,MAX(0,Inputs!$B$44-B1121)-((R1094-1)*IF(Inputs!$B$39="pvp",15,MAX(0.1,Skills!D9-IF(Skills!E9=TRUE,(Inputs!$B$33+1),0))))))/Skills!H9,1)))/Inputs!$B$44),G1094*Q1094))*IF(Inputs!$B$39="pvp",1,(1+(Inputs!$B$22+Skills!Q9+((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MIN(Skills!R9,Inputs!$B$38))),0)</f>
        <v/>
      </c>
    </row>
    <row r="1095">
      <c r="A1095">
        <f>Skills!A10</f>
        <v/>
      </c>
      <c r="B1095">
        <f>Skills!B10</f>
        <v/>
      </c>
      <c r="C1095">
        <f>Inputs!$B$3&gt;=110</f>
        <v/>
      </c>
      <c r="D1095">
        <f>IF(Skills!C10=1,60+Inputs!$B$26+Inputs!$B$30,IF(Skills!C10=2,90+Inputs!$B$27+Inputs!$B$30,IF(Skills!C10=3,120+Inputs!$B$28+Inputs!$B$30,MAX(0,(Inputs!$B$3-100)*3)+Inputs!$B$29+Inputs!$B$30)))</f>
        <v/>
      </c>
      <c r="E1095">
        <f>INDEX(FactorTable!$B$2:$Y$301, MATCH(ROUND(MIN(300,MAX(1,D1095)),0), FactorTable!$A$2:$A$301,0), Skills!M10+1)</f>
        <v/>
      </c>
      <c r="F1095">
        <f>IF(Skills!N10=TRUE,(Skills!L10/10)*(E1095/1000),Skills!L10/10)+Skills!O10</f>
        <v/>
      </c>
      <c r="G1095">
        <f>Skills!G10*IF(Skills!H10&gt;0,Skills!I10/Skills!H10,1)</f>
        <v/>
      </c>
      <c r="H1095">
        <f>1-(1-Skills!J10/100)^Skills!K10</f>
        <v/>
      </c>
      <c r="I1095" t="inlineStr">
        <is>
          <t>1</t>
        </is>
      </c>
      <c r="J1095">
        <f>((Inputs!$B$6*(1+Inputs!$B$7/100))+(((Inputs!$B$13*(1+Inputs!$B$14/100))-(Inputs!$B$13*(1+Inputs!$B$14/100)))+0.25*(Inputs!$B$15-Inputs!$B$15))*(1+Inputs!$B$7/100))*(F1095/100)</f>
        <v/>
      </c>
      <c r="K1095">
        <f>J1095*(1+(((Inputs!$B$13+IF(Inputs!$B$3&gt;=38,(10*INDEX(FactorTable!$B$2:$Y$301, MATCH(ROUND(MIN(300,MAX(1,Inputs!$B$3)),0), FactorTable!$A$2:$A$301,0), 23)/1000)/100*(Inputs!$B$8*(1+Inputs!$B$9/100)),0))*(1+Inputs!$B$14/100))*0.01+Inputs!$B$15*0.0025)/100)*(1+Inputs!$B$16/100)*(1+Inputs!$B$17/100)*(5000/(6000+Inputs!$B$43*(1-(Inputs!$B$20+0)/100)))*(1+(Inputs!$B$25+((C1110=TRUE)*(F1110-Calc!F25))+((C1111=TRUE)*(F1111-Calc!F26))+B1120)/100)*(1+(IF(Skills!A10="DARK_IMPALE",Inputs!$B$18+0,Inputs!$B$19+((C1108=TRUE)*(F1108-Calc!F23))))/100)*((1+(((C1098=TRUE)*F1098*IF(AND(Inputs!$B$39&lt;&gt;"pvp",Inputs!$B$44&gt;0),(((R1098-1)*(Skills!T13*(1+Inputs!$B$35/100))+MIN((Skills!T13*(1+Inputs!$B$35/100)),MAX(0,Inputs!$B$44-((R1098-1)*Skills!D13))))/Inputs!$B$44),IF(Inputs!$B$39="pvp",MIN((Skills!T13*(1+Inputs!$B$35/100)),15)/15,(Skills!T13*(1+Inputs!$B$35/100))/Skills!D13)))+((C1099=TRUE)*F1099*IF(AND(Inputs!$B$39&lt;&gt;"pvp",Inputs!$B$44&gt;0),(((R1099-1)*(Skills!T14*(1+Inputs!$B$35/100))+MIN((Skills!T14*(1+Inputs!$B$35/100)),MAX(0,Inputs!$B$44-((R1099-1)*Skills!D14))))/Inputs!$B$44),IF(Inputs!$B$39="pvp",MIN((Skills!T14*(1+Inputs!$B$35/100)),15)/15,(Skills!T14*(1+Inputs!$B$35/100))/Skills!D14)))+((C1100=TRUE)*F1100*IF(AND(Inputs!$B$39&lt;&gt;"pvp",Inputs!$B$44&gt;0),(((R1100-1)*(Skills!T15*(1+Inputs!$B$35/100))+MIN((Skills!T15*(1+Inputs!$B$35/100)),MAX(0,Inputs!$B$44-((R1100-1)*Skills!D15))))/Inputs!$B$44),IF(Inputs!$B$39="pvp",MIN((Skills!T15*(1+Inputs!$B$35/100)),15)/15,(Skills!T15*(1+Inputs!$B$35/100))/Skills!D15)))+((C1101=TRUE)*F1101*IF(AND(Inputs!$B$39&lt;&gt;"pvp",Inputs!$B$44&gt;0),(((R1101-1)*(Skills!T16*(1+Inputs!$B$35/100))+MIN((Skills!T16*(1+Inputs!$B$35/100)),MAX(0,Inputs!$B$44-((R1101-1)*Skills!D16))))/Inputs!$B$44),IF(Inputs!$B$39="pvp",MIN((Skills!T16*(1+Inputs!$B$35/100)),15)/15,(Skills!T16*(1+Inputs!$B$35/100))/Skills!D16)))+0)/100)*I1095)</f>
        <v/>
      </c>
      <c r="L1095">
        <f>K1095*(MIN(Inputs!$B$23+((C1107=TRUE)*(F1107-Calc!F22)),Inputs!$B$24+((C1109=TRUE)*(F1109-Calc!F24)))/100+(Inputs!$B$24+((C1109=TRUE)*(F1109-Calc!F24)))/100)/2</f>
        <v/>
      </c>
      <c r="M1095">
        <f>L1095*(1+(Inputs!$B$11+0+B1119)/100)</f>
        <v/>
      </c>
      <c r="N1095">
        <f>L1095*(1-MIN((Inputs!$B$10+0+B1114),100)/100)+M1095*(MIN((Inputs!$B$10+0+B1114),100)/100)</f>
        <v/>
      </c>
      <c r="O1095">
        <f>(1-Summary!$B$55)*T1095+Summary!$B$55*V1095</f>
        <v/>
      </c>
      <c r="P1095">
        <f>IF(B1124=0,0,O1095/B1124)</f>
        <v/>
      </c>
      <c r="Q1095">
        <f>IFERROR(1/IF(Inputs!$B$39="pvp",15,MAX(0.1,Skills!D10-IF(Skills!E10=TRUE,(Inputs!$B$33+1),0))),0)</f>
        <v/>
      </c>
      <c r="R1095">
        <f>IF(AND(Inputs!$B$39&lt;&gt;"pvp",Inputs!$B$44&gt;0),IF(MAX(0,Inputs!$B$44-B1121)&lt;=0,0,(INT(MAX(0,Inputs!$B$44-B1121)/IF(Inputs!$B$39="pvp",15,MAX(0.1,Skills!D10-IF(Skills!E10=TRUE,(Inputs!$B$33+1),0))))+1)),0)</f>
        <v/>
      </c>
      <c r="S1095">
        <f>IFERROR(O1095/N1095,0)</f>
        <v/>
      </c>
      <c r="T1095">
        <f>IF(C1095,(H1095*N1095*IF(AND(Inputs!$B$39&lt;&gt;"pvp",Inputs!$B$44&gt;0),((Skills!G10*((R1095-1)*IF(Skills!H10&gt;0,Skills!I10/Skills!H10,1)+IF(Skills!H10&gt;0,MIN(Skills!I10,MAX(0,MAX(0,Inputs!$B$44-B1121)-((R1095-1)*IF(Inputs!$B$39="pvp",15,MAX(0.1,Skills!D10-IF(Skills!E10=TRUE,(Inputs!$B$33+1),0))))))/Skills!H10,1)))/Inputs!$B$44),G1095*Q1095))*IF(Inputs!$B$39="pvp",1,1+(Inputs!$B$21+0+Skills!P10+((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0)</f>
        <v/>
      </c>
      <c r="V1095">
        <f>IF(C1095,(H1095*N1095*IF(AND(Inputs!$B$39&lt;&gt;"pvp",Inputs!$B$44&gt;0),((Skills!G10*((R1095-1)*IF(Skills!H10&gt;0,Skills!I10/Skills!H10,1)+IF(Skills!H10&gt;0,MIN(Skills!I10,MAX(0,MAX(0,Inputs!$B$44-B1121)-((R1095-1)*IF(Inputs!$B$39="pvp",15,MAX(0.1,Skills!D10-IF(Skills!E10=TRUE,(Inputs!$B$33+1),0))))))/Skills!H10,1)))/Inputs!$B$44),G1095*Q1095))*IF(Inputs!$B$39="pvp",1,(1+(Inputs!$B$22+Skills!Q10+((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MIN(Skills!R10,Inputs!$B$38))),0)</f>
        <v/>
      </c>
    </row>
    <row r="1096">
      <c r="A1096">
        <f>Skills!A11</f>
        <v/>
      </c>
      <c r="B1096">
        <f>Skills!B11</f>
        <v/>
      </c>
      <c r="C1096">
        <f>Inputs!$B$3&gt;=100</f>
        <v/>
      </c>
      <c r="D1096">
        <f>IF(Skills!C11=1,60+Inputs!$B$26+Inputs!$B$30,IF(Skills!C11=2,90+Inputs!$B$27+Inputs!$B$30,IF(Skills!C11=3,120+Inputs!$B$28+Inputs!$B$30,MAX(0,(Inputs!$B$3-100)*3)+Inputs!$B$29+Inputs!$B$30)))</f>
        <v/>
      </c>
      <c r="E1096">
        <f>INDEX(FactorTable!$B$2:$Y$301, MATCH(ROUND(MIN(300,MAX(1,D1096)),0), FactorTable!$A$2:$A$301,0), Skills!M11+1)</f>
        <v/>
      </c>
      <c r="F1096">
        <f>IF(Skills!N11=TRUE,(Skills!L11/10)*(E1096/1000),Skills!L11/10)+Skills!O11</f>
        <v/>
      </c>
      <c r="G1096" t="inlineStr"/>
      <c r="H1096" t="inlineStr"/>
      <c r="I1096" t="inlineStr">
        <is>
          <t>1</t>
        </is>
      </c>
      <c r="J1096" t="inlineStr"/>
      <c r="K1096" t="inlineStr"/>
      <c r="L1096" t="inlineStr"/>
      <c r="M1096" t="inlineStr"/>
      <c r="N1096" t="inlineStr"/>
      <c r="O1096" t="inlineStr"/>
      <c r="P1096" t="inlineStr"/>
      <c r="Q1096" t="inlineStr"/>
      <c r="R1096" t="inlineStr"/>
      <c r="S1096" t="inlineStr"/>
    </row>
    <row r="1097">
      <c r="A1097">
        <f>Skills!A12</f>
        <v/>
      </c>
      <c r="B1097">
        <f>Skills!B12</f>
        <v/>
      </c>
      <c r="C1097">
        <f>Inputs!$B$3&gt;=63</f>
        <v/>
      </c>
      <c r="D1097">
        <f>IF(Skills!C12=1,60+Inputs!$B$26+Inputs!$B$30,IF(Skills!C12=2,90+Inputs!$B$27+Inputs!$B$30,IF(Skills!C12=3,120+Inputs!$B$28+Inputs!$B$30,MAX(0,(Inputs!$B$3-100)*3)+Inputs!$B$29+Inputs!$B$30)))</f>
        <v/>
      </c>
      <c r="E1097">
        <f>INDEX(FactorTable!$B$2:$Y$301, MATCH(ROUND(MIN(300,MAX(1,D1097)),0), FactorTable!$A$2:$A$301,0), Skills!M12+1)</f>
        <v/>
      </c>
      <c r="F1097">
        <f>IF(Skills!N12=TRUE,(Skills!L12/10)*(E1097/1000),Skills!L12/10)+Skills!O12</f>
        <v/>
      </c>
      <c r="G1097">
        <f>Skills!G12*IF(Skills!H12&gt;0,Skills!I12/Skills!H12,1)</f>
        <v/>
      </c>
      <c r="H1097">
        <f>1-(1-Skills!J12/100)^Skills!K12</f>
        <v/>
      </c>
      <c r="I1097" t="inlineStr">
        <is>
          <t>1</t>
        </is>
      </c>
      <c r="J1097">
        <f>((Inputs!$B$6*(1+Inputs!$B$7/100))+(((Inputs!$B$13*(1+Inputs!$B$14/100))-(Inputs!$B$13*(1+Inputs!$B$14/100)))+0.25*(Inputs!$B$15-Inputs!$B$15))*(1+Inputs!$B$7/100))*(F1097/100)</f>
        <v/>
      </c>
      <c r="K1097">
        <f>J1097*(1+(((Inputs!$B$13+IF(Inputs!$B$3&gt;=38,(10*INDEX(FactorTable!$B$2:$Y$301, MATCH(ROUND(MIN(300,MAX(1,Inputs!$B$3)),0), FactorTable!$A$2:$A$301,0), 23)/1000)/100*(Inputs!$B$8*(1+Inputs!$B$9/100)),0))*(1+Inputs!$B$14/100))*0.01+Inputs!$B$15*0.0025)/100)*(1+Inputs!$B$16/100)*(1+Inputs!$B$17/100)*(5000/(6000+Inputs!$B$43*(1-(Inputs!$B$20+0)/100)))*(1+(Inputs!$B$25+((C1110=TRUE)*(F1110-Calc!F25))+((C1111=TRUE)*(F1111-Calc!F26))+B1120)/100)*(1+0.75*IF(C1096=TRUE,F1096,0)/100)*(1+(IF(Skills!A12="DARK_IMPALE",Inputs!$B$18+0,Inputs!$B$19+((C1108=TRUE)*(F1108-Calc!F23))))/100)*((1+(((C1098=TRUE)*F1098*IF(AND(Inputs!$B$39&lt;&gt;"pvp",Inputs!$B$44&gt;0),(((R1098-1)*(Skills!T13*(1+Inputs!$B$35/100))+MIN((Skills!T13*(1+Inputs!$B$35/100)),MAX(0,Inputs!$B$44-((R1098-1)*Skills!D13))))/Inputs!$B$44),IF(Inputs!$B$39="pvp",MIN((Skills!T13*(1+Inputs!$B$35/100)),15)/15,(Skills!T13*(1+Inputs!$B$35/100))/Skills!D13)))+((C1099=TRUE)*F1099*IF(AND(Inputs!$B$39&lt;&gt;"pvp",Inputs!$B$44&gt;0),(((R1099-1)*(Skills!T14*(1+Inputs!$B$35/100))+MIN((Skills!T14*(1+Inputs!$B$35/100)),MAX(0,Inputs!$B$44-((R1099-1)*Skills!D14))))/Inputs!$B$44),IF(Inputs!$B$39="pvp",MIN((Skills!T14*(1+Inputs!$B$35/100)),15)/15,(Skills!T14*(1+Inputs!$B$35/100))/Skills!D14)))+((C1100=TRUE)*F1100*IF(AND(Inputs!$B$39&lt;&gt;"pvp",Inputs!$B$44&gt;0),(((R1100-1)*(Skills!T15*(1+Inputs!$B$35/100))+MIN((Skills!T15*(1+Inputs!$B$35/100)),MAX(0,Inputs!$B$44-((R1100-1)*Skills!D15))))/Inputs!$B$44),IF(Inputs!$B$39="pvp",MIN((Skills!T15*(1+Inputs!$B$35/100)),15)/15,(Skills!T15*(1+Inputs!$B$35/100))/Skills!D15)))+((C1101=TRUE)*F1101*IF(AND(Inputs!$B$39&lt;&gt;"pvp",Inputs!$B$44&gt;0),(((R1101-1)*(Skills!T16*(1+Inputs!$B$35/100))+MIN((Skills!T16*(1+Inputs!$B$35/100)),MAX(0,Inputs!$B$44-((R1101-1)*Skills!D16))))/Inputs!$B$44),IF(Inputs!$B$39="pvp",MIN((Skills!T16*(1+Inputs!$B$35/100)),15)/15,(Skills!T16*(1+Inputs!$B$35/100))/Skills!D16)))+0)/100)*I1097)</f>
        <v/>
      </c>
      <c r="L1097">
        <f>K1097*(MIN(Inputs!$B$23+((C1107=TRUE)*(F1107-Calc!F22)),Inputs!$B$24+((C1109=TRUE)*(F1109-Calc!F24)))/100+(Inputs!$B$24+((C1109=TRUE)*(F1109-Calc!F24)))/100)/2</f>
        <v/>
      </c>
      <c r="M1097">
        <f>L1097*(1+(Inputs!$B$11+0+B1119)/100)</f>
        <v/>
      </c>
      <c r="N1097">
        <f>L1097*(1-MIN((Inputs!$B$10+0+B1114),100)/100)+M1097*(MIN((Inputs!$B$10+0+B1114),100)/100)</f>
        <v/>
      </c>
      <c r="O1097">
        <f>(1-Summary!$B$55)*T1097+Summary!$B$55*V1097</f>
        <v/>
      </c>
      <c r="P1097">
        <f>IF(B1124=0,0,O1097/B1124)</f>
        <v/>
      </c>
      <c r="Q1097">
        <f>IFERROR(1/IF(Inputs!$B$39="pvp",15,MAX(0.1,Skills!D12-IF(Skills!E12=TRUE,(Inputs!$B$33+1),0))),0)</f>
        <v/>
      </c>
      <c r="R1097">
        <f>IF(AND(Inputs!$B$39&lt;&gt;"pvp",Inputs!$B$44&gt;0),IF(MAX(0,Inputs!$B$44-B1121)&lt;=0,0,(INT(MAX(0,Inputs!$B$44-B1121)/IF(Inputs!$B$39="pvp",15,MAX(0.1,Skills!D12-IF(Skills!E12=TRUE,(Inputs!$B$33+1),0))))+1)),0)</f>
        <v/>
      </c>
      <c r="S1097">
        <f>IFERROR(O1097/N1097,0)</f>
        <v/>
      </c>
      <c r="T1097">
        <f>IF(C1097,(H1097*N1097*IF(AND(Inputs!$B$39&lt;&gt;"pvp",Inputs!$B$44&gt;0),((Skills!G12*((R1097-1)*IF(Skills!H12&gt;0,Skills!I12/Skills!H12,1)+IF(Skills!H12&gt;0,MIN(Skills!I12,MAX(0,MAX(0,Inputs!$B$44-B1121)-((R1097-1)*IF(Inputs!$B$39="pvp",15,MAX(0.1,Skills!D12-IF(Skills!E12=TRUE,(Inputs!$B$33+1),0))))))/Skills!H12,1)))/Inputs!$B$44),G1097*Q1097))*IF(Inputs!$B$39="pvp",1,1+(Inputs!$B$21+0+Skills!P12+((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0)</f>
        <v/>
      </c>
      <c r="V1097">
        <f>IF(C1097,(H1097*N1097*IF(AND(Inputs!$B$39&lt;&gt;"pvp",Inputs!$B$44&gt;0),((Skills!G12*((R1097-1)*IF(Skills!H12&gt;0,Skills!I12/Skills!H12,1)+IF(Skills!H12&gt;0,MIN(Skills!I12,MAX(0,MAX(0,Inputs!$B$44-B1121)-((R1097-1)*IF(Inputs!$B$39="pvp",15,MAX(0.1,Skills!D12-IF(Skills!E12=TRUE,(Inputs!$B$33+1),0))))))/Skills!H12,1)))/Inputs!$B$44),G1097*Q1097))*IF(Inputs!$B$39="pvp",1,(1+(Inputs!$B$22+Skills!Q12+((C1102=TRUE)*F1102*IF(AND(Inputs!$B$39&lt;&gt;"pvp",Inputs!$B$44&gt;0),(((R1102-1)*(Skills!T17*(1+Inputs!$B$35/100))+MIN((Skills!T17*(1+Inputs!$B$35/100)),MAX(0,Inputs!$B$44-((R1102-1)*Skills!D17))))/Inputs!$B$44),IF(Inputs!$B$39="pvp",MIN((Skills!T17*(1+Inputs!$B$35/100)),15)/15,(Skills!T17*(1+Inputs!$B$35/100))/Skills!D17)))+((C1099=TRUE)*IF(Inputs!$B$39="pvp",20,(1-Summary!$B$55)*(20)+Summary!$B$55*(0))*IF(AND(Inputs!$B$39&lt;&gt;"pvp",Inputs!$B$44&gt;0),(((R1099-1)*(Skills!T14*(1+Inputs!$B$35/100))+MIN((Skills!T14*(1+Inputs!$B$35/100)),MAX(0,Inputs!$B$44-((R1099-1)*Skills!D14))))/Inputs!$B$44),IF(Inputs!$B$39="pvp",MIN((Skills!T14*(1+Inputs!$B$35/100)),15)/15,(Skills!T14*(1+Inputs!$B$35/100))/Skills!D14))))/100)*(MIN(Skills!R12,Inputs!$B$38))),0)</f>
        <v/>
      </c>
    </row>
    <row r="1098">
      <c r="A1098">
        <f>Skills!A13</f>
        <v/>
      </c>
      <c r="B1098">
        <f>Skills!B13</f>
        <v/>
      </c>
      <c r="C1098">
        <f>Inputs!$B$3&gt;=69</f>
        <v/>
      </c>
      <c r="D1098">
        <f>IF(Skills!C13=1,60+Inputs!$B$26+Inputs!$B$30,IF(Skills!C13=2,90+Inputs!$B$27+Inputs!$B$30,IF(Skills!C13=3,120+Inputs!$B$28+Inputs!$B$30,MAX(0,(Inputs!$B$3-100)*3)+Inputs!$B$29+Inputs!$B$30)))</f>
        <v/>
      </c>
      <c r="E1098">
        <f>INDEX(FactorTable!$B$2:$Y$301, MATCH(ROUND(MIN(300,MAX(1,D1098)),0), FactorTable!$A$2:$A$301,0), Skills!M13+1)</f>
        <v/>
      </c>
      <c r="F1098">
        <f>IF(Skills!N13=TRUE,(Skills!L13/10)*(E1098/1000),Skills!L13/10)+Skills!O13</f>
        <v/>
      </c>
      <c r="G1098">
        <f>Skills!G13*IF(Skills!H13&gt;0,Skills!I13/Skills!H13,1)</f>
        <v/>
      </c>
      <c r="H1098">
        <f>1-(1-Skills!J13/100)^Skills!K13</f>
        <v/>
      </c>
      <c r="I1098" t="inlineStr">
        <is>
          <t>1</t>
        </is>
      </c>
      <c r="J1098" t="inlineStr"/>
      <c r="K1098" t="inlineStr"/>
      <c r="L1098" t="inlineStr"/>
      <c r="M1098" t="inlineStr"/>
      <c r="N1098" t="inlineStr"/>
      <c r="O1098">
        <f>(1-Summary!$B$55)*T1098+Summary!$B$55*V1098</f>
        <v/>
      </c>
      <c r="P1098">
        <f>IF(B1124=0,0,O1098/B1124)</f>
        <v/>
      </c>
      <c r="Q1098">
        <f>IFERROR(1/IF(Inputs!$B$39="pvp",15,MAX(0.1,Skills!D13-IF(Skills!E13=TRUE,(Inputs!$B$33+1),0))),0)</f>
        <v/>
      </c>
      <c r="R1098">
        <f>IF(AND(Inputs!$B$39&lt;&gt;"pvp",Inputs!$B$44&gt;0),IF(Inputs!$B$44&lt;=0,0,(INT(Inputs!$B$44/IF(Inputs!$B$39="pvp",15,MAX(0.1,Skills!D13-IF(Skills!E13=TRUE,(Inputs!$B$33+1),0))))+1)),0)</f>
        <v/>
      </c>
      <c r="S1098">
        <f>IFERROR(O1098/N1098,0)</f>
        <v/>
      </c>
      <c r="T1098" t="n">
        <v>0</v>
      </c>
      <c r="V1098" t="n">
        <v>0</v>
      </c>
    </row>
    <row r="1099">
      <c r="A1099">
        <f>Skills!A14</f>
        <v/>
      </c>
      <c r="B1099">
        <f>Skills!B14</f>
        <v/>
      </c>
      <c r="C1099">
        <f>Inputs!$B$3&gt;=115</f>
        <v/>
      </c>
      <c r="D1099">
        <f>IF(Skills!C14=1,60+Inputs!$B$26+Inputs!$B$30,IF(Skills!C14=2,90+Inputs!$B$27+Inputs!$B$30,IF(Skills!C14=3,120+Inputs!$B$28+Inputs!$B$30,MAX(0,(Inputs!$B$3-100)*3)+Inputs!$B$29+Inputs!$B$30)))</f>
        <v/>
      </c>
      <c r="E1099">
        <f>INDEX(FactorTable!$B$2:$Y$301, MATCH(ROUND(MIN(300,MAX(1,D1099)),0), FactorTable!$A$2:$A$301,0), Skills!M14+1)</f>
        <v/>
      </c>
      <c r="F1099">
        <f>IF(Skills!N14=TRUE,(Skills!L14/10)*(E1099/1000),Skills!L14/10)+Skills!O14</f>
        <v/>
      </c>
      <c r="G1099">
        <f>Skills!G14*IF(Skills!H14&gt;0,Skills!I14/Skills!H14,1)</f>
        <v/>
      </c>
      <c r="H1099">
        <f>1-(1-Skills!J14/100)^Skills!K14</f>
        <v/>
      </c>
      <c r="I1099" t="inlineStr">
        <is>
          <t>1</t>
        </is>
      </c>
      <c r="J1099" t="inlineStr"/>
      <c r="K1099" t="inlineStr"/>
      <c r="L1099" t="inlineStr"/>
      <c r="M1099" t="inlineStr"/>
      <c r="N1099" t="inlineStr"/>
      <c r="O1099">
        <f>(1-Summary!$B$55)*T1099+Summary!$B$55*V1099</f>
        <v/>
      </c>
      <c r="P1099">
        <f>IF(B1124=0,0,O1099/B1124)</f>
        <v/>
      </c>
      <c r="Q1099">
        <f>IFERROR(1/IF(Inputs!$B$39="pvp",15,MAX(0.1,Skills!D14-IF(Skills!E14=TRUE,(Inputs!$B$33+1),0))),0)</f>
        <v/>
      </c>
      <c r="R1099">
        <f>IF(AND(Inputs!$B$39&lt;&gt;"pvp",Inputs!$B$44&gt;0),IF(Inputs!$B$44&lt;=0,0,(INT(Inputs!$B$44/IF(Inputs!$B$39="pvp",15,MAX(0.1,Skills!D14-IF(Skills!E14=TRUE,(Inputs!$B$33+1),0))))+1)),0)</f>
        <v/>
      </c>
      <c r="S1099">
        <f>IFERROR(O1099/N1099,0)</f>
        <v/>
      </c>
      <c r="T1099" t="n">
        <v>0</v>
      </c>
      <c r="V1099" t="n">
        <v>0</v>
      </c>
    </row>
    <row r="1100">
      <c r="A1100">
        <f>Skills!A15</f>
        <v/>
      </c>
      <c r="B1100">
        <f>Skills!B15</f>
        <v/>
      </c>
      <c r="C1100">
        <f>Inputs!$B$3&gt;=66</f>
        <v/>
      </c>
      <c r="D1100">
        <f>IF(Skills!C15=1,60+Inputs!$B$26+Inputs!$B$30,IF(Skills!C15=2,90+Inputs!$B$27+Inputs!$B$30,IF(Skills!C15=3,120+Inputs!$B$28+Inputs!$B$30,MAX(0,(Inputs!$B$3-100)*3)+Inputs!$B$29+Inputs!$B$30)))</f>
        <v/>
      </c>
      <c r="E1100">
        <f>INDEX(FactorTable!$B$2:$Y$301, MATCH(ROUND(MIN(300,MAX(1,D1100)),0), FactorTable!$A$2:$A$301,0), Skills!M15+1)</f>
        <v/>
      </c>
      <c r="F1100">
        <f>IF(Skills!N15=TRUE,(Skills!L15/10)*(E1100/1000),Skills!L15/10)+Skills!O15</f>
        <v/>
      </c>
      <c r="G1100">
        <f>Skills!G15*IF(Skills!H15&gt;0,Skills!I15/Skills!H15,1)</f>
        <v/>
      </c>
      <c r="H1100">
        <f>1-(1-Skills!J15/100)^Skills!K15</f>
        <v/>
      </c>
      <c r="I1100" t="inlineStr">
        <is>
          <t>1</t>
        </is>
      </c>
      <c r="J1100" t="inlineStr"/>
      <c r="K1100" t="inlineStr"/>
      <c r="L1100" t="inlineStr"/>
      <c r="M1100" t="inlineStr"/>
      <c r="N1100" t="inlineStr"/>
      <c r="O1100">
        <f>(1-Summary!$B$55)*T1100+Summary!$B$55*V1100</f>
        <v/>
      </c>
      <c r="P1100">
        <f>IF(B1124=0,0,O1100/B1124)</f>
        <v/>
      </c>
      <c r="Q1100">
        <f>IFERROR(1/IF(Inputs!$B$39="pvp",15,MAX(0.1,Skills!D15-IF(Skills!E15=TRUE,(Inputs!$B$33+1),0))),0)</f>
        <v/>
      </c>
      <c r="R1100">
        <f>IF(AND(Inputs!$B$39&lt;&gt;"pvp",Inputs!$B$44&gt;0),IF(Inputs!$B$44&lt;=0,0,(INT(Inputs!$B$44/IF(Inputs!$B$39="pvp",15,MAX(0.1,Skills!D15-IF(Skills!E15=TRUE,(Inputs!$B$33+1),0))))+1)),0)</f>
        <v/>
      </c>
      <c r="S1100">
        <f>IFERROR(O1100/N1100,0)</f>
        <v/>
      </c>
      <c r="T1100" t="n">
        <v>0</v>
      </c>
      <c r="V1100" t="n">
        <v>0</v>
      </c>
    </row>
    <row r="1101">
      <c r="A1101">
        <f>Skills!A16</f>
        <v/>
      </c>
      <c r="B1101">
        <f>Skills!B16</f>
        <v/>
      </c>
      <c r="C1101">
        <f>Inputs!$B$3&gt;=45</f>
        <v/>
      </c>
      <c r="D1101">
        <f>IF(Skills!C16=1,60+Inputs!$B$26+Inputs!$B$30,IF(Skills!C16=2,90+Inputs!$B$27+Inputs!$B$30,IF(Skills!C16=3,120+Inputs!$B$28+Inputs!$B$30,MAX(0,(Inputs!$B$3-100)*3)+Inputs!$B$29+Inputs!$B$30)))</f>
        <v/>
      </c>
      <c r="E1101">
        <f>INDEX(FactorTable!$B$2:$Y$301, MATCH(ROUND(MIN(300,MAX(1,D1101)),0), FactorTable!$A$2:$A$301,0), Skills!M16+1)</f>
        <v/>
      </c>
      <c r="F1101">
        <f>IF(Skills!N16=TRUE,(Skills!L16/10)*(E1101/1000),Skills!L16/10)+Skills!O16</f>
        <v/>
      </c>
      <c r="G1101">
        <f>Skills!G16*IF(Skills!H16&gt;0,Skills!I16/Skills!H16,1)</f>
        <v/>
      </c>
      <c r="H1101">
        <f>1-(1-Skills!J16/100)^Skills!K16</f>
        <v/>
      </c>
      <c r="I1101" t="inlineStr">
        <is>
          <t>1</t>
        </is>
      </c>
      <c r="J1101" t="inlineStr"/>
      <c r="K1101" t="inlineStr"/>
      <c r="L1101" t="inlineStr"/>
      <c r="M1101" t="inlineStr"/>
      <c r="N1101" t="inlineStr"/>
      <c r="O1101">
        <f>(1-Summary!$B$55)*T1101+Summary!$B$55*V1101</f>
        <v/>
      </c>
      <c r="P1101">
        <f>IF(B1124=0,0,O1101/B1124)</f>
        <v/>
      </c>
      <c r="Q1101">
        <f>IFERROR(1/IF(Inputs!$B$39="pvp",15,MAX(0.1,Skills!D16-IF(Skills!E16=TRUE,(Inputs!$B$33+1),0))),0)</f>
        <v/>
      </c>
      <c r="R1101">
        <f>IF(AND(Inputs!$B$39&lt;&gt;"pvp",Inputs!$B$44&gt;0),IF(Inputs!$B$44&lt;=0,0,(INT(Inputs!$B$44/IF(Inputs!$B$39="pvp",15,MAX(0.1,Skills!D16-IF(Skills!E16=TRUE,(Inputs!$B$33+1),0))))+1)),0)</f>
        <v/>
      </c>
      <c r="S1101">
        <f>IFERROR(O1101/N1101,0)</f>
        <v/>
      </c>
      <c r="T1101" t="n">
        <v>0</v>
      </c>
      <c r="V1101" t="n">
        <v>0</v>
      </c>
    </row>
    <row r="1102">
      <c r="A1102">
        <f>Skills!A17</f>
        <v/>
      </c>
      <c r="B1102">
        <f>Skills!B17</f>
        <v/>
      </c>
      <c r="C1102">
        <f>Inputs!$B$3&gt;=35</f>
        <v/>
      </c>
      <c r="D1102">
        <f>IF(Skills!C17=1,60+Inputs!$B$26+Inputs!$B$30,IF(Skills!C17=2,90+Inputs!$B$27+Inputs!$B$30,IF(Skills!C17=3,120+Inputs!$B$28+Inputs!$B$30,MAX(0,(Inputs!$B$3-100)*3)+Inputs!$B$29+Inputs!$B$30)))</f>
        <v/>
      </c>
      <c r="E1102">
        <f>INDEX(FactorTable!$B$2:$Y$301, MATCH(ROUND(MIN(300,MAX(1,D1102)),0), FactorTable!$A$2:$A$301,0), Skills!M17+1)</f>
        <v/>
      </c>
      <c r="F1102">
        <f>IF(Skills!N17=TRUE,(Skills!L17/10)*(E1102/1000),Skills!L17/10)+Skills!O17</f>
        <v/>
      </c>
      <c r="G1102">
        <f>Skills!G17*IF(Skills!H17&gt;0,Skills!I17/Skills!H17,1)</f>
        <v/>
      </c>
      <c r="H1102">
        <f>1-(1-Skills!J17/100)^Skills!K17</f>
        <v/>
      </c>
      <c r="I1102" t="inlineStr">
        <is>
          <t>1</t>
        </is>
      </c>
      <c r="J1102" t="inlineStr"/>
      <c r="K1102" t="inlineStr"/>
      <c r="L1102" t="inlineStr"/>
      <c r="M1102" t="inlineStr"/>
      <c r="N1102" t="inlineStr"/>
      <c r="O1102">
        <f>(1-Summary!$B$55)*T1102+Summary!$B$55*V1102</f>
        <v/>
      </c>
      <c r="P1102">
        <f>IF(B1124=0,0,O1102/B1124)</f>
        <v/>
      </c>
      <c r="Q1102">
        <f>IFERROR(1/IF(Inputs!$B$39="pvp",15,MAX(0.1,Skills!D17-IF(Skills!E17=TRUE,(Inputs!$B$33+1),0))),0)</f>
        <v/>
      </c>
      <c r="R1102">
        <f>IF(AND(Inputs!$B$39&lt;&gt;"pvp",Inputs!$B$44&gt;0),IF(Inputs!$B$44&lt;=0,0,(INT(Inputs!$B$44/IF(Inputs!$B$39="pvp",15,MAX(0.1,Skills!D17-IF(Skills!E17=TRUE,(Inputs!$B$33+1),0))))+1)),0)</f>
        <v/>
      </c>
      <c r="S1102">
        <f>IFERROR(O1102/N1102,0)</f>
        <v/>
      </c>
      <c r="T1102" t="n">
        <v>0</v>
      </c>
      <c r="V1102" t="n">
        <v>0</v>
      </c>
    </row>
    <row r="1103">
      <c r="A1103">
        <f>Skills!A18</f>
        <v/>
      </c>
      <c r="B1103">
        <f>Skills!B18</f>
        <v/>
      </c>
      <c r="C1103">
        <f>Inputs!$B$3&gt;=72</f>
        <v/>
      </c>
      <c r="D1103">
        <f>IF(Skills!C18=1,60+Inputs!$B$26+Inputs!$B$30,IF(Skills!C18=2,90+Inputs!$B$27+Inputs!$B$30,IF(Skills!C18=3,120+Inputs!$B$28+Inputs!$B$30,MAX(0,(Inputs!$B$3-100)*3)+Inputs!$B$29+Inputs!$B$30)))</f>
        <v/>
      </c>
      <c r="E1103">
        <f>INDEX(FactorTable!$B$2:$Y$301, MATCH(ROUND(MIN(300,MAX(1,D1103)),0), FactorTable!$A$2:$A$301,0), Skills!M18+1)</f>
        <v/>
      </c>
      <c r="F1103">
        <f>IF(Skills!N18=TRUE,(Skills!L18/10)*(E1103/1000),Skills!L18/10)+Skills!O18</f>
        <v/>
      </c>
      <c r="G1103">
        <f>Skills!G18*IF(Skills!H18&gt;0,Skills!I18/Skills!H18,1)</f>
        <v/>
      </c>
      <c r="H1103">
        <f>1-(1-Skills!J18/100)^Skills!K18</f>
        <v/>
      </c>
      <c r="I1103" t="inlineStr">
        <is>
          <t>1</t>
        </is>
      </c>
      <c r="J1103" t="inlineStr"/>
      <c r="K1103" t="inlineStr"/>
      <c r="L1103" t="inlineStr"/>
      <c r="M1103" t="inlineStr"/>
      <c r="N1103" t="inlineStr"/>
      <c r="O1103">
        <f>(1-Summary!$B$55)*T1103+Summary!$B$55*V1103</f>
        <v/>
      </c>
      <c r="P1103">
        <f>IF(B1124=0,0,O1103/B1124)</f>
        <v/>
      </c>
      <c r="Q1103">
        <f>IFERROR(1/IF(Inputs!$B$39="pvp",15,MAX(0.1,Skills!D18-IF(Skills!E18=TRUE,(Inputs!$B$33+1),0))),0)</f>
        <v/>
      </c>
      <c r="R1103">
        <f>IF(AND(Inputs!$B$39&lt;&gt;"pvp",Inputs!$B$44&gt;0),IF(Inputs!$B$44&lt;=0,0,(INT(Inputs!$B$44/IF(Inputs!$B$39="pvp",15,MAX(0.1,Skills!D18-IF(Skills!E18=TRUE,(Inputs!$B$33+1),0))))+1)),0)</f>
        <v/>
      </c>
      <c r="S1103">
        <f>IFERROR(O1103/N1103,0)</f>
        <v/>
      </c>
      <c r="T1103" t="n">
        <v>0</v>
      </c>
      <c r="V1103" t="n">
        <v>0</v>
      </c>
    </row>
    <row r="1104">
      <c r="A1104">
        <f>Skills!A19</f>
        <v/>
      </c>
      <c r="B1104">
        <f>Skills!B19</f>
        <v/>
      </c>
      <c r="C1104">
        <f>Inputs!$B$3&gt;=72</f>
        <v/>
      </c>
      <c r="D1104">
        <f>IF(Skills!C19=1,60+Inputs!$B$26+Inputs!$B$30,IF(Skills!C19=2,90+Inputs!$B$27+Inputs!$B$30,IF(Skills!C19=3,120+Inputs!$B$28+Inputs!$B$30,MAX(0,(Inputs!$B$3-100)*3)+Inputs!$B$29+Inputs!$B$30)))</f>
        <v/>
      </c>
      <c r="E1104">
        <f>INDEX(FactorTable!$B$2:$Y$301, MATCH(ROUND(MIN(300,MAX(1,D1104)),0), FactorTable!$A$2:$A$301,0), Skills!M19+1)</f>
        <v/>
      </c>
      <c r="F1104">
        <f>IF(Skills!N19=TRUE,(Skills!L19/10)*(E1104/1000),Skills!L19/10)+Skills!O19</f>
        <v/>
      </c>
      <c r="G1104">
        <f>Skills!G19*IF(Skills!H19&gt;0,Skills!I19/Skills!H19,1)</f>
        <v/>
      </c>
      <c r="H1104">
        <f>1-(1-Skills!J19/100)^Skills!K19</f>
        <v/>
      </c>
      <c r="I1104" t="inlineStr">
        <is>
          <t>1</t>
        </is>
      </c>
      <c r="J1104" t="inlineStr"/>
      <c r="K1104" t="inlineStr"/>
      <c r="L1104" t="inlineStr"/>
      <c r="M1104" t="inlineStr"/>
      <c r="N1104" t="inlineStr"/>
      <c r="O1104">
        <f>(1-Summary!$B$55)*T1104+Summary!$B$55*V1104</f>
        <v/>
      </c>
      <c r="P1104">
        <f>IF(B1124=0,0,O1104/B1124)</f>
        <v/>
      </c>
      <c r="Q1104">
        <f>IFERROR(1/IF(Inputs!$B$39="pvp",15,MAX(0.1,Skills!D19-IF(Skills!E19=TRUE,(Inputs!$B$33+1),0))),0)</f>
        <v/>
      </c>
      <c r="R1104">
        <f>IF(AND(Inputs!$B$39&lt;&gt;"pvp",Inputs!$B$44&gt;0),IF(Inputs!$B$44&lt;=0,0,(INT(Inputs!$B$44/IF(Inputs!$B$39="pvp",15,MAX(0.1,Skills!D19-IF(Skills!E19=TRUE,(Inputs!$B$33+1),0))))+1)),0)</f>
        <v/>
      </c>
      <c r="S1104">
        <f>IFERROR(O1104/N1104,0)</f>
        <v/>
      </c>
      <c r="T1104" t="n">
        <v>0</v>
      </c>
      <c r="V1104" t="n">
        <v>0</v>
      </c>
    </row>
    <row r="1105">
      <c r="A1105">
        <f>Skills!A20</f>
        <v/>
      </c>
      <c r="B1105">
        <f>Skills!B20</f>
        <v/>
      </c>
      <c r="C1105">
        <f>TRUE</f>
        <v/>
      </c>
      <c r="D1105">
        <f>IF(Skills!C20=1,60+Inputs!$B$26+Inputs!$B$30,IF(Skills!C20=2,90+Inputs!$B$27+Inputs!$B$30,IF(Skills!C20=3,120+Inputs!$B$28+Inputs!$B$30,MAX(0,(Inputs!$B$3-100)*3)+Inputs!$B$29+Inputs!$B$30)))</f>
        <v/>
      </c>
      <c r="E1105">
        <f>INDEX(FactorTable!$B$2:$Y$301, MATCH(ROUND(MIN(300,MAX(1,D1105)),0), FactorTable!$A$2:$A$301,0), Skills!M20+1)</f>
        <v/>
      </c>
      <c r="F1105">
        <f>IF(Skills!N20=TRUE,(Skills!L20/10)*(E1105/1000),Skills!L20/10)+Skills!O20</f>
        <v/>
      </c>
      <c r="G1105">
        <f>Skills!G20*IF(Skills!H20&gt;0,Skills!I20/Skills!H20,1)</f>
        <v/>
      </c>
      <c r="H1105">
        <f>1-(1-Skills!J20/100)^Skills!K20</f>
        <v/>
      </c>
      <c r="I1105" t="inlineStr">
        <is>
          <t>1</t>
        </is>
      </c>
      <c r="J1105" t="inlineStr"/>
      <c r="K1105" t="inlineStr"/>
      <c r="L1105" t="inlineStr"/>
      <c r="M1105" t="inlineStr"/>
      <c r="N1105" t="inlineStr"/>
      <c r="O1105">
        <f>(1-Summary!$B$55)*T1105+Summary!$B$55*V1105</f>
        <v/>
      </c>
      <c r="P1105">
        <f>IF(B1124=0,0,O1105/B1124)</f>
        <v/>
      </c>
      <c r="Q1105">
        <f>IFERROR(1/IF(Inputs!$B$39="pvp",15,MAX(0.1,Skills!D20-IF(Skills!E20=TRUE,(Inputs!$B$33+1),0))),0)</f>
        <v/>
      </c>
      <c r="R1105">
        <f>IF(AND(Inputs!$B$39&lt;&gt;"pvp",Inputs!$B$44&gt;0),IF(Inputs!$B$44&lt;=0,0,(INT(Inputs!$B$44/IF(Inputs!$B$39="pvp",15,MAX(0.1,Skills!D20-IF(Skills!E20=TRUE,(Inputs!$B$33+1),0))))+1)),0)</f>
        <v/>
      </c>
      <c r="S1105">
        <f>IFERROR(O1105/N1105,0)</f>
        <v/>
      </c>
      <c r="T1105" t="n">
        <v>0</v>
      </c>
      <c r="V1105" t="n">
        <v>0</v>
      </c>
    </row>
    <row r="1106">
      <c r="A1106">
        <f>Skills!A21</f>
        <v/>
      </c>
      <c r="B1106">
        <f>Skills!B21</f>
        <v/>
      </c>
      <c r="C1106">
        <f>Inputs!$B$3&gt;=33</f>
        <v/>
      </c>
      <c r="D1106">
        <f>IF(Skills!C21=1,60+Inputs!$B$26+Inputs!$B$30,IF(Skills!C21=2,90+Inputs!$B$27+Inputs!$B$30,IF(Skills!C21=3,120+Inputs!$B$28+Inputs!$B$30,MAX(0,(Inputs!$B$3-100)*3)+Inputs!$B$29+Inputs!$B$30)))</f>
        <v/>
      </c>
      <c r="E1106">
        <f>INDEX(FactorTable!$B$2:$Y$301, MATCH(ROUND(MIN(300,MAX(1,D1106)),0), FactorTable!$A$2:$A$301,0), Skills!M21+1)</f>
        <v/>
      </c>
      <c r="F1106">
        <f>IF(Skills!N21=TRUE,(Skills!L21/10)*(E1106/1000),Skills!L21/10)+Skills!O21</f>
        <v/>
      </c>
      <c r="G1106">
        <f>Skills!G21*IF(Skills!H21&gt;0,Skills!I21/Skills!H21,1)</f>
        <v/>
      </c>
      <c r="H1106">
        <f>1-(1-Skills!J21/100)^Skills!K21</f>
        <v/>
      </c>
      <c r="I1106" t="inlineStr">
        <is>
          <t>1</t>
        </is>
      </c>
      <c r="J1106" t="inlineStr"/>
      <c r="K1106" t="inlineStr"/>
      <c r="L1106" t="inlineStr"/>
      <c r="M1106" t="inlineStr"/>
      <c r="N1106" t="inlineStr"/>
      <c r="O1106">
        <f>(1-Summary!$B$55)*T1106+Summary!$B$55*V1106</f>
        <v/>
      </c>
      <c r="P1106">
        <f>IF(B1124=0,0,O1106/B1124)</f>
        <v/>
      </c>
      <c r="Q1106" t="n">
        <v>0</v>
      </c>
      <c r="R1106" t="n">
        <v>0</v>
      </c>
      <c r="S1106">
        <f>IFERROR(O1106/N1106,0)</f>
        <v/>
      </c>
      <c r="T1106" t="n">
        <v>0</v>
      </c>
      <c r="V1106" t="n">
        <v>0</v>
      </c>
    </row>
    <row r="1107">
      <c r="A1107">
        <f>Skills!A22</f>
        <v/>
      </c>
      <c r="B1107">
        <f>Skills!B22</f>
        <v/>
      </c>
      <c r="C1107">
        <f>Inputs!$B$3&gt;=43</f>
        <v/>
      </c>
      <c r="D1107">
        <f>IF(Skills!C22=1,60+Inputs!$B$26+Inputs!$B$30,IF(Skills!C22=2,90+Inputs!$B$27+Inputs!$B$30,IF(Skills!C22=3,120+Inputs!$B$28+Inputs!$B$30,MAX(0,(Inputs!$B$3-100)*3)+Inputs!$B$29+Inputs!$B$30)))</f>
        <v/>
      </c>
      <c r="E1107">
        <f>INDEX(FactorTable!$B$2:$Y$301, MATCH(ROUND(MIN(300,MAX(1,D1107)),0), FactorTable!$A$2:$A$301,0), Skills!M22+1)</f>
        <v/>
      </c>
      <c r="F1107">
        <f>IF(Skills!N22=TRUE,(Skills!L22/10)*(E1107/1000),Skills!L22/10)+Skills!O22</f>
        <v/>
      </c>
      <c r="G1107">
        <f>Skills!G22*IF(Skills!H22&gt;0,Skills!I22/Skills!H22,1)</f>
        <v/>
      </c>
      <c r="H1107">
        <f>1-(1-Skills!J22/100)^Skills!K22</f>
        <v/>
      </c>
      <c r="I1107" t="inlineStr">
        <is>
          <t>1</t>
        </is>
      </c>
      <c r="J1107" t="inlineStr"/>
      <c r="K1107" t="inlineStr"/>
      <c r="L1107" t="inlineStr"/>
      <c r="M1107" t="inlineStr"/>
      <c r="N1107" t="inlineStr"/>
      <c r="O1107">
        <f>(1-Summary!$B$55)*T1107+Summary!$B$55*V1107</f>
        <v/>
      </c>
      <c r="P1107">
        <f>IF(B1124=0,0,O1107/B1124)</f>
        <v/>
      </c>
      <c r="Q1107" t="n">
        <v>0</v>
      </c>
      <c r="R1107" t="n">
        <v>0</v>
      </c>
      <c r="S1107">
        <f>IFERROR(O1107/N1107,0)</f>
        <v/>
      </c>
      <c r="T1107" t="n">
        <v>0</v>
      </c>
      <c r="V1107" t="n">
        <v>0</v>
      </c>
    </row>
    <row r="1108">
      <c r="A1108">
        <f>Skills!A23</f>
        <v/>
      </c>
      <c r="B1108">
        <f>Skills!B23</f>
        <v/>
      </c>
      <c r="C1108">
        <f>Inputs!$B$3&gt;=120</f>
        <v/>
      </c>
      <c r="D1108">
        <f>IF(Skills!C23=1,60+Inputs!$B$26+Inputs!$B$30,IF(Skills!C23=2,90+Inputs!$B$27+Inputs!$B$30,IF(Skills!C23=3,120+Inputs!$B$28+Inputs!$B$30,MAX(0,(Inputs!$B$3-100)*3)+Inputs!$B$29+Inputs!$B$30)))</f>
        <v/>
      </c>
      <c r="E1108">
        <f>INDEX(FactorTable!$B$2:$Y$301, MATCH(ROUND(MIN(300,MAX(1,D1108)),0), FactorTable!$A$2:$A$301,0), Skills!M23+1)</f>
        <v/>
      </c>
      <c r="F1108">
        <f>IF(Skills!N23=TRUE,(Skills!L23/10)*(E1108/1000),Skills!L23/10)+Skills!O23</f>
        <v/>
      </c>
      <c r="G1108">
        <f>Skills!G23*IF(Skills!H23&gt;0,Skills!I23/Skills!H23,1)</f>
        <v/>
      </c>
      <c r="H1108">
        <f>1-(1-Skills!J23/100)^Skills!K23</f>
        <v/>
      </c>
      <c r="I1108" t="inlineStr">
        <is>
          <t>1</t>
        </is>
      </c>
      <c r="J1108" t="inlineStr"/>
      <c r="K1108" t="inlineStr"/>
      <c r="L1108" t="inlineStr"/>
      <c r="M1108" t="inlineStr"/>
      <c r="N1108" t="inlineStr"/>
      <c r="O1108">
        <f>(1-Summary!$B$55)*T1108+Summary!$B$55*V1108</f>
        <v/>
      </c>
      <c r="P1108">
        <f>IF(B1124=0,0,O1108/B1124)</f>
        <v/>
      </c>
      <c r="Q1108" t="n">
        <v>0</v>
      </c>
      <c r="R1108" t="n">
        <v>0</v>
      </c>
      <c r="S1108">
        <f>IFERROR(O1108/N1108,0)</f>
        <v/>
      </c>
      <c r="T1108" t="n">
        <v>0</v>
      </c>
      <c r="V1108" t="n">
        <v>0</v>
      </c>
    </row>
    <row r="1109">
      <c r="A1109">
        <f>Skills!A24</f>
        <v/>
      </c>
      <c r="B1109">
        <f>Skills!B24</f>
        <v/>
      </c>
      <c r="C1109">
        <f>Inputs!$B$3&gt;=120</f>
        <v/>
      </c>
      <c r="D1109">
        <f>IF(Skills!C24=1,60+Inputs!$B$26+Inputs!$B$30,IF(Skills!C24=2,90+Inputs!$B$27+Inputs!$B$30,IF(Skills!C24=3,120+Inputs!$B$28+Inputs!$B$30,MAX(0,(Inputs!$B$3-100)*3)+Inputs!$B$29+Inputs!$B$30)))</f>
        <v/>
      </c>
      <c r="E1109">
        <f>INDEX(FactorTable!$B$2:$Y$301, MATCH(ROUND(MIN(300,MAX(1,D1109)),0), FactorTable!$A$2:$A$301,0), Skills!M24+1)</f>
        <v/>
      </c>
      <c r="F1109">
        <f>IF(Skills!N24=TRUE,(Skills!L24/10)*(E1109/1000),Skills!L24/10)+Skills!O24</f>
        <v/>
      </c>
      <c r="G1109">
        <f>Skills!G24*IF(Skills!H24&gt;0,Skills!I24/Skills!H24,1)</f>
        <v/>
      </c>
      <c r="H1109">
        <f>1-(1-Skills!J24/100)^Skills!K24</f>
        <v/>
      </c>
      <c r="I1109" t="inlineStr">
        <is>
          <t>1</t>
        </is>
      </c>
      <c r="J1109" t="inlineStr"/>
      <c r="K1109" t="inlineStr"/>
      <c r="L1109" t="inlineStr"/>
      <c r="M1109" t="inlineStr"/>
      <c r="N1109" t="inlineStr"/>
      <c r="O1109">
        <f>(1-Summary!$B$55)*T1109+Summary!$B$55*V1109</f>
        <v/>
      </c>
      <c r="P1109">
        <f>IF(B1124=0,0,O1109/B1124)</f>
        <v/>
      </c>
      <c r="Q1109" t="n">
        <v>0</v>
      </c>
      <c r="R1109" t="n">
        <v>0</v>
      </c>
      <c r="S1109">
        <f>IFERROR(O1109/N1109,0)</f>
        <v/>
      </c>
      <c r="T1109" t="n">
        <v>0</v>
      </c>
      <c r="V1109" t="n">
        <v>0</v>
      </c>
    </row>
    <row r="1110">
      <c r="A1110">
        <f>Skills!A25</f>
        <v/>
      </c>
      <c r="B1110">
        <f>Skills!B25</f>
        <v/>
      </c>
      <c r="C1110">
        <f>Inputs!$B$3&gt;=125</f>
        <v/>
      </c>
      <c r="D1110">
        <f>IF(Skills!C25=1,60+Inputs!$B$26+Inputs!$B$30,IF(Skills!C25=2,90+Inputs!$B$27+Inputs!$B$30,IF(Skills!C25=3,120+Inputs!$B$28+Inputs!$B$30,MAX(0,(Inputs!$B$3-100)*3)+Inputs!$B$29+Inputs!$B$30)))</f>
        <v/>
      </c>
      <c r="E1110">
        <f>INDEX(FactorTable!$B$2:$Y$301, MATCH(ROUND(MIN(300,MAX(1,D1110)),0), FactorTable!$A$2:$A$301,0), Skills!M25+1)</f>
        <v/>
      </c>
      <c r="F1110">
        <f>IF(Skills!N25=TRUE,(Skills!L25/10)*(E1110/1000),Skills!L25/10)+Skills!O25</f>
        <v/>
      </c>
      <c r="G1110">
        <f>Skills!G25*IF(Skills!H25&gt;0,Skills!I25/Skills!H25,1)</f>
        <v/>
      </c>
      <c r="H1110">
        <f>1-(1-Skills!J25/100)^Skills!K25</f>
        <v/>
      </c>
      <c r="I1110" t="inlineStr">
        <is>
          <t>1</t>
        </is>
      </c>
      <c r="J1110" t="inlineStr"/>
      <c r="K1110" t="inlineStr"/>
      <c r="L1110" t="inlineStr"/>
      <c r="M1110" t="inlineStr"/>
      <c r="N1110" t="inlineStr"/>
      <c r="O1110">
        <f>(1-Summary!$B$55)*T1110+Summary!$B$55*V1110</f>
        <v/>
      </c>
      <c r="P1110">
        <f>IF(B1124=0,0,O1110/B1124)</f>
        <v/>
      </c>
      <c r="Q1110" t="n">
        <v>0</v>
      </c>
      <c r="R1110" t="n">
        <v>0</v>
      </c>
      <c r="S1110">
        <f>IFERROR(O1110/N1110,0)</f>
        <v/>
      </c>
      <c r="T1110" t="n">
        <v>0</v>
      </c>
      <c r="V1110" t="n">
        <v>0</v>
      </c>
    </row>
    <row r="1111">
      <c r="A1111">
        <f>Skills!A26</f>
        <v/>
      </c>
      <c r="B1111">
        <f>Skills!B26</f>
        <v/>
      </c>
      <c r="C1111">
        <f>Inputs!$B$3&gt;=107</f>
        <v/>
      </c>
      <c r="D1111">
        <f>IF(Skills!C26=1,60+Inputs!$B$26+Inputs!$B$30,IF(Skills!C26=2,90+Inputs!$B$27+Inputs!$B$30,IF(Skills!C26=3,120+Inputs!$B$28+Inputs!$B$30,MAX(0,(Inputs!$B$3-100)*3)+Inputs!$B$29+Inputs!$B$30)))</f>
        <v/>
      </c>
      <c r="E1111">
        <f>INDEX(FactorTable!$B$2:$Y$301, MATCH(ROUND(MIN(300,MAX(1,D1111)),0), FactorTable!$A$2:$A$301,0), Skills!M26+1)</f>
        <v/>
      </c>
      <c r="F1111">
        <f>IF(Skills!N26=TRUE,(Skills!L26/10)*(E1111/1000),Skills!L26/10)+Skills!O26</f>
        <v/>
      </c>
      <c r="G1111">
        <f>Skills!G26*IF(Skills!H26&gt;0,Skills!I26/Skills!H26,1)</f>
        <v/>
      </c>
      <c r="H1111">
        <f>1-(1-Skills!J26/100)^Skills!K26</f>
        <v/>
      </c>
      <c r="I1111" t="inlineStr">
        <is>
          <t>1</t>
        </is>
      </c>
      <c r="J1111" t="inlineStr"/>
      <c r="K1111" t="inlineStr"/>
      <c r="L1111" t="inlineStr"/>
      <c r="M1111" t="inlineStr"/>
      <c r="N1111" t="inlineStr"/>
      <c r="O1111">
        <f>(1-Summary!$B$55)*T1111+Summary!$B$55*V1111</f>
        <v/>
      </c>
      <c r="P1111">
        <f>IF(B1124=0,0,O1111/B1124)</f>
        <v/>
      </c>
      <c r="Q1111" t="n">
        <v>0</v>
      </c>
      <c r="R1111" t="n">
        <v>0</v>
      </c>
      <c r="S1111">
        <f>IFERROR(O1111/N1111,0)</f>
        <v/>
      </c>
      <c r="T1111" t="n">
        <v>0</v>
      </c>
      <c r="V1111" t="n">
        <v>0</v>
      </c>
    </row>
    <row r="1113">
      <c r="A1113" t="inlineStr">
        <is>
          <t>Attack% Bucket Multiplier</t>
        </is>
      </c>
      <c r="B1113">
        <f>(1+(((C1098=TRUE)*F1098*IF(AND(Inputs!$B$39&lt;&gt;"pvp",Inputs!$B$44&gt;0),(((R1098-1)*(Skills!T13*(1+Inputs!$B$35/100))+MIN((Skills!T13*(1+Inputs!$B$35/100)),MAX(0,Inputs!$B$44-((R1098-1)*Skills!D13))))/Inputs!$B$44),IF(Inputs!$B$39="pvp",MIN((Skills!T13*(1+Inputs!$B$35/100)),15)/15,(Skills!T13*(1+Inputs!$B$35/100))/Skills!D13)))+((C1099=TRUE)*F1099*IF(AND(Inputs!$B$39&lt;&gt;"pvp",Inputs!$B$44&gt;0),(((R1099-1)*(Skills!T14*(1+Inputs!$B$35/100))+MIN((Skills!T14*(1+Inputs!$B$35/100)),MAX(0,Inputs!$B$44-((R1099-1)*Skills!D14))))/Inputs!$B$44),IF(Inputs!$B$39="pvp",MIN((Skills!T14*(1+Inputs!$B$35/100)),15)/15,(Skills!T14*(1+Inputs!$B$35/100))/Skills!D14)))+((C1100=TRUE)*F1100*IF(AND(Inputs!$B$39&lt;&gt;"pvp",Inputs!$B$44&gt;0),(((R1100-1)*(Skills!T15*(1+Inputs!$B$35/100))+MIN((Skills!T15*(1+Inputs!$B$35/100)),MAX(0,Inputs!$B$44-((R1100-1)*Skills!D15))))/Inputs!$B$44),IF(Inputs!$B$39="pvp",MIN((Skills!T15*(1+Inputs!$B$35/100)),15)/15,(Skills!T15*(1+Inputs!$B$35/100))/Skills!D15)))+((C1101=TRUE)*F1101*IF(AND(Inputs!$B$39&lt;&gt;"pvp",Inputs!$B$44&gt;0),(((R1101-1)*(Skills!T16*(1+Inputs!$B$35/100))+MIN((Skills!T16*(1+Inputs!$B$35/100)),MAX(0,Inputs!$B$44-((R1101-1)*Skills!D16))))/Inputs!$B$44),IF(Inputs!$B$39="pvp",MIN((Skills!T16*(1+Inputs!$B$35/100)),15)/15,(Skills!T16*(1+Inputs!$B$35/100))/Skills!D16)))+0)/100)</f>
        <v/>
      </c>
    </row>
    <row r="1114">
      <c r="A1114" t="inlineStr">
        <is>
          <t>Global Crit Rate Bonus % (Lord of Darkness)</t>
        </is>
      </c>
      <c r="B1114">
        <f>((C1103=TRUE)*F1103*(Skills!J18/100)*IF(AND(Inputs!$B$39&lt;&gt;"pvp",Inputs!$B$44&gt;0),(((R1103-1)*(Skills!T18*(1+Inputs!$B$35/100))+MIN((Skills!T18*(1+Inputs!$B$35/100)),MAX(0,Inputs!$B$44-((R1103-1)*Skills!D18))))/Inputs!$B$44),IF(Inputs!$B$39="pvp",MIN((Skills!T18*(1+Inputs!$B$35/100)),15)/15,(Skills!T18*(1+Inputs!$B$35/100))/Skills!D18)))</f>
        <v/>
      </c>
    </row>
    <row r="1115">
      <c r="A1115" t="inlineStr">
        <is>
          <t>Attack Speed Buff Bonus %</t>
        </is>
      </c>
      <c r="B1115">
        <f>((C1105=TRUE)*F1105*IF(AND(Inputs!$B$39&lt;&gt;"pvp",Inputs!$B$44&gt;0),(((R1105-1)*(Skills!T20*(1+Inputs!$B$35/100))+MIN((Skills!T20*(1+Inputs!$B$35/100)),MAX(0,Inputs!$B$44-((R1105-1)*Skills!D20))))/Inputs!$B$44),IF(Inputs!$B$39="pvp",MIN((Skills!T20*(1+Inputs!$B$35/100)),15)/15,(Skills!T20*(1+Inputs!$B$35/100))/Skills!D20)))</f>
        <v/>
      </c>
    </row>
    <row r="1116">
      <c r="A1116" t="inlineStr">
        <is>
          <t>Actions Per Second</t>
        </is>
      </c>
      <c r="B1116">
        <f>1+MIN(150,150*(1-(1-(Inputs!$B$12+((C1106=TRUE)*(F1106-Calc!F21)))/150)*(1-B1115/150)))/100</f>
        <v/>
      </c>
    </row>
    <row r="1117">
      <c r="A1117" t="inlineStr">
        <is>
          <t>Skill + Buff Cast Rate</t>
        </is>
      </c>
      <c r="B1117">
        <f>IF(AND(Inputs!$B$39&lt;&gt;"pvp",Inputs!$B$44&gt;0),SUMPRODUCT((Skills!E2:E26=TRUE)*(C1087:C1111=TRUE)*R1087:R1111*Skills!F2:F26)/Inputs!$B$44,SUMPRODUCT((Skills!E2:E26=TRUE)*(C1087:C1111=TRUE)*Q1087:Q1111*Skills!F2:F26))</f>
        <v/>
      </c>
    </row>
    <row r="1118">
      <c r="A1118" t="inlineStr">
        <is>
          <t>Dark Impale Casts Per Second</t>
        </is>
      </c>
      <c r="B1118">
        <f>MAX(0,B1116-B1117)</f>
        <v/>
      </c>
    </row>
    <row r="1119">
      <c r="A1119" t="inlineStr">
        <is>
          <t>Global Critical Damage Bonus % (Lord of Darkness)</t>
        </is>
      </c>
      <c r="B1119">
        <f>((C1104=TRUE)*F1104*(Skills!J19/100)*IF(AND(Inputs!$B$39&lt;&gt;"pvp",Inputs!$B$44&gt;0),(((R1104-1)*(Skills!T19*(1+Inputs!$B$35/100))+MIN((Skills!T19*(1+Inputs!$B$35/100)),MAX(0,Inputs!$B$44-((R1104-1)*Skills!D19))))/Inputs!$B$44),IF(Inputs!$B$39="pvp",MIN((Skills!T19*(1+Inputs!$B$35/100)),15)/15,(Skills!T19*(1+Inputs!$B$35/100))/Skills!D19)))</f>
        <v/>
      </c>
    </row>
    <row r="1120">
      <c r="A1120" t="inlineStr">
        <is>
          <t>Global Final Damage Bonus % (unused)</t>
        </is>
      </c>
      <c r="B1120" t="n">
        <v>0</v>
      </c>
    </row>
    <row r="1121">
      <c r="A1121" t="inlineStr">
        <is>
          <t>Buff-Casting Startup Delay (s, fixed-duration only)</t>
        </is>
      </c>
      <c r="B1121">
        <f>IF(AND(Inputs!$B$39&lt;&gt;"pvp",Inputs!$B$44&gt;0),SUMPRODUCT((Skills!T2:T26&gt;0)*(Skills!E2:E26=TRUE)*(C1087:C1111=TRUE))/B1116,0)</f>
        <v/>
      </c>
    </row>
    <row r="1122">
      <c r="A1122" t="inlineStr">
        <is>
          <t>Boss-Only Total DPS (this block's swept value)</t>
        </is>
      </c>
      <c r="B1122">
        <f>SUM(T1087:T1111)</f>
        <v/>
      </c>
    </row>
    <row r="1123">
      <c r="A1123" t="inlineStr">
        <is>
          <t>Normal-Only Total DPS (this block's swept value)</t>
        </is>
      </c>
      <c r="B1123">
        <f>SUM(V1087:V1111)</f>
        <v/>
      </c>
    </row>
    <row r="1124">
      <c r="A1124" s="5" t="inlineStr">
        <is>
          <t>TOTAL DPS</t>
        </is>
      </c>
      <c r="B1124" s="5">
        <f>SUM(O1087:O1111)</f>
        <v/>
      </c>
    </row>
    <row r="1127">
      <c r="A1127" s="5" t="inlineStr">
        <is>
          <t>Stat: Basic Attack Target Increase (flat)</t>
        </is>
      </c>
    </row>
    <row r="1128">
      <c r="A1128" s="9" t="inlineStr">
        <is>
          <t>Key</t>
        </is>
      </c>
      <c r="B1128" s="9" t="inlineStr">
        <is>
          <t>Name</t>
        </is>
      </c>
      <c r="C1128" s="9" t="inlineStr">
        <is>
          <t>Unlocked</t>
        </is>
      </c>
      <c r="D1128" s="9" t="inlineStr">
        <is>
          <t>InputLevel</t>
        </is>
      </c>
      <c r="E1128" s="9" t="inlineStr">
        <is>
          <t>Factor</t>
        </is>
      </c>
      <c r="F1128" s="9" t="inlineStr">
        <is>
          <t>CoefficientPercent</t>
        </is>
      </c>
      <c r="G1128" s="9" t="inlineStr">
        <is>
          <t>EffectiveHits</t>
        </is>
      </c>
      <c r="H1128" s="9" t="inlineStr">
        <is>
          <t>ProcProbability</t>
        </is>
      </c>
      <c r="I1128" s="9" t="inlineStr">
        <is>
          <t>MapleHeroMultiplier</t>
        </is>
      </c>
      <c r="J1128" s="9" t="inlineStr">
        <is>
          <t>BaseDamage</t>
        </is>
      </c>
      <c r="K1128" s="9" t="inlineStr">
        <is>
          <t>BaseHitDamage</t>
        </is>
      </c>
      <c r="L1128" s="9" t="inlineStr">
        <is>
          <t>NonCritAvg</t>
        </is>
      </c>
      <c r="M1128" s="9" t="inlineStr">
        <is>
          <t>CritAvg</t>
        </is>
      </c>
      <c r="N1128" s="9" t="inlineStr">
        <is>
          <t>ExpectedDamage(perHit)</t>
        </is>
      </c>
      <c r="O1128" s="9" t="inlineStr">
        <is>
          <t>DPS</t>
        </is>
      </c>
      <c r="P1128" s="9" t="inlineStr">
        <is>
          <t>% of Total</t>
        </is>
      </c>
      <c r="Q1128" s="9" t="inlineStr">
        <is>
          <t>InvCooldown</t>
        </is>
      </c>
      <c r="R1128" s="9" t="inlineStr">
        <is>
          <t>CastsInFight</t>
        </is>
      </c>
      <c r="S1128" s="9" t="inlineStr">
        <is>
          <t>HitRate(perSec)</t>
        </is>
      </c>
      <c r="U1128" t="inlineStr">
        <is>
          <t>helpers</t>
        </is>
      </c>
    </row>
    <row r="1129">
      <c r="A1129">
        <f>Skills!A2</f>
        <v/>
      </c>
      <c r="B1129">
        <f>Skills!B2</f>
        <v/>
      </c>
      <c r="C1129">
        <f>Inputs!$B$3&gt;=100</f>
        <v/>
      </c>
      <c r="D1129" t="inlineStr"/>
      <c r="E1129" t="inlineStr"/>
      <c r="F1129">
        <f>U1131+Skills!O2</f>
        <v/>
      </c>
      <c r="G1129">
        <f>Skills!G2*IF(Skills!H2&gt;0,Skills!I2/Skills!H2,1)</f>
        <v/>
      </c>
      <c r="H1129">
        <f>1-(1-Skills!J2/100)^Skills!K2</f>
        <v/>
      </c>
      <c r="I1129" t="inlineStr">
        <is>
          <t>1</t>
        </is>
      </c>
      <c r="J1129">
        <f>((Inputs!$B$6*(1+Inputs!$B$7/100))+(((Inputs!$B$13*(1+Inputs!$B$14/100))-(Inputs!$B$13*(1+Inputs!$B$14/100)))+0.25*(Inputs!$B$15-Inputs!$B$15))*(1+Inputs!$B$7/100))*(F1129/100)</f>
        <v/>
      </c>
      <c r="K1129">
        <f>J1129*(1+(((Inputs!$B$13+IF(Inputs!$B$3&gt;=38,(10*INDEX(FactorTable!$B$2:$Y$301, MATCH(ROUND(MIN(300,MAX(1,Inputs!$B$3)),0), FactorTable!$A$2:$A$301,0), 23)/1000)/100*(Inputs!$B$8*(1+Inputs!$B$9/100)),0))*(1+Inputs!$B$14/100))*0.01+Inputs!$B$15*0.0025)/100)*(1+Inputs!$B$16/100)*(1+Inputs!$B$17/100)*(5000/(6000+Inputs!$B$43*(1-(Inputs!$B$20+0)/100)))*(1+(Inputs!$B$25+((C1152=TRUE)*(F1152-Calc!F25))+((C1153=TRUE)*(F1153-Calc!F26))+B1162)/100)*(1+(IF(Skills!A2="DARK_IMPALE",Inputs!$B$18+0,Inputs!$B$19+((C1150=TRUE)*(F1150-Calc!F23))))/100)*((1+(((C1140=TRUE)*F1140*IF(AND(Inputs!$B$39&lt;&gt;"pvp",Inputs!$B$44&gt;0),(((R1140-1)*(Skills!T13*(1+Inputs!$B$35/100))+MIN((Skills!T13*(1+Inputs!$B$35/100)),MAX(0,Inputs!$B$44-((R1140-1)*Skills!D13))))/Inputs!$B$44),IF(Inputs!$B$39="pvp",MIN((Skills!T13*(1+Inputs!$B$35/100)),15)/15,(Skills!T13*(1+Inputs!$B$35/100))/Skills!D13)))+((C1141=TRUE)*F1141*IF(AND(Inputs!$B$39&lt;&gt;"pvp",Inputs!$B$44&gt;0),(((R1141-1)*(Skills!T14*(1+Inputs!$B$35/100))+MIN((Skills!T14*(1+Inputs!$B$35/100)),MAX(0,Inputs!$B$44-((R1141-1)*Skills!D14))))/Inputs!$B$44),IF(Inputs!$B$39="pvp",MIN((Skills!T14*(1+Inputs!$B$35/100)),15)/15,(Skills!T14*(1+Inputs!$B$35/100))/Skills!D14)))+((C1142=TRUE)*F1142*IF(AND(Inputs!$B$39&lt;&gt;"pvp",Inputs!$B$44&gt;0),(((R1142-1)*(Skills!T15*(1+Inputs!$B$35/100))+MIN((Skills!T15*(1+Inputs!$B$35/100)),MAX(0,Inputs!$B$44-((R1142-1)*Skills!D15))))/Inputs!$B$44),IF(Inputs!$B$39="pvp",MIN((Skills!T15*(1+Inputs!$B$35/100)),15)/15,(Skills!T15*(1+Inputs!$B$35/100))/Skills!D15)))+((C1143=TRUE)*F1143*IF(AND(Inputs!$B$39&lt;&gt;"pvp",Inputs!$B$44&gt;0),(((R1143-1)*(Skills!T16*(1+Inputs!$B$35/100))+MIN((Skills!T16*(1+Inputs!$B$35/100)),MAX(0,Inputs!$B$44-((R1143-1)*Skills!D16))))/Inputs!$B$44),IF(Inputs!$B$39="pvp",MIN((Skills!T16*(1+Inputs!$B$35/100)),15)/15,(Skills!T16*(1+Inputs!$B$35/100))/Skills!D16)))+0)/100)*I1129)</f>
        <v/>
      </c>
      <c r="L1129">
        <f>K1129*(MIN(Inputs!$B$23+((C1149=TRUE)*(F1149-Calc!F22)),Inputs!$B$24+((C1151=TRUE)*(F1151-Calc!F24)))/100+(Inputs!$B$24+((C1151=TRUE)*(F1151-Calc!F24)))/100)/2</f>
        <v/>
      </c>
      <c r="M1129">
        <f>L1129*(1+(Inputs!$B$11+0+B1161)/100)</f>
        <v/>
      </c>
      <c r="N1129">
        <f>L1129*(1-MIN((Inputs!$B$10+0+B1156),100)/100)+M1129*(MIN((Inputs!$B$10+0+B1156),100)/100)</f>
        <v/>
      </c>
      <c r="O1129">
        <f>(1-Summary!$B$55)*T1129+Summary!$B$55*V1129</f>
        <v/>
      </c>
      <c r="P1129">
        <f>IF(B1166=0,0,O1129/B1166)</f>
        <v/>
      </c>
      <c r="Q1129" t="n">
        <v>0</v>
      </c>
      <c r="R1129" t="n">
        <v>0</v>
      </c>
      <c r="S1129">
        <f>IFERROR(O1129/N1129,0)</f>
        <v/>
      </c>
      <c r="T1129">
        <f>IF(C1129,(Skills!G2*N1129*B1160)*IF(Inputs!$B$39="pvp",1,1+(Inputs!$B$21+0+Skills!P2+((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0)</f>
        <v/>
      </c>
      <c r="U1129">
        <f>MAX(0,(Inputs!$B$3-100)*3)+Inputs!$B$29+Inputs!$B$30</f>
        <v/>
      </c>
      <c r="V1129">
        <f>IF(C1129,(Skills!G2*N1129*B1160)*IF(Inputs!$B$39="pvp",1,(1+(Inputs!$B$22+Skills!Q2+((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MIN((6+(Inputs!$B$34+1)),Inputs!$B$38))),0)</f>
        <v/>
      </c>
    </row>
    <row r="1130">
      <c r="A1130">
        <f>Skills!A3</f>
        <v/>
      </c>
      <c r="B1130">
        <f>Skills!B3</f>
        <v/>
      </c>
      <c r="C1130">
        <f>Inputs!$B$3&gt;=50</f>
        <v/>
      </c>
      <c r="D1130">
        <f>IF(Skills!C3=1,60+Inputs!$B$26+Inputs!$B$30,IF(Skills!C3=2,90+Inputs!$B$27+Inputs!$B$30,IF(Skills!C3=3,120+Inputs!$B$28+Inputs!$B$30,MAX(0,(Inputs!$B$3-100)*3)+Inputs!$B$29+Inputs!$B$30)))</f>
        <v/>
      </c>
      <c r="E1130">
        <f>INDEX(FactorTable!$B$2:$Y$301, MATCH(ROUND(MIN(300,MAX(1,D1130)),0), FactorTable!$A$2:$A$301,0), Skills!M3+1)</f>
        <v/>
      </c>
      <c r="F1130">
        <f>IF(Skills!N3=TRUE,(Skills!L3/10)*(E1130/1000),Skills!L3/10)+Skills!O3</f>
        <v/>
      </c>
      <c r="G1130" t="inlineStr"/>
      <c r="H1130" t="inlineStr"/>
      <c r="I1130" t="inlineStr">
        <is>
          <t>1</t>
        </is>
      </c>
      <c r="J1130" t="inlineStr"/>
      <c r="K1130" t="inlineStr"/>
      <c r="L1130" t="inlineStr"/>
      <c r="M1130" t="inlineStr"/>
      <c r="N1130" t="inlineStr"/>
      <c r="O1130" t="inlineStr"/>
      <c r="P1130" t="inlineStr"/>
      <c r="Q1130" t="inlineStr"/>
      <c r="R1130" t="inlineStr"/>
      <c r="S1130" t="inlineStr"/>
      <c r="U1130">
        <f>INDEX(FactorTable!$B$2:$Y$301, MATCH(ROUND(MIN(300,MAX(1,U1129)),0), FactorTable!$A$2:$A$301,0), 22)</f>
        <v/>
      </c>
    </row>
    <row r="1131">
      <c r="A1131">
        <f>Skills!A4</f>
        <v/>
      </c>
      <c r="B1131">
        <f>Skills!B4</f>
        <v/>
      </c>
      <c r="C1131">
        <f>Inputs!$B$3&gt;=105</f>
        <v/>
      </c>
      <c r="D1131">
        <f>IF(Skills!C4=1,60+Inputs!$B$26+Inputs!$B$30,IF(Skills!C4=2,90+Inputs!$B$27+Inputs!$B$30,IF(Skills!C4=3,120+Inputs!$B$28+Inputs!$B$30,MAX(0,(Inputs!$B$3-100)*3)+Inputs!$B$29+Inputs!$B$30)))</f>
        <v/>
      </c>
      <c r="E1131">
        <f>INDEX(FactorTable!$B$2:$Y$301, MATCH(ROUND(MIN(300,MAX(1,D1131)),0), FactorTable!$A$2:$A$301,0), Skills!M4+1)</f>
        <v/>
      </c>
      <c r="F1131">
        <f>IF(Skills!N4=TRUE,(Skills!L4/10)*(E1131/1000),Skills!L4/10)+Skills!O4</f>
        <v/>
      </c>
      <c r="G1131" t="inlineStr"/>
      <c r="H1131" t="inlineStr"/>
      <c r="I1131" t="inlineStr">
        <is>
          <t>1</t>
        </is>
      </c>
      <c r="J1131" t="inlineStr"/>
      <c r="K1131" t="inlineStr"/>
      <c r="L1131" t="inlineStr"/>
      <c r="M1131" t="inlineStr"/>
      <c r="N1131" t="inlineStr"/>
      <c r="O1131" t="inlineStr"/>
      <c r="P1131" t="inlineStr"/>
      <c r="Q1131" t="inlineStr"/>
      <c r="R1131" t="inlineStr"/>
      <c r="S1131" t="inlineStr"/>
      <c r="U1131">
        <f>290*U1130/1000</f>
        <v/>
      </c>
    </row>
    <row r="1132">
      <c r="A1132">
        <f>Skills!A5</f>
        <v/>
      </c>
      <c r="B1132">
        <f>Skills!B5</f>
        <v/>
      </c>
      <c r="C1132">
        <f>Inputs!$B$3&gt;=117</f>
        <v/>
      </c>
      <c r="D1132">
        <f>IF(Skills!C5=1,60+Inputs!$B$26+Inputs!$B$30,IF(Skills!C5=2,90+Inputs!$B$27+Inputs!$B$30,IF(Skills!C5=3,120+Inputs!$B$28+Inputs!$B$30,MAX(0,(Inputs!$B$3-100)*3)+Inputs!$B$29+Inputs!$B$30)))</f>
        <v/>
      </c>
      <c r="E1132">
        <f>INDEX(FactorTable!$B$2:$Y$301, MATCH(ROUND(MIN(300,MAX(1,D1132)),0), FactorTable!$A$2:$A$301,0), Skills!M5+1)</f>
        <v/>
      </c>
      <c r="F1132">
        <f>IF(Skills!N5=TRUE,(Skills!L5/10)*(E1132/1000),Skills!L5/10)+Skills!O5</f>
        <v/>
      </c>
      <c r="G1132">
        <f>Skills!G5*IF(Skills!H5&gt;0,Skills!I5/Skills!H5,1)</f>
        <v/>
      </c>
      <c r="H1132">
        <f>1-(1-Skills!J5/100)^Skills!K5</f>
        <v/>
      </c>
      <c r="I1132" t="inlineStr">
        <is>
          <t>1</t>
        </is>
      </c>
      <c r="J1132">
        <f>((Inputs!$B$6*(1+Inputs!$B$7/100))+(((Inputs!$B$13*(1+Inputs!$B$14/100))-(Inputs!$B$13*(1+Inputs!$B$14/100)))+0.25*(Inputs!$B$15-Inputs!$B$15))*(1+Inputs!$B$7/100))*(F1132/100)</f>
        <v/>
      </c>
      <c r="K1132">
        <f>J1132*(1+(((Inputs!$B$13+IF(Inputs!$B$3&gt;=38,(10*INDEX(FactorTable!$B$2:$Y$301, MATCH(ROUND(MIN(300,MAX(1,Inputs!$B$3)),0), FactorTable!$A$2:$A$301,0), 23)/1000)/100*(Inputs!$B$8*(1+Inputs!$B$9/100)),0))*(1+Inputs!$B$14/100))*0.01+Inputs!$B$15*0.0025)/100)*(1+Inputs!$B$16/100)*(1+Inputs!$B$17/100)*(5000/(6000+Inputs!$B$43*(1-(Inputs!$B$20+0)/100)))*(1+(Inputs!$B$25+((C1152=TRUE)*(F1152-Calc!F25))+((C1153=TRUE)*(F1153-Calc!F26))+B1162)/100)*(1+(IF(Skills!A5="DARK_IMPALE",Inputs!$B$18+0,Inputs!$B$19+((C1150=TRUE)*(F1150-Calc!F23))))/100)*((1+(((C1140=TRUE)*F1140*IF(AND(Inputs!$B$39&lt;&gt;"pvp",Inputs!$B$44&gt;0),(((R1140-1)*(Skills!T13*(1+Inputs!$B$35/100))+MIN((Skills!T13*(1+Inputs!$B$35/100)),MAX(0,Inputs!$B$44-((R1140-1)*Skills!D13))))/Inputs!$B$44),IF(Inputs!$B$39="pvp",MIN((Skills!T13*(1+Inputs!$B$35/100)),15)/15,(Skills!T13*(1+Inputs!$B$35/100))/Skills!D13)))+((C1141=TRUE)*F1141*IF(AND(Inputs!$B$39&lt;&gt;"pvp",Inputs!$B$44&gt;0),(((R1141-1)*(Skills!T14*(1+Inputs!$B$35/100))+MIN((Skills!T14*(1+Inputs!$B$35/100)),MAX(0,Inputs!$B$44-((R1141-1)*Skills!D14))))/Inputs!$B$44),IF(Inputs!$B$39="pvp",MIN((Skills!T14*(1+Inputs!$B$35/100)),15)/15,(Skills!T14*(1+Inputs!$B$35/100))/Skills!D14)))+((C1142=TRUE)*F1142*IF(AND(Inputs!$B$39&lt;&gt;"pvp",Inputs!$B$44&gt;0),(((R1142-1)*(Skills!T15*(1+Inputs!$B$35/100))+MIN((Skills!T15*(1+Inputs!$B$35/100)),MAX(0,Inputs!$B$44-((R1142-1)*Skills!D15))))/Inputs!$B$44),IF(Inputs!$B$39="pvp",MIN((Skills!T15*(1+Inputs!$B$35/100)),15)/15,(Skills!T15*(1+Inputs!$B$35/100))/Skills!D15)))+((C1143=TRUE)*F1143*IF(AND(Inputs!$B$39&lt;&gt;"pvp",Inputs!$B$44&gt;0),(((R1143-1)*(Skills!T16*(1+Inputs!$B$35/100))+MIN((Skills!T16*(1+Inputs!$B$35/100)),MAX(0,Inputs!$B$44-((R1143-1)*Skills!D16))))/Inputs!$B$44),IF(Inputs!$B$39="pvp",MIN((Skills!T16*(1+Inputs!$B$35/100)),15)/15,(Skills!T16*(1+Inputs!$B$35/100))/Skills!D16)))+0)/100)*I1132)</f>
        <v/>
      </c>
      <c r="L1132">
        <f>K1132*(MIN(Inputs!$B$23+((C1149=TRUE)*(F1149-Calc!F22)),Inputs!$B$24+((C1151=TRUE)*(F1151-Calc!F24)))/100+(Inputs!$B$24+((C1151=TRUE)*(F1151-Calc!F24)))/100)/2</f>
        <v/>
      </c>
      <c r="M1132">
        <f>L1132*(1+(Inputs!$B$11+0+B1161)/100)</f>
        <v/>
      </c>
      <c r="N1132">
        <f>L1132*(1-MIN((Inputs!$B$10+0+B1156),100)/100)+M1132*(MIN((Inputs!$B$10+0+B1156),100)/100)</f>
        <v/>
      </c>
      <c r="O1132">
        <f>(1-Summary!$B$55)*T1132+Summary!$B$55*V1132</f>
        <v/>
      </c>
      <c r="P1132">
        <f>IF(B1166=0,0,O1132/B1166)</f>
        <v/>
      </c>
      <c r="Q1132">
        <f>IFERROR(1/IF(Inputs!$B$39="pvp",15,MAX(0.1,Skills!D5-IF(Skills!E5=TRUE,Inputs!$B$33,0))),0)</f>
        <v/>
      </c>
      <c r="R1132">
        <f>IF(AND(Inputs!$B$39&lt;&gt;"pvp",Inputs!$B$44&gt;0),IF(MAX(0,Inputs!$B$44-B1163)&lt;=0,0,(INT(MAX(0,Inputs!$B$44-B1163)/IF(Inputs!$B$39="pvp",15,MAX(0.1,Skills!D5-IF(Skills!E5=TRUE,Inputs!$B$33,0))))+1)),0)</f>
        <v/>
      </c>
      <c r="S1132">
        <f>IFERROR(O1132/N1132,0)</f>
        <v/>
      </c>
      <c r="T1132">
        <f>IF(C1132,(H1132*N1132*IF(AND(Inputs!$B$39&lt;&gt;"pvp",Inputs!$B$44&gt;0),((Skills!G5*((R1132-1)*IF(Skills!H5&gt;0,Skills!I5/Skills!H5,1)+IF(Skills!H5&gt;0,MIN(Skills!I5,MAX(0,MAX(0,Inputs!$B$44-B1163)-((R1132-1)*IF(Inputs!$B$39="pvp",15,MAX(0.1,Skills!D5-IF(Skills!E5=TRUE,Inputs!$B$33,0))))))/Skills!H5,1)))/Inputs!$B$44),G1132*Q1132))*IF(Inputs!$B$39="pvp",1,1+(Inputs!$B$21+0+Skills!P5+((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0)</f>
        <v/>
      </c>
      <c r="V1132">
        <f>IF(C1132,(H1132*N1132*IF(AND(Inputs!$B$39&lt;&gt;"pvp",Inputs!$B$44&gt;0),((Skills!G5*((R1132-1)*IF(Skills!H5&gt;0,Skills!I5/Skills!H5,1)+IF(Skills!H5&gt;0,MIN(Skills!I5,MAX(0,MAX(0,Inputs!$B$44-B1163)-((R1132-1)*IF(Inputs!$B$39="pvp",15,MAX(0.1,Skills!D5-IF(Skills!E5=TRUE,Inputs!$B$33,0))))))/Skills!H5,1)))/Inputs!$B$44),G1132*Q1132))*IF(Inputs!$B$39="pvp",1,(1+(Inputs!$B$22+Skills!Q5+((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MIN(Skills!R5,Inputs!$B$38))),0)</f>
        <v/>
      </c>
    </row>
    <row r="1133">
      <c r="A1133">
        <f>Skills!A6</f>
        <v/>
      </c>
      <c r="B1133">
        <f>Skills!B6</f>
        <v/>
      </c>
      <c r="C1133">
        <f>Inputs!$B$3&gt;=103</f>
        <v/>
      </c>
      <c r="D1133">
        <f>IF(Skills!C6=1,60+Inputs!$B$26+Inputs!$B$30,IF(Skills!C6=2,90+Inputs!$B$27+Inputs!$B$30,IF(Skills!C6=3,120+Inputs!$B$28+Inputs!$B$30,MAX(0,(Inputs!$B$3-100)*3)+Inputs!$B$29+Inputs!$B$30)))</f>
        <v/>
      </c>
      <c r="E1133">
        <f>INDEX(FactorTable!$B$2:$Y$301, MATCH(ROUND(MIN(300,MAX(1,D1133)),0), FactorTable!$A$2:$A$301,0), Skills!M6+1)</f>
        <v/>
      </c>
      <c r="F1133">
        <f>IF(Skills!N6=TRUE,(Skills!L6/10)*(E1133/1000),Skills!L6/10)+Skills!O6</f>
        <v/>
      </c>
      <c r="G1133">
        <f>Skills!G6*IF(Skills!H6&gt;0,Skills!I6/Skills!H6,1)</f>
        <v/>
      </c>
      <c r="H1133">
        <f>1-(1-Skills!J6/100)^Skills!K6</f>
        <v/>
      </c>
      <c r="I1133" t="inlineStr">
        <is>
          <t>1</t>
        </is>
      </c>
      <c r="J1133">
        <f>((Inputs!$B$6*(1+Inputs!$B$7/100))+(((Inputs!$B$13*(1+Inputs!$B$14/100))-(Inputs!$B$13*(1+Inputs!$B$14/100)))+0.25*(Inputs!$B$15-Inputs!$B$15))*(1+Inputs!$B$7/100))*(F1133/100)</f>
        <v/>
      </c>
      <c r="K1133">
        <f>J1133*(1+(((Inputs!$B$13+IF(Inputs!$B$3&gt;=38,(10*INDEX(FactorTable!$B$2:$Y$301, MATCH(ROUND(MIN(300,MAX(1,Inputs!$B$3)),0), FactorTable!$A$2:$A$301,0), 23)/1000)/100*(Inputs!$B$8*(1+Inputs!$B$9/100)),0))*(1+Inputs!$B$14/100))*0.01+Inputs!$B$15*0.0025)/100)*(1+Inputs!$B$16/100)*(1+Inputs!$B$17/100)*(5000/(6000+Inputs!$B$43*(1-(Inputs!$B$20+0)/100)))*(1+(Inputs!$B$25+((C1152=TRUE)*(F1152-Calc!F25))+((C1153=TRUE)*(F1153-Calc!F26))+B1162)/100)*(1+(IF(Skills!A6="DARK_IMPALE",Inputs!$B$18+0,Inputs!$B$19+((C1150=TRUE)*(F1150-Calc!F23))))/100)*((1+(((C1140=TRUE)*F1140*IF(AND(Inputs!$B$39&lt;&gt;"pvp",Inputs!$B$44&gt;0),(((R1140-1)*(Skills!T13*(1+Inputs!$B$35/100))+MIN((Skills!T13*(1+Inputs!$B$35/100)),MAX(0,Inputs!$B$44-((R1140-1)*Skills!D13))))/Inputs!$B$44),IF(Inputs!$B$39="pvp",MIN((Skills!T13*(1+Inputs!$B$35/100)),15)/15,(Skills!T13*(1+Inputs!$B$35/100))/Skills!D13)))+((C1141=TRUE)*F1141*IF(AND(Inputs!$B$39&lt;&gt;"pvp",Inputs!$B$44&gt;0),(((R1141-1)*(Skills!T14*(1+Inputs!$B$35/100))+MIN((Skills!T14*(1+Inputs!$B$35/100)),MAX(0,Inputs!$B$44-((R1141-1)*Skills!D14))))/Inputs!$B$44),IF(Inputs!$B$39="pvp",MIN((Skills!T14*(1+Inputs!$B$35/100)),15)/15,(Skills!T14*(1+Inputs!$B$35/100))/Skills!D14)))+((C1142=TRUE)*F1142*IF(AND(Inputs!$B$39&lt;&gt;"pvp",Inputs!$B$44&gt;0),(((R1142-1)*(Skills!T15*(1+Inputs!$B$35/100))+MIN((Skills!T15*(1+Inputs!$B$35/100)),MAX(0,Inputs!$B$44-((R1142-1)*Skills!D15))))/Inputs!$B$44),IF(Inputs!$B$39="pvp",MIN((Skills!T15*(1+Inputs!$B$35/100)),15)/15,(Skills!T15*(1+Inputs!$B$35/100))/Skills!D15)))+((C1143=TRUE)*F1143*IF(AND(Inputs!$B$39&lt;&gt;"pvp",Inputs!$B$44&gt;0),(((R1143-1)*(Skills!T16*(1+Inputs!$B$35/100))+MIN((Skills!T16*(1+Inputs!$B$35/100)),MAX(0,Inputs!$B$44-((R1143-1)*Skills!D16))))/Inputs!$B$44),IF(Inputs!$B$39="pvp",MIN((Skills!T16*(1+Inputs!$B$35/100)),15)/15,(Skills!T16*(1+Inputs!$B$35/100))/Skills!D16)))+0)/100)*I1133)</f>
        <v/>
      </c>
      <c r="L1133">
        <f>K1133*(MIN(Inputs!$B$23+((C1149=TRUE)*(F1149-Calc!F22)),Inputs!$B$24+((C1151=TRUE)*(F1151-Calc!F24)))/100+(Inputs!$B$24+((C1151=TRUE)*(F1151-Calc!F24)))/100)/2</f>
        <v/>
      </c>
      <c r="M1133">
        <f>L1133*(1+(Inputs!$B$11+0+B1161)/100)</f>
        <v/>
      </c>
      <c r="N1133">
        <f>L1133*(1-MIN((Inputs!$B$10+0+B1156),100)/100)+M1133*(MIN((Inputs!$B$10+0+B1156),100)/100)</f>
        <v/>
      </c>
      <c r="O1133">
        <f>(1-Summary!$B$55)*T1133+Summary!$B$55*V1133</f>
        <v/>
      </c>
      <c r="P1133">
        <f>IF(B1166=0,0,O1133/B1166)</f>
        <v/>
      </c>
      <c r="Q1133">
        <f>IFERROR(1/IF(Inputs!$B$39="pvp",15,MAX(0.1,Skills!D6-IF(Skills!E6=TRUE,Inputs!$B$33,0))),0)</f>
        <v/>
      </c>
      <c r="R1133">
        <f>IF(AND(Inputs!$B$39&lt;&gt;"pvp",Inputs!$B$44&gt;0),IF(MAX(0,Inputs!$B$44-B1163)&lt;=0,0,(INT(MAX(0,Inputs!$B$44-B1163)/IF(Inputs!$B$39="pvp",15,MAX(0.1,Skills!D6-IF(Skills!E6=TRUE,Inputs!$B$33,0))))+1)),0)</f>
        <v/>
      </c>
      <c r="S1133">
        <f>IFERROR(O1133/N1133,0)</f>
        <v/>
      </c>
      <c r="T1133">
        <f>IF(C1133,(H1133*N1133*IF(AND(Inputs!$B$39&lt;&gt;"pvp",Inputs!$B$44&gt;0),((Skills!G6*((R1133-1)*IF(Skills!H6&gt;0,Skills!I6/Skills!H6,1)+IF(Skills!H6&gt;0,MIN(Skills!I6,MAX(0,MAX(0,Inputs!$B$44-B1163)-((R1133-1)*IF(Inputs!$B$39="pvp",15,MAX(0.1,Skills!D6-IF(Skills!E6=TRUE,Inputs!$B$33,0))))))/Skills!H6,1)))/Inputs!$B$44),G1133*Q1133))*IF(Inputs!$B$39="pvp",1,1+(Inputs!$B$21+0+Skills!P6+((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0)</f>
        <v/>
      </c>
      <c r="V1133">
        <f>IF(C1133,(H1133*N1133*IF(AND(Inputs!$B$39&lt;&gt;"pvp",Inputs!$B$44&gt;0),((Skills!G6*((R1133-1)*IF(Skills!H6&gt;0,Skills!I6/Skills!H6,1)+IF(Skills!H6&gt;0,MIN(Skills!I6,MAX(0,MAX(0,Inputs!$B$44-B1163)-((R1133-1)*IF(Inputs!$B$39="pvp",15,MAX(0.1,Skills!D6-IF(Skills!E6=TRUE,Inputs!$B$33,0))))))/Skills!H6,1)))/Inputs!$B$44),G1133*Q1133))*IF(Inputs!$B$39="pvp",1,(1+(Inputs!$B$22+Skills!Q6+((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MIN(Skills!R6,Inputs!$B$38))),0)</f>
        <v/>
      </c>
    </row>
    <row r="1134">
      <c r="A1134">
        <f>Skills!A7</f>
        <v/>
      </c>
      <c r="B1134">
        <f>Skills!B7</f>
        <v/>
      </c>
      <c r="C1134">
        <f>Inputs!$B$3&gt;=40</f>
        <v/>
      </c>
      <c r="D1134">
        <f>IF(Skills!C7=1,60+Inputs!$B$26+Inputs!$B$30,IF(Skills!C7=2,90+Inputs!$B$27+Inputs!$B$30,IF(Skills!C7=3,120+Inputs!$B$28+Inputs!$B$30,MAX(0,(Inputs!$B$3-100)*3)+Inputs!$B$29+Inputs!$B$30)))</f>
        <v/>
      </c>
      <c r="E1134">
        <f>INDEX(FactorTable!$B$2:$Y$301, MATCH(ROUND(MIN(300,MAX(1,D1134)),0), FactorTable!$A$2:$A$301,0), Skills!M7+1)</f>
        <v/>
      </c>
      <c r="F1134">
        <f>IF(Skills!N7=TRUE,(Skills!L7/10)*(E1134/1000),Skills!L7/10)+Skills!O7</f>
        <v/>
      </c>
      <c r="G1134">
        <f>Skills!G7*IF(Skills!H7&gt;0,Skills!I7/Skills!H7,1)</f>
        <v/>
      </c>
      <c r="H1134">
        <f>1-(1-Skills!J7/100)^Skills!K7</f>
        <v/>
      </c>
      <c r="I1134" t="inlineStr">
        <is>
          <t>1</t>
        </is>
      </c>
      <c r="J1134">
        <f>((Inputs!$B$6*(1+Inputs!$B$7/100))+(((Inputs!$B$13*(1+Inputs!$B$14/100))-(Inputs!$B$13*(1+Inputs!$B$14/100)))+0.25*(Inputs!$B$15-Inputs!$B$15))*(1+Inputs!$B$7/100))*(F1134/100)</f>
        <v/>
      </c>
      <c r="K1134">
        <f>J1134*(1+(((Inputs!$B$13+IF(Inputs!$B$3&gt;=38,(10*INDEX(FactorTable!$B$2:$Y$301, MATCH(ROUND(MIN(300,MAX(1,Inputs!$B$3)),0), FactorTable!$A$2:$A$301,0), 23)/1000)/100*(Inputs!$B$8*(1+Inputs!$B$9/100)),0))*(1+Inputs!$B$14/100))*0.01+Inputs!$B$15*0.0025)/100)*(1+Inputs!$B$16/100)*(1+Inputs!$B$17/100)*(5000/(6000+Inputs!$B$43*(1-(Inputs!$B$20+0)/100)))*(1+(Inputs!$B$25+((C1152=TRUE)*(F1152-Calc!F25))+((C1153=TRUE)*(F1153-Calc!F26))+B1162)/100)*(1+0.75*IF(C1138=TRUE,F1138,0)/100)*(1+(IF(Skills!A7="DARK_IMPALE",Inputs!$B$18+0,Inputs!$B$19+((C1150=TRUE)*(F1150-Calc!F23))))/100)*((1+(((C1140=TRUE)*F1140*IF(AND(Inputs!$B$39&lt;&gt;"pvp",Inputs!$B$44&gt;0),(((R1140-1)*(Skills!T13*(1+Inputs!$B$35/100))+MIN((Skills!T13*(1+Inputs!$B$35/100)),MAX(0,Inputs!$B$44-((R1140-1)*Skills!D13))))/Inputs!$B$44),IF(Inputs!$B$39="pvp",MIN((Skills!T13*(1+Inputs!$B$35/100)),15)/15,(Skills!T13*(1+Inputs!$B$35/100))/Skills!D13)))+((C1141=TRUE)*F1141*IF(AND(Inputs!$B$39&lt;&gt;"pvp",Inputs!$B$44&gt;0),(((R1141-1)*(Skills!T14*(1+Inputs!$B$35/100))+MIN((Skills!T14*(1+Inputs!$B$35/100)),MAX(0,Inputs!$B$44-((R1141-1)*Skills!D14))))/Inputs!$B$44),IF(Inputs!$B$39="pvp",MIN((Skills!T14*(1+Inputs!$B$35/100)),15)/15,(Skills!T14*(1+Inputs!$B$35/100))/Skills!D14)))+((C1142=TRUE)*F1142*IF(AND(Inputs!$B$39&lt;&gt;"pvp",Inputs!$B$44&gt;0),(((R1142-1)*(Skills!T15*(1+Inputs!$B$35/100))+MIN((Skills!T15*(1+Inputs!$B$35/100)),MAX(0,Inputs!$B$44-((R1142-1)*Skills!D15))))/Inputs!$B$44),IF(Inputs!$B$39="pvp",MIN((Skills!T15*(1+Inputs!$B$35/100)),15)/15,(Skills!T15*(1+Inputs!$B$35/100))/Skills!D15)))+((C1143=TRUE)*F1143*IF(AND(Inputs!$B$39&lt;&gt;"pvp",Inputs!$B$44&gt;0),(((R1143-1)*(Skills!T16*(1+Inputs!$B$35/100))+MIN((Skills!T16*(1+Inputs!$B$35/100)),MAX(0,Inputs!$B$44-((R1143-1)*Skills!D16))))/Inputs!$B$44),IF(Inputs!$B$39="pvp",MIN((Skills!T16*(1+Inputs!$B$35/100)),15)/15,(Skills!T16*(1+Inputs!$B$35/100))/Skills!D16)))+0)/100)*I1134)</f>
        <v/>
      </c>
      <c r="L1134">
        <f>K1134*(MIN(Inputs!$B$23+((C1149=TRUE)*(F1149-Calc!F22)),Inputs!$B$24+((C1151=TRUE)*(F1151-Calc!F24)))/100+(Inputs!$B$24+((C1151=TRUE)*(F1151-Calc!F24)))/100)/2</f>
        <v/>
      </c>
      <c r="M1134">
        <f>L1134*(1+(Inputs!$B$11+0+B1161)/100)</f>
        <v/>
      </c>
      <c r="N1134">
        <f>L1134*(1-MIN((Inputs!$B$10+0+B1156),100)/100)+M1134*(MIN((Inputs!$B$10+0+B1156),100)/100)</f>
        <v/>
      </c>
      <c r="O1134">
        <f>(1-Summary!$B$55)*T1134+Summary!$B$55*V1134</f>
        <v/>
      </c>
      <c r="P1134">
        <f>IF(B1166=0,0,O1134/B1166)</f>
        <v/>
      </c>
      <c r="Q1134">
        <f>IFERROR(1/IF(Inputs!$B$39="pvp",15,MAX(0.1,Skills!D7-IF(Skills!E7=TRUE,Inputs!$B$33,0))),0)</f>
        <v/>
      </c>
      <c r="R1134">
        <f>IF(AND(Inputs!$B$39&lt;&gt;"pvp",Inputs!$B$44&gt;0),IF(MAX(0,Inputs!$B$44-B1163)&lt;=0,0,(INT(MAX(0,Inputs!$B$44-B1163)/IF(Inputs!$B$39="pvp",15,MAX(0.1,Skills!D7-IF(Skills!E7=TRUE,Inputs!$B$33,0))))+1)),0)</f>
        <v/>
      </c>
      <c r="S1134">
        <f>IFERROR(O1134/N1134,0)</f>
        <v/>
      </c>
      <c r="T1134">
        <f>IF(C1134,(H1134*N1134*IF(AND(Inputs!$B$39&lt;&gt;"pvp",Inputs!$B$44&gt;0),((Skills!G7*((R1134-1)*IF(Skills!H7&gt;0,Skills!I7/Skills!H7,1)+IF(Skills!H7&gt;0,MIN(Skills!I7,MAX(0,MAX(0,Inputs!$B$44-B1163)-((R1134-1)*IF(Inputs!$B$39="pvp",15,MAX(0.1,Skills!D7-IF(Skills!E7=TRUE,Inputs!$B$33,0))))))/Skills!H7,1)))/Inputs!$B$44),G1134*Q1134))*IF(Inputs!$B$39="pvp",1,1+(Inputs!$B$21+0+Skills!P7+((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0)</f>
        <v/>
      </c>
      <c r="V1134">
        <f>IF(C1134,(H1134*N1134*IF(AND(Inputs!$B$39&lt;&gt;"pvp",Inputs!$B$44&gt;0),((Skills!G7*((R1134-1)*IF(Skills!H7&gt;0,Skills!I7/Skills!H7,1)+IF(Skills!H7&gt;0,MIN(Skills!I7,MAX(0,MAX(0,Inputs!$B$44-B1163)-((R1134-1)*IF(Inputs!$B$39="pvp",15,MAX(0.1,Skills!D7-IF(Skills!E7=TRUE,Inputs!$B$33,0))))))/Skills!H7,1)))/Inputs!$B$44),G1134*Q1134))*IF(Inputs!$B$39="pvp",1,(1+(Inputs!$B$22+Skills!Q7+((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MIN(Skills!R7,Inputs!$B$38))),0)</f>
        <v/>
      </c>
    </row>
    <row r="1135">
      <c r="A1135">
        <f>Skills!A8</f>
        <v/>
      </c>
      <c r="B1135">
        <f>Skills!B8</f>
        <v/>
      </c>
      <c r="C1135">
        <f>Inputs!$B$3&gt;=75</f>
        <v/>
      </c>
      <c r="D1135">
        <f>IF(Skills!C8=1,60+Inputs!$B$26+Inputs!$B$30,IF(Skills!C8=2,90+Inputs!$B$27+Inputs!$B$30,IF(Skills!C8=3,120+Inputs!$B$28+Inputs!$B$30,MAX(0,(Inputs!$B$3-100)*3)+Inputs!$B$29+Inputs!$B$30)))</f>
        <v/>
      </c>
      <c r="E1135">
        <f>INDEX(FactorTable!$B$2:$Y$301, MATCH(ROUND(MIN(300,MAX(1,D1135)),0), FactorTable!$A$2:$A$301,0), Skills!M8+1)</f>
        <v/>
      </c>
      <c r="F1135">
        <f>IF(Skills!N8=TRUE,(Skills!L8/10)*(E1135/1000),Skills!L8/10)+Skills!O8</f>
        <v/>
      </c>
      <c r="G1135" t="inlineStr"/>
      <c r="H1135" t="inlineStr"/>
      <c r="I1135" t="inlineStr">
        <is>
          <t>1</t>
        </is>
      </c>
      <c r="J1135" t="inlineStr"/>
      <c r="K1135" t="inlineStr"/>
      <c r="L1135" t="inlineStr"/>
      <c r="M1135" t="inlineStr"/>
      <c r="N1135" t="inlineStr"/>
      <c r="O1135" t="inlineStr"/>
      <c r="P1135" t="inlineStr"/>
      <c r="Q1135" t="inlineStr"/>
      <c r="R1135" t="inlineStr"/>
      <c r="S1135" t="inlineStr"/>
    </row>
    <row r="1136">
      <c r="A1136">
        <f>Skills!A9</f>
        <v/>
      </c>
      <c r="B1136">
        <f>Skills!B9</f>
        <v/>
      </c>
      <c r="C1136">
        <f>Inputs!$B$3&gt;=60</f>
        <v/>
      </c>
      <c r="D1136">
        <f>IF(Skills!C9=1,60+Inputs!$B$26+Inputs!$B$30,IF(Skills!C9=2,90+Inputs!$B$27+Inputs!$B$30,IF(Skills!C9=3,120+Inputs!$B$28+Inputs!$B$30,MAX(0,(Inputs!$B$3-100)*3)+Inputs!$B$29+Inputs!$B$30)))</f>
        <v/>
      </c>
      <c r="E1136">
        <f>INDEX(FactorTable!$B$2:$Y$301, MATCH(ROUND(MIN(300,MAX(1,D1136)),0), FactorTable!$A$2:$A$301,0), Skills!M9+1)</f>
        <v/>
      </c>
      <c r="F1136">
        <f>IF(Skills!N9=TRUE,(Skills!L9/10)*(E1136/1000),Skills!L9/10)+Skills!O9</f>
        <v/>
      </c>
      <c r="G1136">
        <f>Skills!G9*IF(Skills!H9&gt;0,Skills!I9/Skills!H9,1)</f>
        <v/>
      </c>
      <c r="H1136">
        <f>1-(1-Skills!J9/100)^Skills!K9</f>
        <v/>
      </c>
      <c r="I1136" t="inlineStr">
        <is>
          <t>1</t>
        </is>
      </c>
      <c r="J1136">
        <f>((Inputs!$B$6*(1+Inputs!$B$7/100))+(((Inputs!$B$13*(1+Inputs!$B$14/100))-(Inputs!$B$13*(1+Inputs!$B$14/100)))+0.25*(Inputs!$B$15-Inputs!$B$15))*(1+Inputs!$B$7/100))*(F1136/100)</f>
        <v/>
      </c>
      <c r="K1136">
        <f>J1136*(1+(((Inputs!$B$13+IF(Inputs!$B$3&gt;=38,(10*INDEX(FactorTable!$B$2:$Y$301, MATCH(ROUND(MIN(300,MAX(1,Inputs!$B$3)),0), FactorTable!$A$2:$A$301,0), 23)/1000)/100*(Inputs!$B$8*(1+Inputs!$B$9/100)),0))*(1+Inputs!$B$14/100))*0.01+Inputs!$B$15*0.0025)/100)*(1+Inputs!$B$16/100)*(1+Inputs!$B$17/100)*(5000/(6000+Inputs!$B$43*(1-(Inputs!$B$20+0)/100)))*(1+(Inputs!$B$25+((C1152=TRUE)*(F1152-Calc!F25))+((C1153=TRUE)*(F1153-Calc!F26))+B1162)/100)*(1+1.0*IF(C1138=TRUE,F1138,0)/100)*(1+(IF(Skills!A9="DARK_IMPALE",Inputs!$B$18+0,Inputs!$B$19+((C1150=TRUE)*(F1150-Calc!F23))))/100)*((1+(((C1140=TRUE)*F1140*IF(AND(Inputs!$B$39&lt;&gt;"pvp",Inputs!$B$44&gt;0),(((R1140-1)*(Skills!T13*(1+Inputs!$B$35/100))+MIN((Skills!T13*(1+Inputs!$B$35/100)),MAX(0,Inputs!$B$44-((R1140-1)*Skills!D13))))/Inputs!$B$44),IF(Inputs!$B$39="pvp",MIN((Skills!T13*(1+Inputs!$B$35/100)),15)/15,(Skills!T13*(1+Inputs!$B$35/100))/Skills!D13)))+((C1141=TRUE)*F1141*IF(AND(Inputs!$B$39&lt;&gt;"pvp",Inputs!$B$44&gt;0),(((R1141-1)*(Skills!T14*(1+Inputs!$B$35/100))+MIN((Skills!T14*(1+Inputs!$B$35/100)),MAX(0,Inputs!$B$44-((R1141-1)*Skills!D14))))/Inputs!$B$44),IF(Inputs!$B$39="pvp",MIN((Skills!T14*(1+Inputs!$B$35/100)),15)/15,(Skills!T14*(1+Inputs!$B$35/100))/Skills!D14)))+((C1142=TRUE)*F1142*IF(AND(Inputs!$B$39&lt;&gt;"pvp",Inputs!$B$44&gt;0),(((R1142-1)*(Skills!T15*(1+Inputs!$B$35/100))+MIN((Skills!T15*(1+Inputs!$B$35/100)),MAX(0,Inputs!$B$44-((R1142-1)*Skills!D15))))/Inputs!$B$44),IF(Inputs!$B$39="pvp",MIN((Skills!T15*(1+Inputs!$B$35/100)),15)/15,(Skills!T15*(1+Inputs!$B$35/100))/Skills!D15)))+((C1143=TRUE)*F1143*IF(AND(Inputs!$B$39&lt;&gt;"pvp",Inputs!$B$44&gt;0),(((R1143-1)*(Skills!T16*(1+Inputs!$B$35/100))+MIN((Skills!T16*(1+Inputs!$B$35/100)),MAX(0,Inputs!$B$44-((R1143-1)*Skills!D16))))/Inputs!$B$44),IF(Inputs!$B$39="pvp",MIN((Skills!T16*(1+Inputs!$B$35/100)),15)/15,(Skills!T16*(1+Inputs!$B$35/100))/Skills!D16)))+0)/100)*I1136)</f>
        <v/>
      </c>
      <c r="L1136">
        <f>K1136*(MIN(Inputs!$B$23+((C1149=TRUE)*(F1149-Calc!F22)),Inputs!$B$24+((C1151=TRUE)*(F1151-Calc!F24)))/100+(Inputs!$B$24+((C1151=TRUE)*(F1151-Calc!F24)))/100)/2</f>
        <v/>
      </c>
      <c r="M1136">
        <f>L1136*(1+(Inputs!$B$11+0+B1161)/100)</f>
        <v/>
      </c>
      <c r="N1136">
        <f>L1136*(1-MIN((Inputs!$B$10+0+B1156),100)/100)+M1136*(MIN((Inputs!$B$10+0+B1156),100)/100)</f>
        <v/>
      </c>
      <c r="O1136">
        <f>(1-Summary!$B$55)*T1136+Summary!$B$55*V1136</f>
        <v/>
      </c>
      <c r="P1136">
        <f>IF(B1166=0,0,O1136/B1166)</f>
        <v/>
      </c>
      <c r="Q1136">
        <f>IFERROR(1/IF(Inputs!$B$39="pvp",15,MAX(0.1,Skills!D9-IF(Skills!E9=TRUE,Inputs!$B$33,0))),0)</f>
        <v/>
      </c>
      <c r="R1136">
        <f>IF(AND(Inputs!$B$39&lt;&gt;"pvp",Inputs!$B$44&gt;0),IF(MAX(0,Inputs!$B$44-B1163)&lt;=0,0,(INT(MAX(0,Inputs!$B$44-B1163)/IF(Inputs!$B$39="pvp",15,MAX(0.1,Skills!D9-IF(Skills!E9=TRUE,Inputs!$B$33,0))))+1)),0)</f>
        <v/>
      </c>
      <c r="S1136">
        <f>IFERROR(O1136/N1136,0)</f>
        <v/>
      </c>
      <c r="T1136">
        <f>IF(C1136,(H1136*N1136*IF(AND(Inputs!$B$39&lt;&gt;"pvp",Inputs!$B$44&gt;0),((Skills!G9*((R1136-1)*IF(Skills!H9&gt;0,Skills!I9/Skills!H9,1)+IF(Skills!H9&gt;0,MIN(Skills!I9,MAX(0,MAX(0,Inputs!$B$44-B1163)-((R1136-1)*IF(Inputs!$B$39="pvp",15,MAX(0.1,Skills!D9-IF(Skills!E9=TRUE,Inputs!$B$33,0))))))/Skills!H9,1)))/Inputs!$B$44),G1136*Q1136))*IF(Inputs!$B$39="pvp",1,1+(Inputs!$B$21+0+Skills!P9+((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0)</f>
        <v/>
      </c>
      <c r="V1136">
        <f>IF(C1136,(H1136*N1136*IF(AND(Inputs!$B$39&lt;&gt;"pvp",Inputs!$B$44&gt;0),((Skills!G9*((R1136-1)*IF(Skills!H9&gt;0,Skills!I9/Skills!H9,1)+IF(Skills!H9&gt;0,MIN(Skills!I9,MAX(0,MAX(0,Inputs!$B$44-B1163)-((R1136-1)*IF(Inputs!$B$39="pvp",15,MAX(0.1,Skills!D9-IF(Skills!E9=TRUE,Inputs!$B$33,0))))))/Skills!H9,1)))/Inputs!$B$44),G1136*Q1136))*IF(Inputs!$B$39="pvp",1,(1+(Inputs!$B$22+Skills!Q9+((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MIN(Skills!R9,Inputs!$B$38))),0)</f>
        <v/>
      </c>
    </row>
    <row r="1137">
      <c r="A1137">
        <f>Skills!A10</f>
        <v/>
      </c>
      <c r="B1137">
        <f>Skills!B10</f>
        <v/>
      </c>
      <c r="C1137">
        <f>Inputs!$B$3&gt;=110</f>
        <v/>
      </c>
      <c r="D1137">
        <f>IF(Skills!C10=1,60+Inputs!$B$26+Inputs!$B$30,IF(Skills!C10=2,90+Inputs!$B$27+Inputs!$B$30,IF(Skills!C10=3,120+Inputs!$B$28+Inputs!$B$30,MAX(0,(Inputs!$B$3-100)*3)+Inputs!$B$29+Inputs!$B$30)))</f>
        <v/>
      </c>
      <c r="E1137">
        <f>INDEX(FactorTable!$B$2:$Y$301, MATCH(ROUND(MIN(300,MAX(1,D1137)),0), FactorTable!$A$2:$A$301,0), Skills!M10+1)</f>
        <v/>
      </c>
      <c r="F1137">
        <f>IF(Skills!N10=TRUE,(Skills!L10/10)*(E1137/1000),Skills!L10/10)+Skills!O10</f>
        <v/>
      </c>
      <c r="G1137">
        <f>Skills!G10*IF(Skills!H10&gt;0,Skills!I10/Skills!H10,1)</f>
        <v/>
      </c>
      <c r="H1137">
        <f>1-(1-Skills!J10/100)^Skills!K10</f>
        <v/>
      </c>
      <c r="I1137" t="inlineStr">
        <is>
          <t>1</t>
        </is>
      </c>
      <c r="J1137">
        <f>((Inputs!$B$6*(1+Inputs!$B$7/100))+(((Inputs!$B$13*(1+Inputs!$B$14/100))-(Inputs!$B$13*(1+Inputs!$B$14/100)))+0.25*(Inputs!$B$15-Inputs!$B$15))*(1+Inputs!$B$7/100))*(F1137/100)</f>
        <v/>
      </c>
      <c r="K1137">
        <f>J1137*(1+(((Inputs!$B$13+IF(Inputs!$B$3&gt;=38,(10*INDEX(FactorTable!$B$2:$Y$301, MATCH(ROUND(MIN(300,MAX(1,Inputs!$B$3)),0), FactorTable!$A$2:$A$301,0), 23)/1000)/100*(Inputs!$B$8*(1+Inputs!$B$9/100)),0))*(1+Inputs!$B$14/100))*0.01+Inputs!$B$15*0.0025)/100)*(1+Inputs!$B$16/100)*(1+Inputs!$B$17/100)*(5000/(6000+Inputs!$B$43*(1-(Inputs!$B$20+0)/100)))*(1+(Inputs!$B$25+((C1152=TRUE)*(F1152-Calc!F25))+((C1153=TRUE)*(F1153-Calc!F26))+B1162)/100)*(1+(IF(Skills!A10="DARK_IMPALE",Inputs!$B$18+0,Inputs!$B$19+((C1150=TRUE)*(F1150-Calc!F23))))/100)*((1+(((C1140=TRUE)*F1140*IF(AND(Inputs!$B$39&lt;&gt;"pvp",Inputs!$B$44&gt;0),(((R1140-1)*(Skills!T13*(1+Inputs!$B$35/100))+MIN((Skills!T13*(1+Inputs!$B$35/100)),MAX(0,Inputs!$B$44-((R1140-1)*Skills!D13))))/Inputs!$B$44),IF(Inputs!$B$39="pvp",MIN((Skills!T13*(1+Inputs!$B$35/100)),15)/15,(Skills!T13*(1+Inputs!$B$35/100))/Skills!D13)))+((C1141=TRUE)*F1141*IF(AND(Inputs!$B$39&lt;&gt;"pvp",Inputs!$B$44&gt;0),(((R1141-1)*(Skills!T14*(1+Inputs!$B$35/100))+MIN((Skills!T14*(1+Inputs!$B$35/100)),MAX(0,Inputs!$B$44-((R1141-1)*Skills!D14))))/Inputs!$B$44),IF(Inputs!$B$39="pvp",MIN((Skills!T14*(1+Inputs!$B$35/100)),15)/15,(Skills!T14*(1+Inputs!$B$35/100))/Skills!D14)))+((C1142=TRUE)*F1142*IF(AND(Inputs!$B$39&lt;&gt;"pvp",Inputs!$B$44&gt;0),(((R1142-1)*(Skills!T15*(1+Inputs!$B$35/100))+MIN((Skills!T15*(1+Inputs!$B$35/100)),MAX(0,Inputs!$B$44-((R1142-1)*Skills!D15))))/Inputs!$B$44),IF(Inputs!$B$39="pvp",MIN((Skills!T15*(1+Inputs!$B$35/100)),15)/15,(Skills!T15*(1+Inputs!$B$35/100))/Skills!D15)))+((C1143=TRUE)*F1143*IF(AND(Inputs!$B$39&lt;&gt;"pvp",Inputs!$B$44&gt;0),(((R1143-1)*(Skills!T16*(1+Inputs!$B$35/100))+MIN((Skills!T16*(1+Inputs!$B$35/100)),MAX(0,Inputs!$B$44-((R1143-1)*Skills!D16))))/Inputs!$B$44),IF(Inputs!$B$39="pvp",MIN((Skills!T16*(1+Inputs!$B$35/100)),15)/15,(Skills!T16*(1+Inputs!$B$35/100))/Skills!D16)))+0)/100)*I1137)</f>
        <v/>
      </c>
      <c r="L1137">
        <f>K1137*(MIN(Inputs!$B$23+((C1149=TRUE)*(F1149-Calc!F22)),Inputs!$B$24+((C1151=TRUE)*(F1151-Calc!F24)))/100+(Inputs!$B$24+((C1151=TRUE)*(F1151-Calc!F24)))/100)/2</f>
        <v/>
      </c>
      <c r="M1137">
        <f>L1137*(1+(Inputs!$B$11+0+B1161)/100)</f>
        <v/>
      </c>
      <c r="N1137">
        <f>L1137*(1-MIN((Inputs!$B$10+0+B1156),100)/100)+M1137*(MIN((Inputs!$B$10+0+B1156),100)/100)</f>
        <v/>
      </c>
      <c r="O1137">
        <f>(1-Summary!$B$55)*T1137+Summary!$B$55*V1137</f>
        <v/>
      </c>
      <c r="P1137">
        <f>IF(B1166=0,0,O1137/B1166)</f>
        <v/>
      </c>
      <c r="Q1137">
        <f>IFERROR(1/IF(Inputs!$B$39="pvp",15,MAX(0.1,Skills!D10-IF(Skills!E10=TRUE,Inputs!$B$33,0))),0)</f>
        <v/>
      </c>
      <c r="R1137">
        <f>IF(AND(Inputs!$B$39&lt;&gt;"pvp",Inputs!$B$44&gt;0),IF(MAX(0,Inputs!$B$44-B1163)&lt;=0,0,(INT(MAX(0,Inputs!$B$44-B1163)/IF(Inputs!$B$39="pvp",15,MAX(0.1,Skills!D10-IF(Skills!E10=TRUE,Inputs!$B$33,0))))+1)),0)</f>
        <v/>
      </c>
      <c r="S1137">
        <f>IFERROR(O1137/N1137,0)</f>
        <v/>
      </c>
      <c r="T1137">
        <f>IF(C1137,(H1137*N1137*IF(AND(Inputs!$B$39&lt;&gt;"pvp",Inputs!$B$44&gt;0),((Skills!G10*((R1137-1)*IF(Skills!H10&gt;0,Skills!I10/Skills!H10,1)+IF(Skills!H10&gt;0,MIN(Skills!I10,MAX(0,MAX(0,Inputs!$B$44-B1163)-((R1137-1)*IF(Inputs!$B$39="pvp",15,MAX(0.1,Skills!D10-IF(Skills!E10=TRUE,Inputs!$B$33,0))))))/Skills!H10,1)))/Inputs!$B$44),G1137*Q1137))*IF(Inputs!$B$39="pvp",1,1+(Inputs!$B$21+0+Skills!P10+((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0)</f>
        <v/>
      </c>
      <c r="V1137">
        <f>IF(C1137,(H1137*N1137*IF(AND(Inputs!$B$39&lt;&gt;"pvp",Inputs!$B$44&gt;0),((Skills!G10*((R1137-1)*IF(Skills!H10&gt;0,Skills!I10/Skills!H10,1)+IF(Skills!H10&gt;0,MIN(Skills!I10,MAX(0,MAX(0,Inputs!$B$44-B1163)-((R1137-1)*IF(Inputs!$B$39="pvp",15,MAX(0.1,Skills!D10-IF(Skills!E10=TRUE,Inputs!$B$33,0))))))/Skills!H10,1)))/Inputs!$B$44),G1137*Q1137))*IF(Inputs!$B$39="pvp",1,(1+(Inputs!$B$22+Skills!Q10+((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MIN(Skills!R10,Inputs!$B$38))),0)</f>
        <v/>
      </c>
    </row>
    <row r="1138">
      <c r="A1138">
        <f>Skills!A11</f>
        <v/>
      </c>
      <c r="B1138">
        <f>Skills!B11</f>
        <v/>
      </c>
      <c r="C1138">
        <f>Inputs!$B$3&gt;=100</f>
        <v/>
      </c>
      <c r="D1138">
        <f>IF(Skills!C11=1,60+Inputs!$B$26+Inputs!$B$30,IF(Skills!C11=2,90+Inputs!$B$27+Inputs!$B$30,IF(Skills!C11=3,120+Inputs!$B$28+Inputs!$B$30,MAX(0,(Inputs!$B$3-100)*3)+Inputs!$B$29+Inputs!$B$30)))</f>
        <v/>
      </c>
      <c r="E1138">
        <f>INDEX(FactorTable!$B$2:$Y$301, MATCH(ROUND(MIN(300,MAX(1,D1138)),0), FactorTable!$A$2:$A$301,0), Skills!M11+1)</f>
        <v/>
      </c>
      <c r="F1138">
        <f>IF(Skills!N11=TRUE,(Skills!L11/10)*(E1138/1000),Skills!L11/10)+Skills!O11</f>
        <v/>
      </c>
      <c r="G1138" t="inlineStr"/>
      <c r="H1138" t="inlineStr"/>
      <c r="I1138" t="inlineStr">
        <is>
          <t>1</t>
        </is>
      </c>
      <c r="J1138" t="inlineStr"/>
      <c r="K1138" t="inlineStr"/>
      <c r="L1138" t="inlineStr"/>
      <c r="M1138" t="inlineStr"/>
      <c r="N1138" t="inlineStr"/>
      <c r="O1138" t="inlineStr"/>
      <c r="P1138" t="inlineStr"/>
      <c r="Q1138" t="inlineStr"/>
      <c r="R1138" t="inlineStr"/>
      <c r="S1138" t="inlineStr"/>
    </row>
    <row r="1139">
      <c r="A1139">
        <f>Skills!A12</f>
        <v/>
      </c>
      <c r="B1139">
        <f>Skills!B12</f>
        <v/>
      </c>
      <c r="C1139">
        <f>Inputs!$B$3&gt;=63</f>
        <v/>
      </c>
      <c r="D1139">
        <f>IF(Skills!C12=1,60+Inputs!$B$26+Inputs!$B$30,IF(Skills!C12=2,90+Inputs!$B$27+Inputs!$B$30,IF(Skills!C12=3,120+Inputs!$B$28+Inputs!$B$30,MAX(0,(Inputs!$B$3-100)*3)+Inputs!$B$29+Inputs!$B$30)))</f>
        <v/>
      </c>
      <c r="E1139">
        <f>INDEX(FactorTable!$B$2:$Y$301, MATCH(ROUND(MIN(300,MAX(1,D1139)),0), FactorTable!$A$2:$A$301,0), Skills!M12+1)</f>
        <v/>
      </c>
      <c r="F1139">
        <f>IF(Skills!N12=TRUE,(Skills!L12/10)*(E1139/1000),Skills!L12/10)+Skills!O12</f>
        <v/>
      </c>
      <c r="G1139">
        <f>Skills!G12*IF(Skills!H12&gt;0,Skills!I12/Skills!H12,1)</f>
        <v/>
      </c>
      <c r="H1139">
        <f>1-(1-Skills!J12/100)^Skills!K12</f>
        <v/>
      </c>
      <c r="I1139" t="inlineStr">
        <is>
          <t>1</t>
        </is>
      </c>
      <c r="J1139">
        <f>((Inputs!$B$6*(1+Inputs!$B$7/100))+(((Inputs!$B$13*(1+Inputs!$B$14/100))-(Inputs!$B$13*(1+Inputs!$B$14/100)))+0.25*(Inputs!$B$15-Inputs!$B$15))*(1+Inputs!$B$7/100))*(F1139/100)</f>
        <v/>
      </c>
      <c r="K1139">
        <f>J1139*(1+(((Inputs!$B$13+IF(Inputs!$B$3&gt;=38,(10*INDEX(FactorTable!$B$2:$Y$301, MATCH(ROUND(MIN(300,MAX(1,Inputs!$B$3)),0), FactorTable!$A$2:$A$301,0), 23)/1000)/100*(Inputs!$B$8*(1+Inputs!$B$9/100)),0))*(1+Inputs!$B$14/100))*0.01+Inputs!$B$15*0.0025)/100)*(1+Inputs!$B$16/100)*(1+Inputs!$B$17/100)*(5000/(6000+Inputs!$B$43*(1-(Inputs!$B$20+0)/100)))*(1+(Inputs!$B$25+((C1152=TRUE)*(F1152-Calc!F25))+((C1153=TRUE)*(F1153-Calc!F26))+B1162)/100)*(1+0.75*IF(C1138=TRUE,F1138,0)/100)*(1+(IF(Skills!A12="DARK_IMPALE",Inputs!$B$18+0,Inputs!$B$19+((C1150=TRUE)*(F1150-Calc!F23))))/100)*((1+(((C1140=TRUE)*F1140*IF(AND(Inputs!$B$39&lt;&gt;"pvp",Inputs!$B$44&gt;0),(((R1140-1)*(Skills!T13*(1+Inputs!$B$35/100))+MIN((Skills!T13*(1+Inputs!$B$35/100)),MAX(0,Inputs!$B$44-((R1140-1)*Skills!D13))))/Inputs!$B$44),IF(Inputs!$B$39="pvp",MIN((Skills!T13*(1+Inputs!$B$35/100)),15)/15,(Skills!T13*(1+Inputs!$B$35/100))/Skills!D13)))+((C1141=TRUE)*F1141*IF(AND(Inputs!$B$39&lt;&gt;"pvp",Inputs!$B$44&gt;0),(((R1141-1)*(Skills!T14*(1+Inputs!$B$35/100))+MIN((Skills!T14*(1+Inputs!$B$35/100)),MAX(0,Inputs!$B$44-((R1141-1)*Skills!D14))))/Inputs!$B$44),IF(Inputs!$B$39="pvp",MIN((Skills!T14*(1+Inputs!$B$35/100)),15)/15,(Skills!T14*(1+Inputs!$B$35/100))/Skills!D14)))+((C1142=TRUE)*F1142*IF(AND(Inputs!$B$39&lt;&gt;"pvp",Inputs!$B$44&gt;0),(((R1142-1)*(Skills!T15*(1+Inputs!$B$35/100))+MIN((Skills!T15*(1+Inputs!$B$35/100)),MAX(0,Inputs!$B$44-((R1142-1)*Skills!D15))))/Inputs!$B$44),IF(Inputs!$B$39="pvp",MIN((Skills!T15*(1+Inputs!$B$35/100)),15)/15,(Skills!T15*(1+Inputs!$B$35/100))/Skills!D15)))+((C1143=TRUE)*F1143*IF(AND(Inputs!$B$39&lt;&gt;"pvp",Inputs!$B$44&gt;0),(((R1143-1)*(Skills!T16*(1+Inputs!$B$35/100))+MIN((Skills!T16*(1+Inputs!$B$35/100)),MAX(0,Inputs!$B$44-((R1143-1)*Skills!D16))))/Inputs!$B$44),IF(Inputs!$B$39="pvp",MIN((Skills!T16*(1+Inputs!$B$35/100)),15)/15,(Skills!T16*(1+Inputs!$B$35/100))/Skills!D16)))+0)/100)*I1139)</f>
        <v/>
      </c>
      <c r="L1139">
        <f>K1139*(MIN(Inputs!$B$23+((C1149=TRUE)*(F1149-Calc!F22)),Inputs!$B$24+((C1151=TRUE)*(F1151-Calc!F24)))/100+(Inputs!$B$24+((C1151=TRUE)*(F1151-Calc!F24)))/100)/2</f>
        <v/>
      </c>
      <c r="M1139">
        <f>L1139*(1+(Inputs!$B$11+0+B1161)/100)</f>
        <v/>
      </c>
      <c r="N1139">
        <f>L1139*(1-MIN((Inputs!$B$10+0+B1156),100)/100)+M1139*(MIN((Inputs!$B$10+0+B1156),100)/100)</f>
        <v/>
      </c>
      <c r="O1139">
        <f>(1-Summary!$B$55)*T1139+Summary!$B$55*V1139</f>
        <v/>
      </c>
      <c r="P1139">
        <f>IF(B1166=0,0,O1139/B1166)</f>
        <v/>
      </c>
      <c r="Q1139">
        <f>IFERROR(1/IF(Inputs!$B$39="pvp",15,MAX(0.1,Skills!D12-IF(Skills!E12=TRUE,Inputs!$B$33,0))),0)</f>
        <v/>
      </c>
      <c r="R1139">
        <f>IF(AND(Inputs!$B$39&lt;&gt;"pvp",Inputs!$B$44&gt;0),IF(MAX(0,Inputs!$B$44-B1163)&lt;=0,0,(INT(MAX(0,Inputs!$B$44-B1163)/IF(Inputs!$B$39="pvp",15,MAX(0.1,Skills!D12-IF(Skills!E12=TRUE,Inputs!$B$33,0))))+1)),0)</f>
        <v/>
      </c>
      <c r="S1139">
        <f>IFERROR(O1139/N1139,0)</f>
        <v/>
      </c>
      <c r="T1139">
        <f>IF(C1139,(H1139*N1139*IF(AND(Inputs!$B$39&lt;&gt;"pvp",Inputs!$B$44&gt;0),((Skills!G12*((R1139-1)*IF(Skills!H12&gt;0,Skills!I12/Skills!H12,1)+IF(Skills!H12&gt;0,MIN(Skills!I12,MAX(0,MAX(0,Inputs!$B$44-B1163)-((R1139-1)*IF(Inputs!$B$39="pvp",15,MAX(0.1,Skills!D12-IF(Skills!E12=TRUE,Inputs!$B$33,0))))))/Skills!H12,1)))/Inputs!$B$44),G1139*Q1139))*IF(Inputs!$B$39="pvp",1,1+(Inputs!$B$21+0+Skills!P12+((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0)</f>
        <v/>
      </c>
      <c r="V1139">
        <f>IF(C1139,(H1139*N1139*IF(AND(Inputs!$B$39&lt;&gt;"pvp",Inputs!$B$44&gt;0),((Skills!G12*((R1139-1)*IF(Skills!H12&gt;0,Skills!I12/Skills!H12,1)+IF(Skills!H12&gt;0,MIN(Skills!I12,MAX(0,MAX(0,Inputs!$B$44-B1163)-((R1139-1)*IF(Inputs!$B$39="pvp",15,MAX(0.1,Skills!D12-IF(Skills!E12=TRUE,Inputs!$B$33,0))))))/Skills!H12,1)))/Inputs!$B$44),G1139*Q1139))*IF(Inputs!$B$39="pvp",1,(1+(Inputs!$B$22+Skills!Q12+((C1144=TRUE)*F1144*IF(AND(Inputs!$B$39&lt;&gt;"pvp",Inputs!$B$44&gt;0),(((R1144-1)*(Skills!T17*(1+Inputs!$B$35/100))+MIN((Skills!T17*(1+Inputs!$B$35/100)),MAX(0,Inputs!$B$44-((R1144-1)*Skills!D17))))/Inputs!$B$44),IF(Inputs!$B$39="pvp",MIN((Skills!T17*(1+Inputs!$B$35/100)),15)/15,(Skills!T17*(1+Inputs!$B$35/100))/Skills!D17)))+((C1141=TRUE)*IF(Inputs!$B$39="pvp",20,(1-Summary!$B$55)*(20)+Summary!$B$55*(0))*IF(AND(Inputs!$B$39&lt;&gt;"pvp",Inputs!$B$44&gt;0),(((R1141-1)*(Skills!T14*(1+Inputs!$B$35/100))+MIN((Skills!T14*(1+Inputs!$B$35/100)),MAX(0,Inputs!$B$44-((R1141-1)*Skills!D14))))/Inputs!$B$44),IF(Inputs!$B$39="pvp",MIN((Skills!T14*(1+Inputs!$B$35/100)),15)/15,(Skills!T14*(1+Inputs!$B$35/100))/Skills!D14))))/100)*(MIN(Skills!R12,Inputs!$B$38))),0)</f>
        <v/>
      </c>
    </row>
    <row r="1140">
      <c r="A1140">
        <f>Skills!A13</f>
        <v/>
      </c>
      <c r="B1140">
        <f>Skills!B13</f>
        <v/>
      </c>
      <c r="C1140">
        <f>Inputs!$B$3&gt;=69</f>
        <v/>
      </c>
      <c r="D1140">
        <f>IF(Skills!C13=1,60+Inputs!$B$26+Inputs!$B$30,IF(Skills!C13=2,90+Inputs!$B$27+Inputs!$B$30,IF(Skills!C13=3,120+Inputs!$B$28+Inputs!$B$30,MAX(0,(Inputs!$B$3-100)*3)+Inputs!$B$29+Inputs!$B$30)))</f>
        <v/>
      </c>
      <c r="E1140">
        <f>INDEX(FactorTable!$B$2:$Y$301, MATCH(ROUND(MIN(300,MAX(1,D1140)),0), FactorTable!$A$2:$A$301,0), Skills!M13+1)</f>
        <v/>
      </c>
      <c r="F1140">
        <f>IF(Skills!N13=TRUE,(Skills!L13/10)*(E1140/1000),Skills!L13/10)+Skills!O13</f>
        <v/>
      </c>
      <c r="G1140">
        <f>Skills!G13*IF(Skills!H13&gt;0,Skills!I13/Skills!H13,1)</f>
        <v/>
      </c>
      <c r="H1140">
        <f>1-(1-Skills!J13/100)^Skills!K13</f>
        <v/>
      </c>
      <c r="I1140" t="inlineStr">
        <is>
          <t>1</t>
        </is>
      </c>
      <c r="J1140" t="inlineStr"/>
      <c r="K1140" t="inlineStr"/>
      <c r="L1140" t="inlineStr"/>
      <c r="M1140" t="inlineStr"/>
      <c r="N1140" t="inlineStr"/>
      <c r="O1140">
        <f>(1-Summary!$B$55)*T1140+Summary!$B$55*V1140</f>
        <v/>
      </c>
      <c r="P1140">
        <f>IF(B1166=0,0,O1140/B1166)</f>
        <v/>
      </c>
      <c r="Q1140">
        <f>IFERROR(1/IF(Inputs!$B$39="pvp",15,MAX(0.1,Skills!D13-IF(Skills!E13=TRUE,Inputs!$B$33,0))),0)</f>
        <v/>
      </c>
      <c r="R1140">
        <f>IF(AND(Inputs!$B$39&lt;&gt;"pvp",Inputs!$B$44&gt;0),IF(Inputs!$B$44&lt;=0,0,(INT(Inputs!$B$44/IF(Inputs!$B$39="pvp",15,MAX(0.1,Skills!D13-IF(Skills!E13=TRUE,Inputs!$B$33,0))))+1)),0)</f>
        <v/>
      </c>
      <c r="S1140">
        <f>IFERROR(O1140/N1140,0)</f>
        <v/>
      </c>
      <c r="T1140" t="n">
        <v>0</v>
      </c>
      <c r="V1140" t="n">
        <v>0</v>
      </c>
    </row>
    <row r="1141">
      <c r="A1141">
        <f>Skills!A14</f>
        <v/>
      </c>
      <c r="B1141">
        <f>Skills!B14</f>
        <v/>
      </c>
      <c r="C1141">
        <f>Inputs!$B$3&gt;=115</f>
        <v/>
      </c>
      <c r="D1141">
        <f>IF(Skills!C14=1,60+Inputs!$B$26+Inputs!$B$30,IF(Skills!C14=2,90+Inputs!$B$27+Inputs!$B$30,IF(Skills!C14=3,120+Inputs!$B$28+Inputs!$B$30,MAX(0,(Inputs!$B$3-100)*3)+Inputs!$B$29+Inputs!$B$30)))</f>
        <v/>
      </c>
      <c r="E1141">
        <f>INDEX(FactorTable!$B$2:$Y$301, MATCH(ROUND(MIN(300,MAX(1,D1141)),0), FactorTable!$A$2:$A$301,0), Skills!M14+1)</f>
        <v/>
      </c>
      <c r="F1141">
        <f>IF(Skills!N14=TRUE,(Skills!L14/10)*(E1141/1000),Skills!L14/10)+Skills!O14</f>
        <v/>
      </c>
      <c r="G1141">
        <f>Skills!G14*IF(Skills!H14&gt;0,Skills!I14/Skills!H14,1)</f>
        <v/>
      </c>
      <c r="H1141">
        <f>1-(1-Skills!J14/100)^Skills!K14</f>
        <v/>
      </c>
      <c r="I1141" t="inlineStr">
        <is>
          <t>1</t>
        </is>
      </c>
      <c r="J1141" t="inlineStr"/>
      <c r="K1141" t="inlineStr"/>
      <c r="L1141" t="inlineStr"/>
      <c r="M1141" t="inlineStr"/>
      <c r="N1141" t="inlineStr"/>
      <c r="O1141">
        <f>(1-Summary!$B$55)*T1141+Summary!$B$55*V1141</f>
        <v/>
      </c>
      <c r="P1141">
        <f>IF(B1166=0,0,O1141/B1166)</f>
        <v/>
      </c>
      <c r="Q1141">
        <f>IFERROR(1/IF(Inputs!$B$39="pvp",15,MAX(0.1,Skills!D14-IF(Skills!E14=TRUE,Inputs!$B$33,0))),0)</f>
        <v/>
      </c>
      <c r="R1141">
        <f>IF(AND(Inputs!$B$39&lt;&gt;"pvp",Inputs!$B$44&gt;0),IF(Inputs!$B$44&lt;=0,0,(INT(Inputs!$B$44/IF(Inputs!$B$39="pvp",15,MAX(0.1,Skills!D14-IF(Skills!E14=TRUE,Inputs!$B$33,0))))+1)),0)</f>
        <v/>
      </c>
      <c r="S1141">
        <f>IFERROR(O1141/N1141,0)</f>
        <v/>
      </c>
      <c r="T1141" t="n">
        <v>0</v>
      </c>
      <c r="V1141" t="n">
        <v>0</v>
      </c>
    </row>
    <row r="1142">
      <c r="A1142">
        <f>Skills!A15</f>
        <v/>
      </c>
      <c r="B1142">
        <f>Skills!B15</f>
        <v/>
      </c>
      <c r="C1142">
        <f>Inputs!$B$3&gt;=66</f>
        <v/>
      </c>
      <c r="D1142">
        <f>IF(Skills!C15=1,60+Inputs!$B$26+Inputs!$B$30,IF(Skills!C15=2,90+Inputs!$B$27+Inputs!$B$30,IF(Skills!C15=3,120+Inputs!$B$28+Inputs!$B$30,MAX(0,(Inputs!$B$3-100)*3)+Inputs!$B$29+Inputs!$B$30)))</f>
        <v/>
      </c>
      <c r="E1142">
        <f>INDEX(FactorTable!$B$2:$Y$301, MATCH(ROUND(MIN(300,MAX(1,D1142)),0), FactorTable!$A$2:$A$301,0), Skills!M15+1)</f>
        <v/>
      </c>
      <c r="F1142">
        <f>IF(Skills!N15=TRUE,(Skills!L15/10)*(E1142/1000),Skills!L15/10)+Skills!O15</f>
        <v/>
      </c>
      <c r="G1142">
        <f>Skills!G15*IF(Skills!H15&gt;0,Skills!I15/Skills!H15,1)</f>
        <v/>
      </c>
      <c r="H1142">
        <f>1-(1-Skills!J15/100)^Skills!K15</f>
        <v/>
      </c>
      <c r="I1142" t="inlineStr">
        <is>
          <t>1</t>
        </is>
      </c>
      <c r="J1142" t="inlineStr"/>
      <c r="K1142" t="inlineStr"/>
      <c r="L1142" t="inlineStr"/>
      <c r="M1142" t="inlineStr"/>
      <c r="N1142" t="inlineStr"/>
      <c r="O1142">
        <f>(1-Summary!$B$55)*T1142+Summary!$B$55*V1142</f>
        <v/>
      </c>
      <c r="P1142">
        <f>IF(B1166=0,0,O1142/B1166)</f>
        <v/>
      </c>
      <c r="Q1142">
        <f>IFERROR(1/IF(Inputs!$B$39="pvp",15,MAX(0.1,Skills!D15-IF(Skills!E15=TRUE,Inputs!$B$33,0))),0)</f>
        <v/>
      </c>
      <c r="R1142">
        <f>IF(AND(Inputs!$B$39&lt;&gt;"pvp",Inputs!$B$44&gt;0),IF(Inputs!$B$44&lt;=0,0,(INT(Inputs!$B$44/IF(Inputs!$B$39="pvp",15,MAX(0.1,Skills!D15-IF(Skills!E15=TRUE,Inputs!$B$33,0))))+1)),0)</f>
        <v/>
      </c>
      <c r="S1142">
        <f>IFERROR(O1142/N1142,0)</f>
        <v/>
      </c>
      <c r="T1142" t="n">
        <v>0</v>
      </c>
      <c r="V1142" t="n">
        <v>0</v>
      </c>
    </row>
    <row r="1143">
      <c r="A1143">
        <f>Skills!A16</f>
        <v/>
      </c>
      <c r="B1143">
        <f>Skills!B16</f>
        <v/>
      </c>
      <c r="C1143">
        <f>Inputs!$B$3&gt;=45</f>
        <v/>
      </c>
      <c r="D1143">
        <f>IF(Skills!C16=1,60+Inputs!$B$26+Inputs!$B$30,IF(Skills!C16=2,90+Inputs!$B$27+Inputs!$B$30,IF(Skills!C16=3,120+Inputs!$B$28+Inputs!$B$30,MAX(0,(Inputs!$B$3-100)*3)+Inputs!$B$29+Inputs!$B$30)))</f>
        <v/>
      </c>
      <c r="E1143">
        <f>INDEX(FactorTable!$B$2:$Y$301, MATCH(ROUND(MIN(300,MAX(1,D1143)),0), FactorTable!$A$2:$A$301,0), Skills!M16+1)</f>
        <v/>
      </c>
      <c r="F1143">
        <f>IF(Skills!N16=TRUE,(Skills!L16/10)*(E1143/1000),Skills!L16/10)+Skills!O16</f>
        <v/>
      </c>
      <c r="G1143">
        <f>Skills!G16*IF(Skills!H16&gt;0,Skills!I16/Skills!H16,1)</f>
        <v/>
      </c>
      <c r="H1143">
        <f>1-(1-Skills!J16/100)^Skills!K16</f>
        <v/>
      </c>
      <c r="I1143" t="inlineStr">
        <is>
          <t>1</t>
        </is>
      </c>
      <c r="J1143" t="inlineStr"/>
      <c r="K1143" t="inlineStr"/>
      <c r="L1143" t="inlineStr"/>
      <c r="M1143" t="inlineStr"/>
      <c r="N1143" t="inlineStr"/>
      <c r="O1143">
        <f>(1-Summary!$B$55)*T1143+Summary!$B$55*V1143</f>
        <v/>
      </c>
      <c r="P1143">
        <f>IF(B1166=0,0,O1143/B1166)</f>
        <v/>
      </c>
      <c r="Q1143">
        <f>IFERROR(1/IF(Inputs!$B$39="pvp",15,MAX(0.1,Skills!D16-IF(Skills!E16=TRUE,Inputs!$B$33,0))),0)</f>
        <v/>
      </c>
      <c r="R1143">
        <f>IF(AND(Inputs!$B$39&lt;&gt;"pvp",Inputs!$B$44&gt;0),IF(Inputs!$B$44&lt;=0,0,(INT(Inputs!$B$44/IF(Inputs!$B$39="pvp",15,MAX(0.1,Skills!D16-IF(Skills!E16=TRUE,Inputs!$B$33,0))))+1)),0)</f>
        <v/>
      </c>
      <c r="S1143">
        <f>IFERROR(O1143/N1143,0)</f>
        <v/>
      </c>
      <c r="T1143" t="n">
        <v>0</v>
      </c>
      <c r="V1143" t="n">
        <v>0</v>
      </c>
    </row>
    <row r="1144">
      <c r="A1144">
        <f>Skills!A17</f>
        <v/>
      </c>
      <c r="B1144">
        <f>Skills!B17</f>
        <v/>
      </c>
      <c r="C1144">
        <f>Inputs!$B$3&gt;=35</f>
        <v/>
      </c>
      <c r="D1144">
        <f>IF(Skills!C17=1,60+Inputs!$B$26+Inputs!$B$30,IF(Skills!C17=2,90+Inputs!$B$27+Inputs!$B$30,IF(Skills!C17=3,120+Inputs!$B$28+Inputs!$B$30,MAX(0,(Inputs!$B$3-100)*3)+Inputs!$B$29+Inputs!$B$30)))</f>
        <v/>
      </c>
      <c r="E1144">
        <f>INDEX(FactorTable!$B$2:$Y$301, MATCH(ROUND(MIN(300,MAX(1,D1144)),0), FactorTable!$A$2:$A$301,0), Skills!M17+1)</f>
        <v/>
      </c>
      <c r="F1144">
        <f>IF(Skills!N17=TRUE,(Skills!L17/10)*(E1144/1000),Skills!L17/10)+Skills!O17</f>
        <v/>
      </c>
      <c r="G1144">
        <f>Skills!G17*IF(Skills!H17&gt;0,Skills!I17/Skills!H17,1)</f>
        <v/>
      </c>
      <c r="H1144">
        <f>1-(1-Skills!J17/100)^Skills!K17</f>
        <v/>
      </c>
      <c r="I1144" t="inlineStr">
        <is>
          <t>1</t>
        </is>
      </c>
      <c r="J1144" t="inlineStr"/>
      <c r="K1144" t="inlineStr"/>
      <c r="L1144" t="inlineStr"/>
      <c r="M1144" t="inlineStr"/>
      <c r="N1144" t="inlineStr"/>
      <c r="O1144">
        <f>(1-Summary!$B$55)*T1144+Summary!$B$55*V1144</f>
        <v/>
      </c>
      <c r="P1144">
        <f>IF(B1166=0,0,O1144/B1166)</f>
        <v/>
      </c>
      <c r="Q1144">
        <f>IFERROR(1/IF(Inputs!$B$39="pvp",15,MAX(0.1,Skills!D17-IF(Skills!E17=TRUE,Inputs!$B$33,0))),0)</f>
        <v/>
      </c>
      <c r="R1144">
        <f>IF(AND(Inputs!$B$39&lt;&gt;"pvp",Inputs!$B$44&gt;0),IF(Inputs!$B$44&lt;=0,0,(INT(Inputs!$B$44/IF(Inputs!$B$39="pvp",15,MAX(0.1,Skills!D17-IF(Skills!E17=TRUE,Inputs!$B$33,0))))+1)),0)</f>
        <v/>
      </c>
      <c r="S1144">
        <f>IFERROR(O1144/N1144,0)</f>
        <v/>
      </c>
      <c r="T1144" t="n">
        <v>0</v>
      </c>
      <c r="V1144" t="n">
        <v>0</v>
      </c>
    </row>
    <row r="1145">
      <c r="A1145">
        <f>Skills!A18</f>
        <v/>
      </c>
      <c r="B1145">
        <f>Skills!B18</f>
        <v/>
      </c>
      <c r="C1145">
        <f>Inputs!$B$3&gt;=72</f>
        <v/>
      </c>
      <c r="D1145">
        <f>IF(Skills!C18=1,60+Inputs!$B$26+Inputs!$B$30,IF(Skills!C18=2,90+Inputs!$B$27+Inputs!$B$30,IF(Skills!C18=3,120+Inputs!$B$28+Inputs!$B$30,MAX(0,(Inputs!$B$3-100)*3)+Inputs!$B$29+Inputs!$B$30)))</f>
        <v/>
      </c>
      <c r="E1145">
        <f>INDEX(FactorTable!$B$2:$Y$301, MATCH(ROUND(MIN(300,MAX(1,D1145)),0), FactorTable!$A$2:$A$301,0), Skills!M18+1)</f>
        <v/>
      </c>
      <c r="F1145">
        <f>IF(Skills!N18=TRUE,(Skills!L18/10)*(E1145/1000),Skills!L18/10)+Skills!O18</f>
        <v/>
      </c>
      <c r="G1145">
        <f>Skills!G18*IF(Skills!H18&gt;0,Skills!I18/Skills!H18,1)</f>
        <v/>
      </c>
      <c r="H1145">
        <f>1-(1-Skills!J18/100)^Skills!K18</f>
        <v/>
      </c>
      <c r="I1145" t="inlineStr">
        <is>
          <t>1</t>
        </is>
      </c>
      <c r="J1145" t="inlineStr"/>
      <c r="K1145" t="inlineStr"/>
      <c r="L1145" t="inlineStr"/>
      <c r="M1145" t="inlineStr"/>
      <c r="N1145" t="inlineStr"/>
      <c r="O1145">
        <f>(1-Summary!$B$55)*T1145+Summary!$B$55*V1145</f>
        <v/>
      </c>
      <c r="P1145">
        <f>IF(B1166=0,0,O1145/B1166)</f>
        <v/>
      </c>
      <c r="Q1145">
        <f>IFERROR(1/IF(Inputs!$B$39="pvp",15,MAX(0.1,Skills!D18-IF(Skills!E18=TRUE,Inputs!$B$33,0))),0)</f>
        <v/>
      </c>
      <c r="R1145">
        <f>IF(AND(Inputs!$B$39&lt;&gt;"pvp",Inputs!$B$44&gt;0),IF(Inputs!$B$44&lt;=0,0,(INT(Inputs!$B$44/IF(Inputs!$B$39="pvp",15,MAX(0.1,Skills!D18-IF(Skills!E18=TRUE,Inputs!$B$33,0))))+1)),0)</f>
        <v/>
      </c>
      <c r="S1145">
        <f>IFERROR(O1145/N1145,0)</f>
        <v/>
      </c>
      <c r="T1145" t="n">
        <v>0</v>
      </c>
      <c r="V1145" t="n">
        <v>0</v>
      </c>
    </row>
    <row r="1146">
      <c r="A1146">
        <f>Skills!A19</f>
        <v/>
      </c>
      <c r="B1146">
        <f>Skills!B19</f>
        <v/>
      </c>
      <c r="C1146">
        <f>Inputs!$B$3&gt;=72</f>
        <v/>
      </c>
      <c r="D1146">
        <f>IF(Skills!C19=1,60+Inputs!$B$26+Inputs!$B$30,IF(Skills!C19=2,90+Inputs!$B$27+Inputs!$B$30,IF(Skills!C19=3,120+Inputs!$B$28+Inputs!$B$30,MAX(0,(Inputs!$B$3-100)*3)+Inputs!$B$29+Inputs!$B$30)))</f>
        <v/>
      </c>
      <c r="E1146">
        <f>INDEX(FactorTable!$B$2:$Y$301, MATCH(ROUND(MIN(300,MAX(1,D1146)),0), FactorTable!$A$2:$A$301,0), Skills!M19+1)</f>
        <v/>
      </c>
      <c r="F1146">
        <f>IF(Skills!N19=TRUE,(Skills!L19/10)*(E1146/1000),Skills!L19/10)+Skills!O19</f>
        <v/>
      </c>
      <c r="G1146">
        <f>Skills!G19*IF(Skills!H19&gt;0,Skills!I19/Skills!H19,1)</f>
        <v/>
      </c>
      <c r="H1146">
        <f>1-(1-Skills!J19/100)^Skills!K19</f>
        <v/>
      </c>
      <c r="I1146" t="inlineStr">
        <is>
          <t>1</t>
        </is>
      </c>
      <c r="J1146" t="inlineStr"/>
      <c r="K1146" t="inlineStr"/>
      <c r="L1146" t="inlineStr"/>
      <c r="M1146" t="inlineStr"/>
      <c r="N1146" t="inlineStr"/>
      <c r="O1146">
        <f>(1-Summary!$B$55)*T1146+Summary!$B$55*V1146</f>
        <v/>
      </c>
      <c r="P1146">
        <f>IF(B1166=0,0,O1146/B1166)</f>
        <v/>
      </c>
      <c r="Q1146">
        <f>IFERROR(1/IF(Inputs!$B$39="pvp",15,MAX(0.1,Skills!D19-IF(Skills!E19=TRUE,Inputs!$B$33,0))),0)</f>
        <v/>
      </c>
      <c r="R1146">
        <f>IF(AND(Inputs!$B$39&lt;&gt;"pvp",Inputs!$B$44&gt;0),IF(Inputs!$B$44&lt;=0,0,(INT(Inputs!$B$44/IF(Inputs!$B$39="pvp",15,MAX(0.1,Skills!D19-IF(Skills!E19=TRUE,Inputs!$B$33,0))))+1)),0)</f>
        <v/>
      </c>
      <c r="S1146">
        <f>IFERROR(O1146/N1146,0)</f>
        <v/>
      </c>
      <c r="T1146" t="n">
        <v>0</v>
      </c>
      <c r="V1146" t="n">
        <v>0</v>
      </c>
    </row>
    <row r="1147">
      <c r="A1147">
        <f>Skills!A20</f>
        <v/>
      </c>
      <c r="B1147">
        <f>Skills!B20</f>
        <v/>
      </c>
      <c r="C1147">
        <f>TRUE</f>
        <v/>
      </c>
      <c r="D1147">
        <f>IF(Skills!C20=1,60+Inputs!$B$26+Inputs!$B$30,IF(Skills!C20=2,90+Inputs!$B$27+Inputs!$B$30,IF(Skills!C20=3,120+Inputs!$B$28+Inputs!$B$30,MAX(0,(Inputs!$B$3-100)*3)+Inputs!$B$29+Inputs!$B$30)))</f>
        <v/>
      </c>
      <c r="E1147">
        <f>INDEX(FactorTable!$B$2:$Y$301, MATCH(ROUND(MIN(300,MAX(1,D1147)),0), FactorTable!$A$2:$A$301,0), Skills!M20+1)</f>
        <v/>
      </c>
      <c r="F1147">
        <f>IF(Skills!N20=TRUE,(Skills!L20/10)*(E1147/1000),Skills!L20/10)+Skills!O20</f>
        <v/>
      </c>
      <c r="G1147">
        <f>Skills!G20*IF(Skills!H20&gt;0,Skills!I20/Skills!H20,1)</f>
        <v/>
      </c>
      <c r="H1147">
        <f>1-(1-Skills!J20/100)^Skills!K20</f>
        <v/>
      </c>
      <c r="I1147" t="inlineStr">
        <is>
          <t>1</t>
        </is>
      </c>
      <c r="J1147" t="inlineStr"/>
      <c r="K1147" t="inlineStr"/>
      <c r="L1147" t="inlineStr"/>
      <c r="M1147" t="inlineStr"/>
      <c r="N1147" t="inlineStr"/>
      <c r="O1147">
        <f>(1-Summary!$B$55)*T1147+Summary!$B$55*V1147</f>
        <v/>
      </c>
      <c r="P1147">
        <f>IF(B1166=0,0,O1147/B1166)</f>
        <v/>
      </c>
      <c r="Q1147">
        <f>IFERROR(1/IF(Inputs!$B$39="pvp",15,MAX(0.1,Skills!D20-IF(Skills!E20=TRUE,Inputs!$B$33,0))),0)</f>
        <v/>
      </c>
      <c r="R1147">
        <f>IF(AND(Inputs!$B$39&lt;&gt;"pvp",Inputs!$B$44&gt;0),IF(Inputs!$B$44&lt;=0,0,(INT(Inputs!$B$44/IF(Inputs!$B$39="pvp",15,MAX(0.1,Skills!D20-IF(Skills!E20=TRUE,Inputs!$B$33,0))))+1)),0)</f>
        <v/>
      </c>
      <c r="S1147">
        <f>IFERROR(O1147/N1147,0)</f>
        <v/>
      </c>
      <c r="T1147" t="n">
        <v>0</v>
      </c>
      <c r="V1147" t="n">
        <v>0</v>
      </c>
    </row>
    <row r="1148">
      <c r="A1148">
        <f>Skills!A21</f>
        <v/>
      </c>
      <c r="B1148">
        <f>Skills!B21</f>
        <v/>
      </c>
      <c r="C1148">
        <f>Inputs!$B$3&gt;=33</f>
        <v/>
      </c>
      <c r="D1148">
        <f>IF(Skills!C21=1,60+Inputs!$B$26+Inputs!$B$30,IF(Skills!C21=2,90+Inputs!$B$27+Inputs!$B$30,IF(Skills!C21=3,120+Inputs!$B$28+Inputs!$B$30,MAX(0,(Inputs!$B$3-100)*3)+Inputs!$B$29+Inputs!$B$30)))</f>
        <v/>
      </c>
      <c r="E1148">
        <f>INDEX(FactorTable!$B$2:$Y$301, MATCH(ROUND(MIN(300,MAX(1,D1148)),0), FactorTable!$A$2:$A$301,0), Skills!M21+1)</f>
        <v/>
      </c>
      <c r="F1148">
        <f>IF(Skills!N21=TRUE,(Skills!L21/10)*(E1148/1000),Skills!L21/10)+Skills!O21</f>
        <v/>
      </c>
      <c r="G1148">
        <f>Skills!G21*IF(Skills!H21&gt;0,Skills!I21/Skills!H21,1)</f>
        <v/>
      </c>
      <c r="H1148">
        <f>1-(1-Skills!J21/100)^Skills!K21</f>
        <v/>
      </c>
      <c r="I1148" t="inlineStr">
        <is>
          <t>1</t>
        </is>
      </c>
      <c r="J1148" t="inlineStr"/>
      <c r="K1148" t="inlineStr"/>
      <c r="L1148" t="inlineStr"/>
      <c r="M1148" t="inlineStr"/>
      <c r="N1148" t="inlineStr"/>
      <c r="O1148">
        <f>(1-Summary!$B$55)*T1148+Summary!$B$55*V1148</f>
        <v/>
      </c>
      <c r="P1148">
        <f>IF(B1166=0,0,O1148/B1166)</f>
        <v/>
      </c>
      <c r="Q1148" t="n">
        <v>0</v>
      </c>
      <c r="R1148" t="n">
        <v>0</v>
      </c>
      <c r="S1148">
        <f>IFERROR(O1148/N1148,0)</f>
        <v/>
      </c>
      <c r="T1148" t="n">
        <v>0</v>
      </c>
      <c r="V1148" t="n">
        <v>0</v>
      </c>
    </row>
    <row r="1149">
      <c r="A1149">
        <f>Skills!A22</f>
        <v/>
      </c>
      <c r="B1149">
        <f>Skills!B22</f>
        <v/>
      </c>
      <c r="C1149">
        <f>Inputs!$B$3&gt;=43</f>
        <v/>
      </c>
      <c r="D1149">
        <f>IF(Skills!C22=1,60+Inputs!$B$26+Inputs!$B$30,IF(Skills!C22=2,90+Inputs!$B$27+Inputs!$B$30,IF(Skills!C22=3,120+Inputs!$B$28+Inputs!$B$30,MAX(0,(Inputs!$B$3-100)*3)+Inputs!$B$29+Inputs!$B$30)))</f>
        <v/>
      </c>
      <c r="E1149">
        <f>INDEX(FactorTable!$B$2:$Y$301, MATCH(ROUND(MIN(300,MAX(1,D1149)),0), FactorTable!$A$2:$A$301,0), Skills!M22+1)</f>
        <v/>
      </c>
      <c r="F1149">
        <f>IF(Skills!N22=TRUE,(Skills!L22/10)*(E1149/1000),Skills!L22/10)+Skills!O22</f>
        <v/>
      </c>
      <c r="G1149">
        <f>Skills!G22*IF(Skills!H22&gt;0,Skills!I22/Skills!H22,1)</f>
        <v/>
      </c>
      <c r="H1149">
        <f>1-(1-Skills!J22/100)^Skills!K22</f>
        <v/>
      </c>
      <c r="I1149" t="inlineStr">
        <is>
          <t>1</t>
        </is>
      </c>
      <c r="J1149" t="inlineStr"/>
      <c r="K1149" t="inlineStr"/>
      <c r="L1149" t="inlineStr"/>
      <c r="M1149" t="inlineStr"/>
      <c r="N1149" t="inlineStr"/>
      <c r="O1149">
        <f>(1-Summary!$B$55)*T1149+Summary!$B$55*V1149</f>
        <v/>
      </c>
      <c r="P1149">
        <f>IF(B1166=0,0,O1149/B1166)</f>
        <v/>
      </c>
      <c r="Q1149" t="n">
        <v>0</v>
      </c>
      <c r="R1149" t="n">
        <v>0</v>
      </c>
      <c r="S1149">
        <f>IFERROR(O1149/N1149,0)</f>
        <v/>
      </c>
      <c r="T1149" t="n">
        <v>0</v>
      </c>
      <c r="V1149" t="n">
        <v>0</v>
      </c>
    </row>
    <row r="1150">
      <c r="A1150">
        <f>Skills!A23</f>
        <v/>
      </c>
      <c r="B1150">
        <f>Skills!B23</f>
        <v/>
      </c>
      <c r="C1150">
        <f>Inputs!$B$3&gt;=120</f>
        <v/>
      </c>
      <c r="D1150">
        <f>IF(Skills!C23=1,60+Inputs!$B$26+Inputs!$B$30,IF(Skills!C23=2,90+Inputs!$B$27+Inputs!$B$30,IF(Skills!C23=3,120+Inputs!$B$28+Inputs!$B$30,MAX(0,(Inputs!$B$3-100)*3)+Inputs!$B$29+Inputs!$B$30)))</f>
        <v/>
      </c>
      <c r="E1150">
        <f>INDEX(FactorTable!$B$2:$Y$301, MATCH(ROUND(MIN(300,MAX(1,D1150)),0), FactorTable!$A$2:$A$301,0), Skills!M23+1)</f>
        <v/>
      </c>
      <c r="F1150">
        <f>IF(Skills!N23=TRUE,(Skills!L23/10)*(E1150/1000),Skills!L23/10)+Skills!O23</f>
        <v/>
      </c>
      <c r="G1150">
        <f>Skills!G23*IF(Skills!H23&gt;0,Skills!I23/Skills!H23,1)</f>
        <v/>
      </c>
      <c r="H1150">
        <f>1-(1-Skills!J23/100)^Skills!K23</f>
        <v/>
      </c>
      <c r="I1150" t="inlineStr">
        <is>
          <t>1</t>
        </is>
      </c>
      <c r="J1150" t="inlineStr"/>
      <c r="K1150" t="inlineStr"/>
      <c r="L1150" t="inlineStr"/>
      <c r="M1150" t="inlineStr"/>
      <c r="N1150" t="inlineStr"/>
      <c r="O1150">
        <f>(1-Summary!$B$55)*T1150+Summary!$B$55*V1150</f>
        <v/>
      </c>
      <c r="P1150">
        <f>IF(B1166=0,0,O1150/B1166)</f>
        <v/>
      </c>
      <c r="Q1150" t="n">
        <v>0</v>
      </c>
      <c r="R1150" t="n">
        <v>0</v>
      </c>
      <c r="S1150">
        <f>IFERROR(O1150/N1150,0)</f>
        <v/>
      </c>
      <c r="T1150" t="n">
        <v>0</v>
      </c>
      <c r="V1150" t="n">
        <v>0</v>
      </c>
    </row>
    <row r="1151">
      <c r="A1151">
        <f>Skills!A24</f>
        <v/>
      </c>
      <c r="B1151">
        <f>Skills!B24</f>
        <v/>
      </c>
      <c r="C1151">
        <f>Inputs!$B$3&gt;=120</f>
        <v/>
      </c>
      <c r="D1151">
        <f>IF(Skills!C24=1,60+Inputs!$B$26+Inputs!$B$30,IF(Skills!C24=2,90+Inputs!$B$27+Inputs!$B$30,IF(Skills!C24=3,120+Inputs!$B$28+Inputs!$B$30,MAX(0,(Inputs!$B$3-100)*3)+Inputs!$B$29+Inputs!$B$30)))</f>
        <v/>
      </c>
      <c r="E1151">
        <f>INDEX(FactorTable!$B$2:$Y$301, MATCH(ROUND(MIN(300,MAX(1,D1151)),0), FactorTable!$A$2:$A$301,0), Skills!M24+1)</f>
        <v/>
      </c>
      <c r="F1151">
        <f>IF(Skills!N24=TRUE,(Skills!L24/10)*(E1151/1000),Skills!L24/10)+Skills!O24</f>
        <v/>
      </c>
      <c r="G1151">
        <f>Skills!G24*IF(Skills!H24&gt;0,Skills!I24/Skills!H24,1)</f>
        <v/>
      </c>
      <c r="H1151">
        <f>1-(1-Skills!J24/100)^Skills!K24</f>
        <v/>
      </c>
      <c r="I1151" t="inlineStr">
        <is>
          <t>1</t>
        </is>
      </c>
      <c r="J1151" t="inlineStr"/>
      <c r="K1151" t="inlineStr"/>
      <c r="L1151" t="inlineStr"/>
      <c r="M1151" t="inlineStr"/>
      <c r="N1151" t="inlineStr"/>
      <c r="O1151">
        <f>(1-Summary!$B$55)*T1151+Summary!$B$55*V1151</f>
        <v/>
      </c>
      <c r="P1151">
        <f>IF(B1166=0,0,O1151/B1166)</f>
        <v/>
      </c>
      <c r="Q1151" t="n">
        <v>0</v>
      </c>
      <c r="R1151" t="n">
        <v>0</v>
      </c>
      <c r="S1151">
        <f>IFERROR(O1151/N1151,0)</f>
        <v/>
      </c>
      <c r="T1151" t="n">
        <v>0</v>
      </c>
      <c r="V1151" t="n">
        <v>0</v>
      </c>
    </row>
    <row r="1152">
      <c r="A1152">
        <f>Skills!A25</f>
        <v/>
      </c>
      <c r="B1152">
        <f>Skills!B25</f>
        <v/>
      </c>
      <c r="C1152">
        <f>Inputs!$B$3&gt;=125</f>
        <v/>
      </c>
      <c r="D1152">
        <f>IF(Skills!C25=1,60+Inputs!$B$26+Inputs!$B$30,IF(Skills!C25=2,90+Inputs!$B$27+Inputs!$B$30,IF(Skills!C25=3,120+Inputs!$B$28+Inputs!$B$30,MAX(0,(Inputs!$B$3-100)*3)+Inputs!$B$29+Inputs!$B$30)))</f>
        <v/>
      </c>
      <c r="E1152">
        <f>INDEX(FactorTable!$B$2:$Y$301, MATCH(ROUND(MIN(300,MAX(1,D1152)),0), FactorTable!$A$2:$A$301,0), Skills!M25+1)</f>
        <v/>
      </c>
      <c r="F1152">
        <f>IF(Skills!N25=TRUE,(Skills!L25/10)*(E1152/1000),Skills!L25/10)+Skills!O25</f>
        <v/>
      </c>
      <c r="G1152">
        <f>Skills!G25*IF(Skills!H25&gt;0,Skills!I25/Skills!H25,1)</f>
        <v/>
      </c>
      <c r="H1152">
        <f>1-(1-Skills!J25/100)^Skills!K25</f>
        <v/>
      </c>
      <c r="I1152" t="inlineStr">
        <is>
          <t>1</t>
        </is>
      </c>
      <c r="J1152" t="inlineStr"/>
      <c r="K1152" t="inlineStr"/>
      <c r="L1152" t="inlineStr"/>
      <c r="M1152" t="inlineStr"/>
      <c r="N1152" t="inlineStr"/>
      <c r="O1152">
        <f>(1-Summary!$B$55)*T1152+Summary!$B$55*V1152</f>
        <v/>
      </c>
      <c r="P1152">
        <f>IF(B1166=0,0,O1152/B1166)</f>
        <v/>
      </c>
      <c r="Q1152" t="n">
        <v>0</v>
      </c>
      <c r="R1152" t="n">
        <v>0</v>
      </c>
      <c r="S1152">
        <f>IFERROR(O1152/N1152,0)</f>
        <v/>
      </c>
      <c r="T1152" t="n">
        <v>0</v>
      </c>
      <c r="V1152" t="n">
        <v>0</v>
      </c>
    </row>
    <row r="1153">
      <c r="A1153">
        <f>Skills!A26</f>
        <v/>
      </c>
      <c r="B1153">
        <f>Skills!B26</f>
        <v/>
      </c>
      <c r="C1153">
        <f>Inputs!$B$3&gt;=107</f>
        <v/>
      </c>
      <c r="D1153">
        <f>IF(Skills!C26=1,60+Inputs!$B$26+Inputs!$B$30,IF(Skills!C26=2,90+Inputs!$B$27+Inputs!$B$30,IF(Skills!C26=3,120+Inputs!$B$28+Inputs!$B$30,MAX(0,(Inputs!$B$3-100)*3)+Inputs!$B$29+Inputs!$B$30)))</f>
        <v/>
      </c>
      <c r="E1153">
        <f>INDEX(FactorTable!$B$2:$Y$301, MATCH(ROUND(MIN(300,MAX(1,D1153)),0), FactorTable!$A$2:$A$301,0), Skills!M26+1)</f>
        <v/>
      </c>
      <c r="F1153">
        <f>IF(Skills!N26=TRUE,(Skills!L26/10)*(E1153/1000),Skills!L26/10)+Skills!O26</f>
        <v/>
      </c>
      <c r="G1153">
        <f>Skills!G26*IF(Skills!H26&gt;0,Skills!I26/Skills!H26,1)</f>
        <v/>
      </c>
      <c r="H1153">
        <f>1-(1-Skills!J26/100)^Skills!K26</f>
        <v/>
      </c>
      <c r="I1153" t="inlineStr">
        <is>
          <t>1</t>
        </is>
      </c>
      <c r="J1153" t="inlineStr"/>
      <c r="K1153" t="inlineStr"/>
      <c r="L1153" t="inlineStr"/>
      <c r="M1153" t="inlineStr"/>
      <c r="N1153" t="inlineStr"/>
      <c r="O1153">
        <f>(1-Summary!$B$55)*T1153+Summary!$B$55*V1153</f>
        <v/>
      </c>
      <c r="P1153">
        <f>IF(B1166=0,0,O1153/B1166)</f>
        <v/>
      </c>
      <c r="Q1153" t="n">
        <v>0</v>
      </c>
      <c r="R1153" t="n">
        <v>0</v>
      </c>
      <c r="S1153">
        <f>IFERROR(O1153/N1153,0)</f>
        <v/>
      </c>
      <c r="T1153" t="n">
        <v>0</v>
      </c>
      <c r="V1153" t="n">
        <v>0</v>
      </c>
    </row>
    <row r="1155">
      <c r="A1155" t="inlineStr">
        <is>
          <t>Attack% Bucket Multiplier</t>
        </is>
      </c>
      <c r="B1155">
        <f>(1+(((C1140=TRUE)*F1140*IF(AND(Inputs!$B$39&lt;&gt;"pvp",Inputs!$B$44&gt;0),(((R1140-1)*(Skills!T13*(1+Inputs!$B$35/100))+MIN((Skills!T13*(1+Inputs!$B$35/100)),MAX(0,Inputs!$B$44-((R1140-1)*Skills!D13))))/Inputs!$B$44),IF(Inputs!$B$39="pvp",MIN((Skills!T13*(1+Inputs!$B$35/100)),15)/15,(Skills!T13*(1+Inputs!$B$35/100))/Skills!D13)))+((C1141=TRUE)*F1141*IF(AND(Inputs!$B$39&lt;&gt;"pvp",Inputs!$B$44&gt;0),(((R1141-1)*(Skills!T14*(1+Inputs!$B$35/100))+MIN((Skills!T14*(1+Inputs!$B$35/100)),MAX(0,Inputs!$B$44-((R1141-1)*Skills!D14))))/Inputs!$B$44),IF(Inputs!$B$39="pvp",MIN((Skills!T14*(1+Inputs!$B$35/100)),15)/15,(Skills!T14*(1+Inputs!$B$35/100))/Skills!D14)))+((C1142=TRUE)*F1142*IF(AND(Inputs!$B$39&lt;&gt;"pvp",Inputs!$B$44&gt;0),(((R1142-1)*(Skills!T15*(1+Inputs!$B$35/100))+MIN((Skills!T15*(1+Inputs!$B$35/100)),MAX(0,Inputs!$B$44-((R1142-1)*Skills!D15))))/Inputs!$B$44),IF(Inputs!$B$39="pvp",MIN((Skills!T15*(1+Inputs!$B$35/100)),15)/15,(Skills!T15*(1+Inputs!$B$35/100))/Skills!D15)))+((C1143=TRUE)*F1143*IF(AND(Inputs!$B$39&lt;&gt;"pvp",Inputs!$B$44&gt;0),(((R1143-1)*(Skills!T16*(1+Inputs!$B$35/100))+MIN((Skills!T16*(1+Inputs!$B$35/100)),MAX(0,Inputs!$B$44-((R1143-1)*Skills!D16))))/Inputs!$B$44),IF(Inputs!$B$39="pvp",MIN((Skills!T16*(1+Inputs!$B$35/100)),15)/15,(Skills!T16*(1+Inputs!$B$35/100))/Skills!D16)))+0)/100)</f>
        <v/>
      </c>
    </row>
    <row r="1156">
      <c r="A1156" t="inlineStr">
        <is>
          <t>Global Crit Rate Bonus % (Lord of Darkness)</t>
        </is>
      </c>
      <c r="B1156">
        <f>((C1145=TRUE)*F1145*(Skills!J18/100)*IF(AND(Inputs!$B$39&lt;&gt;"pvp",Inputs!$B$44&gt;0),(((R1145-1)*(Skills!T18*(1+Inputs!$B$35/100))+MIN((Skills!T18*(1+Inputs!$B$35/100)),MAX(0,Inputs!$B$44-((R1145-1)*Skills!D18))))/Inputs!$B$44),IF(Inputs!$B$39="pvp",MIN((Skills!T18*(1+Inputs!$B$35/100)),15)/15,(Skills!T18*(1+Inputs!$B$35/100))/Skills!D18)))</f>
        <v/>
      </c>
    </row>
    <row r="1157">
      <c r="A1157" t="inlineStr">
        <is>
          <t>Attack Speed Buff Bonus %</t>
        </is>
      </c>
      <c r="B1157">
        <f>((C1147=TRUE)*F1147*IF(AND(Inputs!$B$39&lt;&gt;"pvp",Inputs!$B$44&gt;0),(((R1147-1)*(Skills!T20*(1+Inputs!$B$35/100))+MIN((Skills!T20*(1+Inputs!$B$35/100)),MAX(0,Inputs!$B$44-((R1147-1)*Skills!D20))))/Inputs!$B$44),IF(Inputs!$B$39="pvp",MIN((Skills!T20*(1+Inputs!$B$35/100)),15)/15,(Skills!T20*(1+Inputs!$B$35/100))/Skills!D20)))</f>
        <v/>
      </c>
    </row>
    <row r="1158">
      <c r="A1158" t="inlineStr">
        <is>
          <t>Actions Per Second</t>
        </is>
      </c>
      <c r="B1158">
        <f>1+MIN(150,150*(1-(1-(Inputs!$B$12+((C1148=TRUE)*(F1148-Calc!F21)))/150)*(1-B1157/150)))/100</f>
        <v/>
      </c>
    </row>
    <row r="1159">
      <c r="A1159" t="inlineStr">
        <is>
          <t>Skill + Buff Cast Rate</t>
        </is>
      </c>
      <c r="B1159">
        <f>IF(AND(Inputs!$B$39&lt;&gt;"pvp",Inputs!$B$44&gt;0),SUMPRODUCT((Skills!E2:E26=TRUE)*(C1129:C1153=TRUE)*R1129:R1153*Skills!F2:F26)/Inputs!$B$44,SUMPRODUCT((Skills!E2:E26=TRUE)*(C1129:C1153=TRUE)*Q1129:Q1153*Skills!F2:F26))</f>
        <v/>
      </c>
    </row>
    <row r="1160">
      <c r="A1160" t="inlineStr">
        <is>
          <t>Dark Impale Casts Per Second</t>
        </is>
      </c>
      <c r="B1160">
        <f>MAX(0,B1158-B1159)</f>
        <v/>
      </c>
    </row>
    <row r="1161">
      <c r="A1161" t="inlineStr">
        <is>
          <t>Global Critical Damage Bonus % (Lord of Darkness)</t>
        </is>
      </c>
      <c r="B1161">
        <f>((C1146=TRUE)*F1146*(Skills!J19/100)*IF(AND(Inputs!$B$39&lt;&gt;"pvp",Inputs!$B$44&gt;0),(((R1146-1)*(Skills!T19*(1+Inputs!$B$35/100))+MIN((Skills!T19*(1+Inputs!$B$35/100)),MAX(0,Inputs!$B$44-((R1146-1)*Skills!D19))))/Inputs!$B$44),IF(Inputs!$B$39="pvp",MIN((Skills!T19*(1+Inputs!$B$35/100)),15)/15,(Skills!T19*(1+Inputs!$B$35/100))/Skills!D19)))</f>
        <v/>
      </c>
    </row>
    <row r="1162">
      <c r="A1162" t="inlineStr">
        <is>
          <t>Global Final Damage Bonus % (unused)</t>
        </is>
      </c>
      <c r="B1162" t="n">
        <v>0</v>
      </c>
    </row>
    <row r="1163">
      <c r="A1163" t="inlineStr">
        <is>
          <t>Buff-Casting Startup Delay (s, fixed-duration only)</t>
        </is>
      </c>
      <c r="B1163">
        <f>IF(AND(Inputs!$B$39&lt;&gt;"pvp",Inputs!$B$44&gt;0),SUMPRODUCT((Skills!T2:T26&gt;0)*(Skills!E2:E26=TRUE)*(C1129:C1153=TRUE))/B1158,0)</f>
        <v/>
      </c>
    </row>
    <row r="1164">
      <c r="A1164" t="inlineStr">
        <is>
          <t>Boss-Only Total DPS (this block's swept value)</t>
        </is>
      </c>
      <c r="B1164">
        <f>SUM(T1129:T1153)</f>
        <v/>
      </c>
    </row>
    <row r="1165">
      <c r="A1165" t="inlineStr">
        <is>
          <t>Normal-Only Total DPS (this block's swept value)</t>
        </is>
      </c>
      <c r="B1165">
        <f>SUM(V1129:V1153)</f>
        <v/>
      </c>
    </row>
    <row r="1166">
      <c r="A1166" s="5" t="inlineStr">
        <is>
          <t>TOTAL DPS</t>
        </is>
      </c>
      <c r="B1166" s="5">
        <f>SUM(O1129:O1153)</f>
        <v/>
      </c>
    </row>
    <row r="1169">
      <c r="A1169" s="5" t="inlineStr">
        <is>
          <t>Stat: Buff Duration Increase %</t>
        </is>
      </c>
    </row>
    <row r="1170">
      <c r="A1170" s="9" t="inlineStr">
        <is>
          <t>Key</t>
        </is>
      </c>
      <c r="B1170" s="9" t="inlineStr">
        <is>
          <t>Name</t>
        </is>
      </c>
      <c r="C1170" s="9" t="inlineStr">
        <is>
          <t>Unlocked</t>
        </is>
      </c>
      <c r="D1170" s="9" t="inlineStr">
        <is>
          <t>InputLevel</t>
        </is>
      </c>
      <c r="E1170" s="9" t="inlineStr">
        <is>
          <t>Factor</t>
        </is>
      </c>
      <c r="F1170" s="9" t="inlineStr">
        <is>
          <t>CoefficientPercent</t>
        </is>
      </c>
      <c r="G1170" s="9" t="inlineStr">
        <is>
          <t>EffectiveHits</t>
        </is>
      </c>
      <c r="H1170" s="9" t="inlineStr">
        <is>
          <t>ProcProbability</t>
        </is>
      </c>
      <c r="I1170" s="9" t="inlineStr">
        <is>
          <t>MapleHeroMultiplier</t>
        </is>
      </c>
      <c r="J1170" s="9" t="inlineStr">
        <is>
          <t>BaseDamage</t>
        </is>
      </c>
      <c r="K1170" s="9" t="inlineStr">
        <is>
          <t>BaseHitDamage</t>
        </is>
      </c>
      <c r="L1170" s="9" t="inlineStr">
        <is>
          <t>NonCritAvg</t>
        </is>
      </c>
      <c r="M1170" s="9" t="inlineStr">
        <is>
          <t>CritAvg</t>
        </is>
      </c>
      <c r="N1170" s="9" t="inlineStr">
        <is>
          <t>ExpectedDamage(perHit)</t>
        </is>
      </c>
      <c r="O1170" s="9" t="inlineStr">
        <is>
          <t>DPS</t>
        </is>
      </c>
      <c r="P1170" s="9" t="inlineStr">
        <is>
          <t>% of Total</t>
        </is>
      </c>
      <c r="Q1170" s="9" t="inlineStr">
        <is>
          <t>InvCooldown</t>
        </is>
      </c>
      <c r="R1170" s="9" t="inlineStr">
        <is>
          <t>CastsInFight</t>
        </is>
      </c>
      <c r="S1170" s="9" t="inlineStr">
        <is>
          <t>HitRate(perSec)</t>
        </is>
      </c>
      <c r="U1170" t="inlineStr">
        <is>
          <t>helpers</t>
        </is>
      </c>
    </row>
    <row r="1171">
      <c r="A1171">
        <f>Skills!A2</f>
        <v/>
      </c>
      <c r="B1171">
        <f>Skills!B2</f>
        <v/>
      </c>
      <c r="C1171">
        <f>Inputs!$B$3&gt;=100</f>
        <v/>
      </c>
      <c r="D1171" t="inlineStr"/>
      <c r="E1171" t="inlineStr"/>
      <c r="F1171">
        <f>U1173+Skills!O2</f>
        <v/>
      </c>
      <c r="G1171">
        <f>Skills!G2*IF(Skills!H2&gt;0,Skills!I2/Skills!H2,1)</f>
        <v/>
      </c>
      <c r="H1171">
        <f>1-(1-Skills!J2/100)^Skills!K2</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nputs!$B$17/100)*(5000/(6000+Inputs!$B$43*(1-(Inputs!$B$20+0)/100)))*(1+(Inputs!$B$25+((C1194=TRUE)*(F1194-Calc!F25))+((C1195=TRUE)*(F1195-Calc!F26))+B1204)/100)*(1+(IF(Skills!A2="DARK_IMPALE",Inputs!$B$18+0,Inputs!$B$19+((C1192=TRUE)*(F1192-Calc!F23))))/100)*((1+(((C1182=TRUE)*F1182*IF(AND(Inputs!$B$39&lt;&gt;"pvp",Inputs!$B$44&gt;0),(((R1182-1)*(Skills!T13*(1+(Inputs!$B$35+1)/100))+MIN((Skills!T13*(1+(Inputs!$B$35+1)/100)),MAX(0,Inputs!$B$44-((R1182-1)*Skills!D13))))/Inputs!$B$44),IF(Inputs!$B$39="pvp",MIN((Skills!T13*(1+(Inputs!$B$35+1)/100)),15)/15,(Skills!T13*(1+(Inputs!$B$35+1)/100))/Skills!D13)))+((C1183=TRUE)*F1183*IF(AND(Inputs!$B$39&lt;&gt;"pvp",Inputs!$B$44&gt;0),(((R1183-1)*(Skills!T14*(1+(Inputs!$B$35+1)/100))+MIN((Skills!T14*(1+(Inputs!$B$35+1)/100)),MAX(0,Inputs!$B$44-((R1183-1)*Skills!D14))))/Inputs!$B$44),IF(Inputs!$B$39="pvp",MIN((Skills!T14*(1+(Inputs!$B$35+1)/100)),15)/15,(Skills!T14*(1+(Inputs!$B$35+1)/100))/Skills!D14)))+((C1184=TRUE)*F1184*IF(AND(Inputs!$B$39&lt;&gt;"pvp",Inputs!$B$44&gt;0),(((R1184-1)*(Skills!T15*(1+(Inputs!$B$35+1)/100))+MIN((Skills!T15*(1+(Inputs!$B$35+1)/100)),MAX(0,Inputs!$B$44-((R1184-1)*Skills!D15))))/Inputs!$B$44),IF(Inputs!$B$39="pvp",MIN((Skills!T15*(1+(Inputs!$B$35+1)/100)),15)/15,(Skills!T15*(1+(Inputs!$B$35+1)/100))/Skills!D15)))+((C1185=TRUE)*F1185*IF(AND(Inputs!$B$39&lt;&gt;"pvp",Inputs!$B$44&gt;0),(((R1185-1)*(Skills!T16*(1+(Inputs!$B$35+1)/100))+MIN((Skills!T16*(1+(Inputs!$B$35+1)/100)),MAX(0,Inputs!$B$44-((R1185-1)*Skills!D16))))/Inputs!$B$44),IF(Inputs!$B$39="pvp",MIN((Skills!T16*(1+(Inputs!$B$35+1)/100)),15)/15,(Skills!T16*(1+(Inputs!$B$35+1)/100))/Skills!D16)))+0)/100)*I1171)</f>
        <v/>
      </c>
      <c r="L1171">
        <f>K1171*(MIN(Inputs!$B$23+((C1191=TRUE)*(F1191-Calc!F22)),Inputs!$B$24+((C1193=TRUE)*(F1193-Calc!F24)))/100+(Inputs!$B$24+((C1193=TRUE)*(F1193-Calc!F24)))/100)/2</f>
        <v/>
      </c>
      <c r="M1171">
        <f>L1171*(1+(Inputs!$B$11+0+B1203)/100)</f>
        <v/>
      </c>
      <c r="N1171">
        <f>L1171*(1-MIN((Inputs!$B$10+0+B1198),100)/100)+M1171*(MIN((Inputs!$B$10+0+B1198),100)/100)</f>
        <v/>
      </c>
      <c r="O1171">
        <f>(1-Summary!$B$55)*T1171+Summary!$B$55*V1171</f>
        <v/>
      </c>
      <c r="P1171">
        <f>IF(B1208=0,0,O1171/B1208)</f>
        <v/>
      </c>
      <c r="Q1171" t="n">
        <v>0</v>
      </c>
      <c r="R1171" t="n">
        <v>0</v>
      </c>
      <c r="S1171">
        <f>IFERROR(O1171/N1171,0)</f>
        <v/>
      </c>
      <c r="T1171">
        <f>IF(C1171,(Skills!G2*N1171*B1202)*IF(Inputs!$B$39="pvp",1,1+(Inputs!$B$21+0+Skills!P2+((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0)</f>
        <v/>
      </c>
      <c r="U1171">
        <f>MAX(0,(Inputs!$B$3-100)*3)+Inputs!$B$29+Inputs!$B$30</f>
        <v/>
      </c>
      <c r="V1171">
        <f>IF(C1171,(Skills!G2*N1171*B1202)*IF(Inputs!$B$39="pvp",1,(1+(Inputs!$B$22+Skills!Q2+((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MIN((6+Inputs!$B$34),Inputs!$B$38))),0)</f>
        <v/>
      </c>
    </row>
    <row r="1172">
      <c r="A1172">
        <f>Skills!A3</f>
        <v/>
      </c>
      <c r="B1172">
        <f>Skills!B3</f>
        <v/>
      </c>
      <c r="C1172">
        <f>Inputs!$B$3&gt;=50</f>
        <v/>
      </c>
      <c r="D1172">
        <f>IF(Skills!C3=1,60+Inputs!$B$26+Inputs!$B$30,IF(Skills!C3=2,90+Inputs!$B$27+Inputs!$B$30,IF(Skills!C3=3,120+Inputs!$B$28+Inputs!$B$30,MAX(0,(Inputs!$B$3-100)*3)+Inputs!$B$29+Inputs!$B$30)))</f>
        <v/>
      </c>
      <c r="E1172">
        <f>INDEX(FactorTable!$B$2:$Y$301, MATCH(ROUND(MIN(300,MAX(1,D1172)),0), FactorTable!$A$2:$A$301,0), Skills!M3+1)</f>
        <v/>
      </c>
      <c r="F1172">
        <f>IF(Skills!N3=TRUE,(Skills!L3/10)*(E1172/1000),Skills!L3/10)+Skills!O3</f>
        <v/>
      </c>
      <c r="G1172" t="inlineStr"/>
      <c r="H1172" t="inlineStr"/>
      <c r="I1172" t="inlineStr">
        <is>
          <t>1</t>
        </is>
      </c>
      <c r="J1172" t="inlineStr"/>
      <c r="K1172" t="inlineStr"/>
      <c r="L1172" t="inlineStr"/>
      <c r="M1172" t="inlineStr"/>
      <c r="N1172" t="inlineStr"/>
      <c r="O1172" t="inlineStr"/>
      <c r="P1172" t="inlineStr"/>
      <c r="Q1172" t="inlineStr"/>
      <c r="R1172" t="inlineStr"/>
      <c r="S1172" t="inlineStr"/>
      <c r="U1172">
        <f>INDEX(FactorTable!$B$2:$Y$301, MATCH(ROUND(MIN(300,MAX(1,U1171)),0), FactorTable!$A$2:$A$301,0), 22)</f>
        <v/>
      </c>
    </row>
    <row r="1173">
      <c r="A1173">
        <f>Skills!A4</f>
        <v/>
      </c>
      <c r="B1173">
        <f>Skills!B4</f>
        <v/>
      </c>
      <c r="C1173">
        <f>Inputs!$B$3&gt;=105</f>
        <v/>
      </c>
      <c r="D1173">
        <f>IF(Skills!C4=1,60+Inputs!$B$26+Inputs!$B$30,IF(Skills!C4=2,90+Inputs!$B$27+Inputs!$B$30,IF(Skills!C4=3,120+Inputs!$B$28+Inputs!$B$30,MAX(0,(Inputs!$B$3-100)*3)+Inputs!$B$29+Inputs!$B$30)))</f>
        <v/>
      </c>
      <c r="E1173">
        <f>INDEX(FactorTable!$B$2:$Y$301, MATCH(ROUND(MIN(300,MAX(1,D1173)),0), FactorTable!$A$2:$A$301,0), Skills!M4+1)</f>
        <v/>
      </c>
      <c r="F1173">
        <f>IF(Skills!N4=TRUE,(Skills!L4/10)*(E1173/1000),Skills!L4/10)+Skills!O4</f>
        <v/>
      </c>
      <c r="G1173" t="inlineStr"/>
      <c r="H1173" t="inlineStr"/>
      <c r="I1173" t="inlineStr">
        <is>
          <t>1</t>
        </is>
      </c>
      <c r="J1173" t="inlineStr"/>
      <c r="K1173" t="inlineStr"/>
      <c r="L1173" t="inlineStr"/>
      <c r="M1173" t="inlineStr"/>
      <c r="N1173" t="inlineStr"/>
      <c r="O1173" t="inlineStr"/>
      <c r="P1173" t="inlineStr"/>
      <c r="Q1173" t="inlineStr"/>
      <c r="R1173" t="inlineStr"/>
      <c r="S1173" t="inlineStr"/>
      <c r="U1173">
        <f>290*U1172/1000</f>
        <v/>
      </c>
    </row>
    <row r="1174">
      <c r="A1174">
        <f>Skills!A5</f>
        <v/>
      </c>
      <c r="B1174">
        <f>Skills!B5</f>
        <v/>
      </c>
      <c r="C1174">
        <f>Inputs!$B$3&gt;=117</f>
        <v/>
      </c>
      <c r="D1174">
        <f>IF(Skills!C5=1,60+Inputs!$B$26+Inputs!$B$30,IF(Skills!C5=2,90+Inputs!$B$27+Inputs!$B$30,IF(Skills!C5=3,120+Inputs!$B$28+Inputs!$B$30,MAX(0,(Inputs!$B$3-100)*3)+Inputs!$B$29+Inputs!$B$30)))</f>
        <v/>
      </c>
      <c r="E1174">
        <f>INDEX(FactorTable!$B$2:$Y$301, MATCH(ROUND(MIN(300,MAX(1,D1174)),0), FactorTable!$A$2:$A$301,0), Skills!M5+1)</f>
        <v/>
      </c>
      <c r="F1174">
        <f>IF(Skills!N5=TRUE,(Skills!L5/10)*(E1174/1000),Skills!L5/10)+Skills!O5</f>
        <v/>
      </c>
      <c r="G1174">
        <f>Skills!G5*IF(Skills!H5&gt;0,Skills!I5/Skills!H5,1)</f>
        <v/>
      </c>
      <c r="H1174">
        <f>1-(1-Skills!J5/100)^Skills!K5</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nputs!$B$17/100)*(5000/(6000+Inputs!$B$43*(1-(Inputs!$B$20+0)/100)))*(1+(Inputs!$B$25+((C1194=TRUE)*(F1194-Calc!F25))+((C1195=TRUE)*(F1195-Calc!F26))+B1204)/100)*(1+(IF(Skills!A5="DARK_IMPALE",Inputs!$B$18+0,Inputs!$B$19+((C1192=TRUE)*(F1192-Calc!F23))))/100)*((1+(((C1182=TRUE)*F1182*IF(AND(Inputs!$B$39&lt;&gt;"pvp",Inputs!$B$44&gt;0),(((R1182-1)*(Skills!T13*(1+(Inputs!$B$35+1)/100))+MIN((Skills!T13*(1+(Inputs!$B$35+1)/100)),MAX(0,Inputs!$B$44-((R1182-1)*Skills!D13))))/Inputs!$B$44),IF(Inputs!$B$39="pvp",MIN((Skills!T13*(1+(Inputs!$B$35+1)/100)),15)/15,(Skills!T13*(1+(Inputs!$B$35+1)/100))/Skills!D13)))+((C1183=TRUE)*F1183*IF(AND(Inputs!$B$39&lt;&gt;"pvp",Inputs!$B$44&gt;0),(((R1183-1)*(Skills!T14*(1+(Inputs!$B$35+1)/100))+MIN((Skills!T14*(1+(Inputs!$B$35+1)/100)),MAX(0,Inputs!$B$44-((R1183-1)*Skills!D14))))/Inputs!$B$44),IF(Inputs!$B$39="pvp",MIN((Skills!T14*(1+(Inputs!$B$35+1)/100)),15)/15,(Skills!T14*(1+(Inputs!$B$35+1)/100))/Skills!D14)))+((C1184=TRUE)*F1184*IF(AND(Inputs!$B$39&lt;&gt;"pvp",Inputs!$B$44&gt;0),(((R1184-1)*(Skills!T15*(1+(Inputs!$B$35+1)/100))+MIN((Skills!T15*(1+(Inputs!$B$35+1)/100)),MAX(0,Inputs!$B$44-((R1184-1)*Skills!D15))))/Inputs!$B$44),IF(Inputs!$B$39="pvp",MIN((Skills!T15*(1+(Inputs!$B$35+1)/100)),15)/15,(Skills!T15*(1+(Inputs!$B$35+1)/100))/Skills!D15)))+((C1185=TRUE)*F1185*IF(AND(Inputs!$B$39&lt;&gt;"pvp",Inputs!$B$44&gt;0),(((R1185-1)*(Skills!T16*(1+(Inputs!$B$35+1)/100))+MIN((Skills!T16*(1+(Inputs!$B$35+1)/100)),MAX(0,Inputs!$B$44-((R1185-1)*Skills!D16))))/Inputs!$B$44),IF(Inputs!$B$39="pvp",MIN((Skills!T16*(1+(Inputs!$B$35+1)/100)),15)/15,(Skills!T16*(1+(Inputs!$B$35+1)/100))/Skills!D16)))+0)/100)*I1174)</f>
        <v/>
      </c>
      <c r="L1174">
        <f>K1174*(MIN(Inputs!$B$23+((C1191=TRUE)*(F1191-Calc!F22)),Inputs!$B$24+((C1193=TRUE)*(F1193-Calc!F24)))/100+(Inputs!$B$24+((C1193=TRUE)*(F1193-Calc!F24)))/100)/2</f>
        <v/>
      </c>
      <c r="M1174">
        <f>L1174*(1+(Inputs!$B$11+0+B1203)/100)</f>
        <v/>
      </c>
      <c r="N1174">
        <f>L1174*(1-MIN((Inputs!$B$10+0+B1198),100)/100)+M1174*(MIN((Inputs!$B$10+0+B1198),100)/100)</f>
        <v/>
      </c>
      <c r="O1174">
        <f>(1-Summary!$B$55)*T1174+Summary!$B$55*V1174</f>
        <v/>
      </c>
      <c r="P1174">
        <f>IF(B1208=0,0,O1174/B1208)</f>
        <v/>
      </c>
      <c r="Q1174">
        <f>IFERROR(1/IF(Inputs!$B$39="pvp",15,MAX(0.1,Skills!D5-IF(Skills!E5=TRUE,Inputs!$B$33,0))),0)</f>
        <v/>
      </c>
      <c r="R1174">
        <f>IF(AND(Inputs!$B$39&lt;&gt;"pvp",Inputs!$B$44&gt;0),IF(MAX(0,Inputs!$B$44-B1205)&lt;=0,0,(INT(MAX(0,Inputs!$B$44-B1205)/IF(Inputs!$B$39="pvp",15,MAX(0.1,Skills!D5-IF(Skills!E5=TRUE,Inputs!$B$33,0))))+1)),0)</f>
        <v/>
      </c>
      <c r="S1174">
        <f>IFERROR(O1174/N1174,0)</f>
        <v/>
      </c>
      <c r="T1174">
        <f>IF(C1174,(H1174*N1174*IF(AND(Inputs!$B$39&lt;&gt;"pvp",Inputs!$B$44&gt;0),((Skills!G5*((R1174-1)*IF(Skills!H5&gt;0,Skills!I5/Skills!H5,1)+IF(Skills!H5&gt;0,MIN(Skills!I5,MAX(0,MAX(0,Inputs!$B$44-B1205)-((R1174-1)*IF(Inputs!$B$39="pvp",15,MAX(0.1,Skills!D5-IF(Skills!E5=TRUE,Inputs!$B$33,0))))))/Skills!H5,1)))/Inputs!$B$44),G1174*Q1174))*IF(Inputs!$B$39="pvp",1,1+(Inputs!$B$21+0+Skills!P5+((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0)</f>
        <v/>
      </c>
      <c r="V1174">
        <f>IF(C1174,(H1174*N1174*IF(AND(Inputs!$B$39&lt;&gt;"pvp",Inputs!$B$44&gt;0),((Skills!G5*((R1174-1)*IF(Skills!H5&gt;0,Skills!I5/Skills!H5,1)+IF(Skills!H5&gt;0,MIN(Skills!I5,MAX(0,MAX(0,Inputs!$B$44-B1205)-((R1174-1)*IF(Inputs!$B$39="pvp",15,MAX(0.1,Skills!D5-IF(Skills!E5=TRUE,Inputs!$B$33,0))))))/Skills!H5,1)))/Inputs!$B$44),G1174*Q1174))*IF(Inputs!$B$39="pvp",1,(1+(Inputs!$B$22+Skills!Q5+((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MIN(Skills!R5,Inputs!$B$38))),0)</f>
        <v/>
      </c>
    </row>
    <row r="1175">
      <c r="A1175">
        <f>Skills!A6</f>
        <v/>
      </c>
      <c r="B1175">
        <f>Skills!B6</f>
        <v/>
      </c>
      <c r="C1175">
        <f>Inputs!$B$3&gt;=103</f>
        <v/>
      </c>
      <c r="D1175">
        <f>IF(Skills!C6=1,60+Inputs!$B$26+Inputs!$B$30,IF(Skills!C6=2,90+Inputs!$B$27+Inputs!$B$30,IF(Skills!C6=3,120+Inputs!$B$28+Inputs!$B$30,MAX(0,(Inputs!$B$3-100)*3)+Inputs!$B$29+Inputs!$B$30)))</f>
        <v/>
      </c>
      <c r="E1175">
        <f>INDEX(FactorTable!$B$2:$Y$301, MATCH(ROUND(MIN(300,MAX(1,D1175)),0), FactorTable!$A$2:$A$301,0), Skills!M6+1)</f>
        <v/>
      </c>
      <c r="F1175">
        <f>IF(Skills!N6=TRUE,(Skills!L6/10)*(E1175/1000),Skills!L6/10)+Skills!O6</f>
        <v/>
      </c>
      <c r="G1175">
        <f>Skills!G6*IF(Skills!H6&gt;0,Skills!I6/Skills!H6,1)</f>
        <v/>
      </c>
      <c r="H1175">
        <f>1-(1-Skills!J6/100)^Skills!K6</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nputs!$B$17/100)*(5000/(6000+Inputs!$B$43*(1-(Inputs!$B$20+0)/100)))*(1+(Inputs!$B$25+((C1194=TRUE)*(F1194-Calc!F25))+((C1195=TRUE)*(F1195-Calc!F26))+B1204)/100)*(1+(IF(Skills!A6="DARK_IMPALE",Inputs!$B$18+0,Inputs!$B$19+((C1192=TRUE)*(F1192-Calc!F23))))/100)*((1+(((C1182=TRUE)*F1182*IF(AND(Inputs!$B$39&lt;&gt;"pvp",Inputs!$B$44&gt;0),(((R1182-1)*(Skills!T13*(1+(Inputs!$B$35+1)/100))+MIN((Skills!T13*(1+(Inputs!$B$35+1)/100)),MAX(0,Inputs!$B$44-((R1182-1)*Skills!D13))))/Inputs!$B$44),IF(Inputs!$B$39="pvp",MIN((Skills!T13*(1+(Inputs!$B$35+1)/100)),15)/15,(Skills!T13*(1+(Inputs!$B$35+1)/100))/Skills!D13)))+((C1183=TRUE)*F1183*IF(AND(Inputs!$B$39&lt;&gt;"pvp",Inputs!$B$44&gt;0),(((R1183-1)*(Skills!T14*(1+(Inputs!$B$35+1)/100))+MIN((Skills!T14*(1+(Inputs!$B$35+1)/100)),MAX(0,Inputs!$B$44-((R1183-1)*Skills!D14))))/Inputs!$B$44),IF(Inputs!$B$39="pvp",MIN((Skills!T14*(1+(Inputs!$B$35+1)/100)),15)/15,(Skills!T14*(1+(Inputs!$B$35+1)/100))/Skills!D14)))+((C1184=TRUE)*F1184*IF(AND(Inputs!$B$39&lt;&gt;"pvp",Inputs!$B$44&gt;0),(((R1184-1)*(Skills!T15*(1+(Inputs!$B$35+1)/100))+MIN((Skills!T15*(1+(Inputs!$B$35+1)/100)),MAX(0,Inputs!$B$44-((R1184-1)*Skills!D15))))/Inputs!$B$44),IF(Inputs!$B$39="pvp",MIN((Skills!T15*(1+(Inputs!$B$35+1)/100)),15)/15,(Skills!T15*(1+(Inputs!$B$35+1)/100))/Skills!D15)))+((C1185=TRUE)*F1185*IF(AND(Inputs!$B$39&lt;&gt;"pvp",Inputs!$B$44&gt;0),(((R1185-1)*(Skills!T16*(1+(Inputs!$B$35+1)/100))+MIN((Skills!T16*(1+(Inputs!$B$35+1)/100)),MAX(0,Inputs!$B$44-((R1185-1)*Skills!D16))))/Inputs!$B$44),IF(Inputs!$B$39="pvp",MIN((Skills!T16*(1+(Inputs!$B$35+1)/100)),15)/15,(Skills!T16*(1+(Inputs!$B$35+1)/100))/Skills!D16)))+0)/100)*I1175)</f>
        <v/>
      </c>
      <c r="L1175">
        <f>K1175*(MIN(Inputs!$B$23+((C1191=TRUE)*(F1191-Calc!F22)),Inputs!$B$24+((C1193=TRUE)*(F1193-Calc!F24)))/100+(Inputs!$B$24+((C1193=TRUE)*(F1193-Calc!F24)))/100)/2</f>
        <v/>
      </c>
      <c r="M1175">
        <f>L1175*(1+(Inputs!$B$11+0+B1203)/100)</f>
        <v/>
      </c>
      <c r="N1175">
        <f>L1175*(1-MIN((Inputs!$B$10+0+B1198),100)/100)+M1175*(MIN((Inputs!$B$10+0+B1198),100)/100)</f>
        <v/>
      </c>
      <c r="O1175">
        <f>(1-Summary!$B$55)*T1175+Summary!$B$55*V1175</f>
        <v/>
      </c>
      <c r="P1175">
        <f>IF(B1208=0,0,O1175/B1208)</f>
        <v/>
      </c>
      <c r="Q1175">
        <f>IFERROR(1/IF(Inputs!$B$39="pvp",15,MAX(0.1,Skills!D6-IF(Skills!E6=TRUE,Inputs!$B$33,0))),0)</f>
        <v/>
      </c>
      <c r="R1175">
        <f>IF(AND(Inputs!$B$39&lt;&gt;"pvp",Inputs!$B$44&gt;0),IF(MAX(0,Inputs!$B$44-B1205)&lt;=0,0,(INT(MAX(0,Inputs!$B$44-B1205)/IF(Inputs!$B$39="pvp",15,MAX(0.1,Skills!D6-IF(Skills!E6=TRUE,Inputs!$B$33,0))))+1)),0)</f>
        <v/>
      </c>
      <c r="S1175">
        <f>IFERROR(O1175/N1175,0)</f>
        <v/>
      </c>
      <c r="T1175">
        <f>IF(C1175,(H1175*N1175*IF(AND(Inputs!$B$39&lt;&gt;"pvp",Inputs!$B$44&gt;0),((Skills!G6*((R1175-1)*IF(Skills!H6&gt;0,Skills!I6/Skills!H6,1)+IF(Skills!H6&gt;0,MIN(Skills!I6,MAX(0,MAX(0,Inputs!$B$44-B1205)-((R1175-1)*IF(Inputs!$B$39="pvp",15,MAX(0.1,Skills!D6-IF(Skills!E6=TRUE,Inputs!$B$33,0))))))/Skills!H6,1)))/Inputs!$B$44),G1175*Q1175))*IF(Inputs!$B$39="pvp",1,1+(Inputs!$B$21+0+Skills!P6+((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0)</f>
        <v/>
      </c>
      <c r="V1175">
        <f>IF(C1175,(H1175*N1175*IF(AND(Inputs!$B$39&lt;&gt;"pvp",Inputs!$B$44&gt;0),((Skills!G6*((R1175-1)*IF(Skills!H6&gt;0,Skills!I6/Skills!H6,1)+IF(Skills!H6&gt;0,MIN(Skills!I6,MAX(0,MAX(0,Inputs!$B$44-B1205)-((R1175-1)*IF(Inputs!$B$39="pvp",15,MAX(0.1,Skills!D6-IF(Skills!E6=TRUE,Inputs!$B$33,0))))))/Skills!H6,1)))/Inputs!$B$44),G1175*Q1175))*IF(Inputs!$B$39="pvp",1,(1+(Inputs!$B$22+Skills!Q6+((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MIN(Skills!R6,Inputs!$B$38))),0)</f>
        <v/>
      </c>
    </row>
    <row r="1176">
      <c r="A1176">
        <f>Skills!A7</f>
        <v/>
      </c>
      <c r="B1176">
        <f>Skills!B7</f>
        <v/>
      </c>
      <c r="C1176">
        <f>Inputs!$B$3&gt;=40</f>
        <v/>
      </c>
      <c r="D1176">
        <f>IF(Skills!C7=1,60+Inputs!$B$26+Inputs!$B$30,IF(Skills!C7=2,90+Inputs!$B$27+Inputs!$B$30,IF(Skills!C7=3,120+Inputs!$B$28+Inputs!$B$30,MAX(0,(Inputs!$B$3-100)*3)+Inputs!$B$29+Inputs!$B$30)))</f>
        <v/>
      </c>
      <c r="E1176">
        <f>INDEX(FactorTable!$B$2:$Y$301, MATCH(ROUND(MIN(300,MAX(1,D1176)),0), FactorTable!$A$2:$A$301,0), Skills!M7+1)</f>
        <v/>
      </c>
      <c r="F1176">
        <f>IF(Skills!N7=TRUE,(Skills!L7/10)*(E1176/1000),Skills!L7/10)+Skills!O7</f>
        <v/>
      </c>
      <c r="G1176">
        <f>Skills!G7*IF(Skills!H7&gt;0,Skills!I7/Skills!H7,1)</f>
        <v/>
      </c>
      <c r="H1176">
        <f>1-(1-Skills!J7/100)^Skills!K7</f>
        <v/>
      </c>
      <c r="I1176" t="inlineStr">
        <is>
          <t>1</t>
        </is>
      </c>
      <c r="J1176">
        <f>((Inputs!$B$6*(1+Inputs!$B$7/100))+(((Inputs!$B$13*(1+Inputs!$B$14/100))-(Inputs!$B$13*(1+Inputs!$B$14/100)))+0.25*(Inputs!$B$15-Inputs!$B$15))*(1+Inputs!$B$7/100))*(F1176/100)</f>
        <v/>
      </c>
      <c r="K1176">
        <f>J1176*(1+(((Inputs!$B$13+IF(Inputs!$B$3&gt;=38,(10*INDEX(FactorTable!$B$2:$Y$301, MATCH(ROUND(MIN(300,MAX(1,Inputs!$B$3)),0), FactorTable!$A$2:$A$301,0), 23)/1000)/100*(Inputs!$B$8*(1+Inputs!$B$9/100)),0))*(1+Inputs!$B$14/100))*0.01+Inputs!$B$15*0.0025)/100)*(1+Inputs!$B$16/100)*(1+Inputs!$B$17/100)*(5000/(6000+Inputs!$B$43*(1-(Inputs!$B$20+0)/100)))*(1+(Inputs!$B$25+((C1194=TRUE)*(F1194-Calc!F25))+((C1195=TRUE)*(F1195-Calc!F26))+B1204)/100)*(1+0.75*IF(C1180=TRUE,F1180,0)/100)*(1+(IF(Skills!A7="DARK_IMPALE",Inputs!$B$18+0,Inputs!$B$19+((C1192=TRUE)*(F1192-Calc!F23))))/100)*((1+(((C1182=TRUE)*F1182*IF(AND(Inputs!$B$39&lt;&gt;"pvp",Inputs!$B$44&gt;0),(((R1182-1)*(Skills!T13*(1+(Inputs!$B$35+1)/100))+MIN((Skills!T13*(1+(Inputs!$B$35+1)/100)),MAX(0,Inputs!$B$44-((R1182-1)*Skills!D13))))/Inputs!$B$44),IF(Inputs!$B$39="pvp",MIN((Skills!T13*(1+(Inputs!$B$35+1)/100)),15)/15,(Skills!T13*(1+(Inputs!$B$35+1)/100))/Skills!D13)))+((C1183=TRUE)*F1183*IF(AND(Inputs!$B$39&lt;&gt;"pvp",Inputs!$B$44&gt;0),(((R1183-1)*(Skills!T14*(1+(Inputs!$B$35+1)/100))+MIN((Skills!T14*(1+(Inputs!$B$35+1)/100)),MAX(0,Inputs!$B$44-((R1183-1)*Skills!D14))))/Inputs!$B$44),IF(Inputs!$B$39="pvp",MIN((Skills!T14*(1+(Inputs!$B$35+1)/100)),15)/15,(Skills!T14*(1+(Inputs!$B$35+1)/100))/Skills!D14)))+((C1184=TRUE)*F1184*IF(AND(Inputs!$B$39&lt;&gt;"pvp",Inputs!$B$44&gt;0),(((R1184-1)*(Skills!T15*(1+(Inputs!$B$35+1)/100))+MIN((Skills!T15*(1+(Inputs!$B$35+1)/100)),MAX(0,Inputs!$B$44-((R1184-1)*Skills!D15))))/Inputs!$B$44),IF(Inputs!$B$39="pvp",MIN((Skills!T15*(1+(Inputs!$B$35+1)/100)),15)/15,(Skills!T15*(1+(Inputs!$B$35+1)/100))/Skills!D15)))+((C1185=TRUE)*F1185*IF(AND(Inputs!$B$39&lt;&gt;"pvp",Inputs!$B$44&gt;0),(((R1185-1)*(Skills!T16*(1+(Inputs!$B$35+1)/100))+MIN((Skills!T16*(1+(Inputs!$B$35+1)/100)),MAX(0,Inputs!$B$44-((R1185-1)*Skills!D16))))/Inputs!$B$44),IF(Inputs!$B$39="pvp",MIN((Skills!T16*(1+(Inputs!$B$35+1)/100)),15)/15,(Skills!T16*(1+(Inputs!$B$35+1)/100))/Skills!D16)))+0)/100)*I1176)</f>
        <v/>
      </c>
      <c r="L1176">
        <f>K1176*(MIN(Inputs!$B$23+((C1191=TRUE)*(F1191-Calc!F22)),Inputs!$B$24+((C1193=TRUE)*(F1193-Calc!F24)))/100+(Inputs!$B$24+((C1193=TRUE)*(F1193-Calc!F24)))/100)/2</f>
        <v/>
      </c>
      <c r="M1176">
        <f>L1176*(1+(Inputs!$B$11+0+B1203)/100)</f>
        <v/>
      </c>
      <c r="N1176">
        <f>L1176*(1-MIN((Inputs!$B$10+0+B1198),100)/100)+M1176*(MIN((Inputs!$B$10+0+B1198),100)/100)</f>
        <v/>
      </c>
      <c r="O1176">
        <f>(1-Summary!$B$55)*T1176+Summary!$B$55*V1176</f>
        <v/>
      </c>
      <c r="P1176">
        <f>IF(B1208=0,0,O1176/B1208)</f>
        <v/>
      </c>
      <c r="Q1176">
        <f>IFERROR(1/IF(Inputs!$B$39="pvp",15,MAX(0.1,Skills!D7-IF(Skills!E7=TRUE,Inputs!$B$33,0))),0)</f>
        <v/>
      </c>
      <c r="R1176">
        <f>IF(AND(Inputs!$B$39&lt;&gt;"pvp",Inputs!$B$44&gt;0),IF(MAX(0,Inputs!$B$44-B1205)&lt;=0,0,(INT(MAX(0,Inputs!$B$44-B1205)/IF(Inputs!$B$39="pvp",15,MAX(0.1,Skills!D7-IF(Skills!E7=TRUE,Inputs!$B$33,0))))+1)),0)</f>
        <v/>
      </c>
      <c r="S1176">
        <f>IFERROR(O1176/N1176,0)</f>
        <v/>
      </c>
      <c r="T1176">
        <f>IF(C1176,(H1176*N1176*IF(AND(Inputs!$B$39&lt;&gt;"pvp",Inputs!$B$44&gt;0),((Skills!G7*((R1176-1)*IF(Skills!H7&gt;0,Skills!I7/Skills!H7,1)+IF(Skills!H7&gt;0,MIN(Skills!I7,MAX(0,MAX(0,Inputs!$B$44-B1205)-((R1176-1)*IF(Inputs!$B$39="pvp",15,MAX(0.1,Skills!D7-IF(Skills!E7=TRUE,Inputs!$B$33,0))))))/Skills!H7,1)))/Inputs!$B$44),G1176*Q1176))*IF(Inputs!$B$39="pvp",1,1+(Inputs!$B$21+0+Skills!P7+((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0)</f>
        <v/>
      </c>
      <c r="V1176">
        <f>IF(C1176,(H1176*N1176*IF(AND(Inputs!$B$39&lt;&gt;"pvp",Inputs!$B$44&gt;0),((Skills!G7*((R1176-1)*IF(Skills!H7&gt;0,Skills!I7/Skills!H7,1)+IF(Skills!H7&gt;0,MIN(Skills!I7,MAX(0,MAX(0,Inputs!$B$44-B1205)-((R1176-1)*IF(Inputs!$B$39="pvp",15,MAX(0.1,Skills!D7-IF(Skills!E7=TRUE,Inputs!$B$33,0))))))/Skills!H7,1)))/Inputs!$B$44),G1176*Q1176))*IF(Inputs!$B$39="pvp",1,(1+(Inputs!$B$22+Skills!Q7+((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MIN(Skills!R7,Inputs!$B$38))),0)</f>
        <v/>
      </c>
    </row>
    <row r="1177">
      <c r="A1177">
        <f>Skills!A8</f>
        <v/>
      </c>
      <c r="B1177">
        <f>Skills!B8</f>
        <v/>
      </c>
      <c r="C1177">
        <f>Inputs!$B$3&gt;=75</f>
        <v/>
      </c>
      <c r="D1177">
        <f>IF(Skills!C8=1,60+Inputs!$B$26+Inputs!$B$30,IF(Skills!C8=2,90+Inputs!$B$27+Inputs!$B$30,IF(Skills!C8=3,120+Inputs!$B$28+Inputs!$B$30,MAX(0,(Inputs!$B$3-100)*3)+Inputs!$B$29+Inputs!$B$30)))</f>
        <v/>
      </c>
      <c r="E1177">
        <f>INDEX(FactorTable!$B$2:$Y$301, MATCH(ROUND(MIN(300,MAX(1,D1177)),0), FactorTable!$A$2:$A$301,0), Skills!M8+1)</f>
        <v/>
      </c>
      <c r="F1177">
        <f>IF(Skills!N8=TRUE,(Skills!L8/10)*(E1177/1000),Skills!L8/10)+Skills!O8</f>
        <v/>
      </c>
      <c r="G1177" t="inlineStr"/>
      <c r="H1177" t="inlineStr"/>
      <c r="I1177" t="inlineStr">
        <is>
          <t>1</t>
        </is>
      </c>
      <c r="J1177" t="inlineStr"/>
      <c r="K1177" t="inlineStr"/>
      <c r="L1177" t="inlineStr"/>
      <c r="M1177" t="inlineStr"/>
      <c r="N1177" t="inlineStr"/>
      <c r="O1177" t="inlineStr"/>
      <c r="P1177" t="inlineStr"/>
      <c r="Q1177" t="inlineStr"/>
      <c r="R1177" t="inlineStr"/>
      <c r="S1177" t="inlineStr"/>
    </row>
    <row r="1178">
      <c r="A1178">
        <f>Skills!A9</f>
        <v/>
      </c>
      <c r="B1178">
        <f>Skills!B9</f>
        <v/>
      </c>
      <c r="C1178">
        <f>Inputs!$B$3&gt;=60</f>
        <v/>
      </c>
      <c r="D1178">
        <f>IF(Skills!C9=1,60+Inputs!$B$26+Inputs!$B$30,IF(Skills!C9=2,90+Inputs!$B$27+Inputs!$B$30,IF(Skills!C9=3,120+Inputs!$B$28+Inputs!$B$30,MAX(0,(Inputs!$B$3-100)*3)+Inputs!$B$29+Inputs!$B$30)))</f>
        <v/>
      </c>
      <c r="E1178">
        <f>INDEX(FactorTable!$B$2:$Y$301, MATCH(ROUND(MIN(300,MAX(1,D1178)),0), FactorTable!$A$2:$A$301,0), Skills!M9+1)</f>
        <v/>
      </c>
      <c r="F1178">
        <f>IF(Skills!N9=TRUE,(Skills!L9/10)*(E1178/1000),Skills!L9/10)+Skills!O9</f>
        <v/>
      </c>
      <c r="G1178">
        <f>Skills!G9*IF(Skills!H9&gt;0,Skills!I9/Skills!H9,1)</f>
        <v/>
      </c>
      <c r="H1178">
        <f>1-(1-Skills!J9/100)^Skills!K9</f>
        <v/>
      </c>
      <c r="I1178" t="inlineStr">
        <is>
          <t>1</t>
        </is>
      </c>
      <c r="J1178">
        <f>((Inputs!$B$6*(1+Inputs!$B$7/100))+(((Inputs!$B$13*(1+Inputs!$B$14/100))-(Inputs!$B$13*(1+Inputs!$B$14/100)))+0.25*(Inputs!$B$15-Inputs!$B$15))*(1+Inputs!$B$7/100))*(F1178/100)</f>
        <v/>
      </c>
      <c r="K1178">
        <f>J1178*(1+(((Inputs!$B$13+IF(Inputs!$B$3&gt;=38,(10*INDEX(FactorTable!$B$2:$Y$301, MATCH(ROUND(MIN(300,MAX(1,Inputs!$B$3)),0), FactorTable!$A$2:$A$301,0), 23)/1000)/100*(Inputs!$B$8*(1+Inputs!$B$9/100)),0))*(1+Inputs!$B$14/100))*0.01+Inputs!$B$15*0.0025)/100)*(1+Inputs!$B$16/100)*(1+Inputs!$B$17/100)*(5000/(6000+Inputs!$B$43*(1-(Inputs!$B$20+0)/100)))*(1+(Inputs!$B$25+((C1194=TRUE)*(F1194-Calc!F25))+((C1195=TRUE)*(F1195-Calc!F26))+B1204)/100)*(1+1.0*IF(C1180=TRUE,F1180,0)/100)*(1+(IF(Skills!A9="DARK_IMPALE",Inputs!$B$18+0,Inputs!$B$19+((C1192=TRUE)*(F1192-Calc!F23))))/100)*((1+(((C1182=TRUE)*F1182*IF(AND(Inputs!$B$39&lt;&gt;"pvp",Inputs!$B$44&gt;0),(((R1182-1)*(Skills!T13*(1+(Inputs!$B$35+1)/100))+MIN((Skills!T13*(1+(Inputs!$B$35+1)/100)),MAX(0,Inputs!$B$44-((R1182-1)*Skills!D13))))/Inputs!$B$44),IF(Inputs!$B$39="pvp",MIN((Skills!T13*(1+(Inputs!$B$35+1)/100)),15)/15,(Skills!T13*(1+(Inputs!$B$35+1)/100))/Skills!D13)))+((C1183=TRUE)*F1183*IF(AND(Inputs!$B$39&lt;&gt;"pvp",Inputs!$B$44&gt;0),(((R1183-1)*(Skills!T14*(1+(Inputs!$B$35+1)/100))+MIN((Skills!T14*(1+(Inputs!$B$35+1)/100)),MAX(0,Inputs!$B$44-((R1183-1)*Skills!D14))))/Inputs!$B$44),IF(Inputs!$B$39="pvp",MIN((Skills!T14*(1+(Inputs!$B$35+1)/100)),15)/15,(Skills!T14*(1+(Inputs!$B$35+1)/100))/Skills!D14)))+((C1184=TRUE)*F1184*IF(AND(Inputs!$B$39&lt;&gt;"pvp",Inputs!$B$44&gt;0),(((R1184-1)*(Skills!T15*(1+(Inputs!$B$35+1)/100))+MIN((Skills!T15*(1+(Inputs!$B$35+1)/100)),MAX(0,Inputs!$B$44-((R1184-1)*Skills!D15))))/Inputs!$B$44),IF(Inputs!$B$39="pvp",MIN((Skills!T15*(1+(Inputs!$B$35+1)/100)),15)/15,(Skills!T15*(1+(Inputs!$B$35+1)/100))/Skills!D15)))+((C1185=TRUE)*F1185*IF(AND(Inputs!$B$39&lt;&gt;"pvp",Inputs!$B$44&gt;0),(((R1185-1)*(Skills!T16*(1+(Inputs!$B$35+1)/100))+MIN((Skills!T16*(1+(Inputs!$B$35+1)/100)),MAX(0,Inputs!$B$44-((R1185-1)*Skills!D16))))/Inputs!$B$44),IF(Inputs!$B$39="pvp",MIN((Skills!T16*(1+(Inputs!$B$35+1)/100)),15)/15,(Skills!T16*(1+(Inputs!$B$35+1)/100))/Skills!D16)))+0)/100)*I1178)</f>
        <v/>
      </c>
      <c r="L1178">
        <f>K1178*(MIN(Inputs!$B$23+((C1191=TRUE)*(F1191-Calc!F22)),Inputs!$B$24+((C1193=TRUE)*(F1193-Calc!F24)))/100+(Inputs!$B$24+((C1193=TRUE)*(F1193-Calc!F24)))/100)/2</f>
        <v/>
      </c>
      <c r="M1178">
        <f>L1178*(1+(Inputs!$B$11+0+B1203)/100)</f>
        <v/>
      </c>
      <c r="N1178">
        <f>L1178*(1-MIN((Inputs!$B$10+0+B1198),100)/100)+M1178*(MIN((Inputs!$B$10+0+B1198),100)/100)</f>
        <v/>
      </c>
      <c r="O1178">
        <f>(1-Summary!$B$55)*T1178+Summary!$B$55*V1178</f>
        <v/>
      </c>
      <c r="P1178">
        <f>IF(B1208=0,0,O1178/B1208)</f>
        <v/>
      </c>
      <c r="Q1178">
        <f>IFERROR(1/IF(Inputs!$B$39="pvp",15,MAX(0.1,Skills!D9-IF(Skills!E9=TRUE,Inputs!$B$33,0))),0)</f>
        <v/>
      </c>
      <c r="R1178">
        <f>IF(AND(Inputs!$B$39&lt;&gt;"pvp",Inputs!$B$44&gt;0),IF(MAX(0,Inputs!$B$44-B1205)&lt;=0,0,(INT(MAX(0,Inputs!$B$44-B1205)/IF(Inputs!$B$39="pvp",15,MAX(0.1,Skills!D9-IF(Skills!E9=TRUE,Inputs!$B$33,0))))+1)),0)</f>
        <v/>
      </c>
      <c r="S1178">
        <f>IFERROR(O1178/N1178,0)</f>
        <v/>
      </c>
      <c r="T1178">
        <f>IF(C1178,(H1178*N1178*IF(AND(Inputs!$B$39&lt;&gt;"pvp",Inputs!$B$44&gt;0),((Skills!G9*((R1178-1)*IF(Skills!H9&gt;0,Skills!I9/Skills!H9,1)+IF(Skills!H9&gt;0,MIN(Skills!I9,MAX(0,MAX(0,Inputs!$B$44-B1205)-((R1178-1)*IF(Inputs!$B$39="pvp",15,MAX(0.1,Skills!D9-IF(Skills!E9=TRUE,Inputs!$B$33,0))))))/Skills!H9,1)))/Inputs!$B$44),G1178*Q1178))*IF(Inputs!$B$39="pvp",1,1+(Inputs!$B$21+0+Skills!P9+((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0)</f>
        <v/>
      </c>
      <c r="V1178">
        <f>IF(C1178,(H1178*N1178*IF(AND(Inputs!$B$39&lt;&gt;"pvp",Inputs!$B$44&gt;0),((Skills!G9*((R1178-1)*IF(Skills!H9&gt;0,Skills!I9/Skills!H9,1)+IF(Skills!H9&gt;0,MIN(Skills!I9,MAX(0,MAX(0,Inputs!$B$44-B1205)-((R1178-1)*IF(Inputs!$B$39="pvp",15,MAX(0.1,Skills!D9-IF(Skills!E9=TRUE,Inputs!$B$33,0))))))/Skills!H9,1)))/Inputs!$B$44),G1178*Q1178))*IF(Inputs!$B$39="pvp",1,(1+(Inputs!$B$22+Skills!Q9+((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MIN(Skills!R9,Inputs!$B$38))),0)</f>
        <v/>
      </c>
    </row>
    <row r="1179">
      <c r="A1179">
        <f>Skills!A10</f>
        <v/>
      </c>
      <c r="B1179">
        <f>Skills!B10</f>
        <v/>
      </c>
      <c r="C1179">
        <f>Inputs!$B$3&gt;=110</f>
        <v/>
      </c>
      <c r="D1179">
        <f>IF(Skills!C10=1,60+Inputs!$B$26+Inputs!$B$30,IF(Skills!C10=2,90+Inputs!$B$27+Inputs!$B$30,IF(Skills!C10=3,120+Inputs!$B$28+Inputs!$B$30,MAX(0,(Inputs!$B$3-100)*3)+Inputs!$B$29+Inputs!$B$30)))</f>
        <v/>
      </c>
      <c r="E1179">
        <f>INDEX(FactorTable!$B$2:$Y$301, MATCH(ROUND(MIN(300,MAX(1,D1179)),0), FactorTable!$A$2:$A$301,0), Skills!M10+1)</f>
        <v/>
      </c>
      <c r="F1179">
        <f>IF(Skills!N10=TRUE,(Skills!L10/10)*(E1179/1000),Skills!L10/10)+Skills!O10</f>
        <v/>
      </c>
      <c r="G1179">
        <f>Skills!G10*IF(Skills!H10&gt;0,Skills!I10/Skills!H10,1)</f>
        <v/>
      </c>
      <c r="H1179">
        <f>1-(1-Skills!J10/100)^Skills!K10</f>
        <v/>
      </c>
      <c r="I1179" t="inlineStr">
        <is>
          <t>1</t>
        </is>
      </c>
      <c r="J1179">
        <f>((Inputs!$B$6*(1+Inputs!$B$7/100))+(((Inputs!$B$13*(1+Inputs!$B$14/100))-(Inputs!$B$13*(1+Inputs!$B$14/100)))+0.25*(Inputs!$B$15-Inputs!$B$15))*(1+Inputs!$B$7/100))*(F1179/100)</f>
        <v/>
      </c>
      <c r="K1179">
        <f>J1179*(1+(((Inputs!$B$13+IF(Inputs!$B$3&gt;=38,(10*INDEX(FactorTable!$B$2:$Y$301, MATCH(ROUND(MIN(300,MAX(1,Inputs!$B$3)),0), FactorTable!$A$2:$A$301,0), 23)/1000)/100*(Inputs!$B$8*(1+Inputs!$B$9/100)),0))*(1+Inputs!$B$14/100))*0.01+Inputs!$B$15*0.0025)/100)*(1+Inputs!$B$16/100)*(1+Inputs!$B$17/100)*(5000/(6000+Inputs!$B$43*(1-(Inputs!$B$20+0)/100)))*(1+(Inputs!$B$25+((C1194=TRUE)*(F1194-Calc!F25))+((C1195=TRUE)*(F1195-Calc!F26))+B1204)/100)*(1+(IF(Skills!A10="DARK_IMPALE",Inputs!$B$18+0,Inputs!$B$19+((C1192=TRUE)*(F1192-Calc!F23))))/100)*((1+(((C1182=TRUE)*F1182*IF(AND(Inputs!$B$39&lt;&gt;"pvp",Inputs!$B$44&gt;0),(((R1182-1)*(Skills!T13*(1+(Inputs!$B$35+1)/100))+MIN((Skills!T13*(1+(Inputs!$B$35+1)/100)),MAX(0,Inputs!$B$44-((R1182-1)*Skills!D13))))/Inputs!$B$44),IF(Inputs!$B$39="pvp",MIN((Skills!T13*(1+(Inputs!$B$35+1)/100)),15)/15,(Skills!T13*(1+(Inputs!$B$35+1)/100))/Skills!D13)))+((C1183=TRUE)*F1183*IF(AND(Inputs!$B$39&lt;&gt;"pvp",Inputs!$B$44&gt;0),(((R1183-1)*(Skills!T14*(1+(Inputs!$B$35+1)/100))+MIN((Skills!T14*(1+(Inputs!$B$35+1)/100)),MAX(0,Inputs!$B$44-((R1183-1)*Skills!D14))))/Inputs!$B$44),IF(Inputs!$B$39="pvp",MIN((Skills!T14*(1+(Inputs!$B$35+1)/100)),15)/15,(Skills!T14*(1+(Inputs!$B$35+1)/100))/Skills!D14)))+((C1184=TRUE)*F1184*IF(AND(Inputs!$B$39&lt;&gt;"pvp",Inputs!$B$44&gt;0),(((R1184-1)*(Skills!T15*(1+(Inputs!$B$35+1)/100))+MIN((Skills!T15*(1+(Inputs!$B$35+1)/100)),MAX(0,Inputs!$B$44-((R1184-1)*Skills!D15))))/Inputs!$B$44),IF(Inputs!$B$39="pvp",MIN((Skills!T15*(1+(Inputs!$B$35+1)/100)),15)/15,(Skills!T15*(1+(Inputs!$B$35+1)/100))/Skills!D15)))+((C1185=TRUE)*F1185*IF(AND(Inputs!$B$39&lt;&gt;"pvp",Inputs!$B$44&gt;0),(((R1185-1)*(Skills!T16*(1+(Inputs!$B$35+1)/100))+MIN((Skills!T16*(1+(Inputs!$B$35+1)/100)),MAX(0,Inputs!$B$44-((R1185-1)*Skills!D16))))/Inputs!$B$44),IF(Inputs!$B$39="pvp",MIN((Skills!T16*(1+(Inputs!$B$35+1)/100)),15)/15,(Skills!T16*(1+(Inputs!$B$35+1)/100))/Skills!D16)))+0)/100)*I1179)</f>
        <v/>
      </c>
      <c r="L1179">
        <f>K1179*(MIN(Inputs!$B$23+((C1191=TRUE)*(F1191-Calc!F22)),Inputs!$B$24+((C1193=TRUE)*(F1193-Calc!F24)))/100+(Inputs!$B$24+((C1193=TRUE)*(F1193-Calc!F24)))/100)/2</f>
        <v/>
      </c>
      <c r="M1179">
        <f>L1179*(1+(Inputs!$B$11+0+B1203)/100)</f>
        <v/>
      </c>
      <c r="N1179">
        <f>L1179*(1-MIN((Inputs!$B$10+0+B1198),100)/100)+M1179*(MIN((Inputs!$B$10+0+B1198),100)/100)</f>
        <v/>
      </c>
      <c r="O1179">
        <f>(1-Summary!$B$55)*T1179+Summary!$B$55*V1179</f>
        <v/>
      </c>
      <c r="P1179">
        <f>IF(B1208=0,0,O1179/B1208)</f>
        <v/>
      </c>
      <c r="Q1179">
        <f>IFERROR(1/IF(Inputs!$B$39="pvp",15,MAX(0.1,Skills!D10-IF(Skills!E10=TRUE,Inputs!$B$33,0))),0)</f>
        <v/>
      </c>
      <c r="R1179">
        <f>IF(AND(Inputs!$B$39&lt;&gt;"pvp",Inputs!$B$44&gt;0),IF(MAX(0,Inputs!$B$44-B1205)&lt;=0,0,(INT(MAX(0,Inputs!$B$44-B1205)/IF(Inputs!$B$39="pvp",15,MAX(0.1,Skills!D10-IF(Skills!E10=TRUE,Inputs!$B$33,0))))+1)),0)</f>
        <v/>
      </c>
      <c r="S1179">
        <f>IFERROR(O1179/N1179,0)</f>
        <v/>
      </c>
      <c r="T1179">
        <f>IF(C1179,(H1179*N1179*IF(AND(Inputs!$B$39&lt;&gt;"pvp",Inputs!$B$44&gt;0),((Skills!G10*((R1179-1)*IF(Skills!H10&gt;0,Skills!I10/Skills!H10,1)+IF(Skills!H10&gt;0,MIN(Skills!I10,MAX(0,MAX(0,Inputs!$B$44-B1205)-((R1179-1)*IF(Inputs!$B$39="pvp",15,MAX(0.1,Skills!D10-IF(Skills!E10=TRUE,Inputs!$B$33,0))))))/Skills!H10,1)))/Inputs!$B$44),G1179*Q1179))*IF(Inputs!$B$39="pvp",1,1+(Inputs!$B$21+0+Skills!P10+((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0)</f>
        <v/>
      </c>
      <c r="V1179">
        <f>IF(C1179,(H1179*N1179*IF(AND(Inputs!$B$39&lt;&gt;"pvp",Inputs!$B$44&gt;0),((Skills!G10*((R1179-1)*IF(Skills!H10&gt;0,Skills!I10/Skills!H10,1)+IF(Skills!H10&gt;0,MIN(Skills!I10,MAX(0,MAX(0,Inputs!$B$44-B1205)-((R1179-1)*IF(Inputs!$B$39="pvp",15,MAX(0.1,Skills!D10-IF(Skills!E10=TRUE,Inputs!$B$33,0))))))/Skills!H10,1)))/Inputs!$B$44),G1179*Q1179))*IF(Inputs!$B$39="pvp",1,(1+(Inputs!$B$22+Skills!Q10+((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MIN(Skills!R10,Inputs!$B$38))),0)</f>
        <v/>
      </c>
    </row>
    <row r="1180">
      <c r="A1180">
        <f>Skills!A11</f>
        <v/>
      </c>
      <c r="B1180">
        <f>Skills!B11</f>
        <v/>
      </c>
      <c r="C1180">
        <f>Inputs!$B$3&gt;=100</f>
        <v/>
      </c>
      <c r="D1180">
        <f>IF(Skills!C11=1,60+Inputs!$B$26+Inputs!$B$30,IF(Skills!C11=2,90+Inputs!$B$27+Inputs!$B$30,IF(Skills!C11=3,120+Inputs!$B$28+Inputs!$B$30,MAX(0,(Inputs!$B$3-100)*3)+Inputs!$B$29+Inputs!$B$30)))</f>
        <v/>
      </c>
      <c r="E1180">
        <f>INDEX(FactorTable!$B$2:$Y$301, MATCH(ROUND(MIN(300,MAX(1,D1180)),0), FactorTable!$A$2:$A$301,0), Skills!M11+1)</f>
        <v/>
      </c>
      <c r="F1180">
        <f>IF(Skills!N11=TRUE,(Skills!L11/10)*(E1180/1000),Skills!L11/10)+Skills!O11</f>
        <v/>
      </c>
      <c r="G1180" t="inlineStr"/>
      <c r="H1180" t="inlineStr"/>
      <c r="I1180" t="inlineStr">
        <is>
          <t>1</t>
        </is>
      </c>
      <c r="J1180" t="inlineStr"/>
      <c r="K1180" t="inlineStr"/>
      <c r="L1180" t="inlineStr"/>
      <c r="M1180" t="inlineStr"/>
      <c r="N1180" t="inlineStr"/>
      <c r="O1180" t="inlineStr"/>
      <c r="P1180" t="inlineStr"/>
      <c r="Q1180" t="inlineStr"/>
      <c r="R1180" t="inlineStr"/>
      <c r="S1180" t="inlineStr"/>
    </row>
    <row r="1181">
      <c r="A1181">
        <f>Skills!A12</f>
        <v/>
      </c>
      <c r="B1181">
        <f>Skills!B12</f>
        <v/>
      </c>
      <c r="C1181">
        <f>Inputs!$B$3&gt;=63</f>
        <v/>
      </c>
      <c r="D1181">
        <f>IF(Skills!C12=1,60+Inputs!$B$26+Inputs!$B$30,IF(Skills!C12=2,90+Inputs!$B$27+Inputs!$B$30,IF(Skills!C12=3,120+Inputs!$B$28+Inputs!$B$30,MAX(0,(Inputs!$B$3-100)*3)+Inputs!$B$29+Inputs!$B$30)))</f>
        <v/>
      </c>
      <c r="E1181">
        <f>INDEX(FactorTable!$B$2:$Y$301, MATCH(ROUND(MIN(300,MAX(1,D1181)),0), FactorTable!$A$2:$A$301,0), Skills!M12+1)</f>
        <v/>
      </c>
      <c r="F1181">
        <f>IF(Skills!N12=TRUE,(Skills!L12/10)*(E1181/1000),Skills!L12/10)+Skills!O12</f>
        <v/>
      </c>
      <c r="G1181">
        <f>Skills!G12*IF(Skills!H12&gt;0,Skills!I12/Skills!H12,1)</f>
        <v/>
      </c>
      <c r="H1181">
        <f>1-(1-Skills!J12/100)^Skills!K12</f>
        <v/>
      </c>
      <c r="I1181" t="inlineStr">
        <is>
          <t>1</t>
        </is>
      </c>
      <c r="J1181">
        <f>((Inputs!$B$6*(1+Inputs!$B$7/100))+(((Inputs!$B$13*(1+Inputs!$B$14/100))-(Inputs!$B$13*(1+Inputs!$B$14/100)))+0.25*(Inputs!$B$15-Inputs!$B$15))*(1+Inputs!$B$7/100))*(F1181/100)</f>
        <v/>
      </c>
      <c r="K1181">
        <f>J1181*(1+(((Inputs!$B$13+IF(Inputs!$B$3&gt;=38,(10*INDEX(FactorTable!$B$2:$Y$301, MATCH(ROUND(MIN(300,MAX(1,Inputs!$B$3)),0), FactorTable!$A$2:$A$301,0), 23)/1000)/100*(Inputs!$B$8*(1+Inputs!$B$9/100)),0))*(1+Inputs!$B$14/100))*0.01+Inputs!$B$15*0.0025)/100)*(1+Inputs!$B$16/100)*(1+Inputs!$B$17/100)*(5000/(6000+Inputs!$B$43*(1-(Inputs!$B$20+0)/100)))*(1+(Inputs!$B$25+((C1194=TRUE)*(F1194-Calc!F25))+((C1195=TRUE)*(F1195-Calc!F26))+B1204)/100)*(1+0.75*IF(C1180=TRUE,F1180,0)/100)*(1+(IF(Skills!A12="DARK_IMPALE",Inputs!$B$18+0,Inputs!$B$19+((C1192=TRUE)*(F1192-Calc!F23))))/100)*((1+(((C1182=TRUE)*F1182*IF(AND(Inputs!$B$39&lt;&gt;"pvp",Inputs!$B$44&gt;0),(((R1182-1)*(Skills!T13*(1+(Inputs!$B$35+1)/100))+MIN((Skills!T13*(1+(Inputs!$B$35+1)/100)),MAX(0,Inputs!$B$44-((R1182-1)*Skills!D13))))/Inputs!$B$44),IF(Inputs!$B$39="pvp",MIN((Skills!T13*(1+(Inputs!$B$35+1)/100)),15)/15,(Skills!T13*(1+(Inputs!$B$35+1)/100))/Skills!D13)))+((C1183=TRUE)*F1183*IF(AND(Inputs!$B$39&lt;&gt;"pvp",Inputs!$B$44&gt;0),(((R1183-1)*(Skills!T14*(1+(Inputs!$B$35+1)/100))+MIN((Skills!T14*(1+(Inputs!$B$35+1)/100)),MAX(0,Inputs!$B$44-((R1183-1)*Skills!D14))))/Inputs!$B$44),IF(Inputs!$B$39="pvp",MIN((Skills!T14*(1+(Inputs!$B$35+1)/100)),15)/15,(Skills!T14*(1+(Inputs!$B$35+1)/100))/Skills!D14)))+((C1184=TRUE)*F1184*IF(AND(Inputs!$B$39&lt;&gt;"pvp",Inputs!$B$44&gt;0),(((R1184-1)*(Skills!T15*(1+(Inputs!$B$35+1)/100))+MIN((Skills!T15*(1+(Inputs!$B$35+1)/100)),MAX(0,Inputs!$B$44-((R1184-1)*Skills!D15))))/Inputs!$B$44),IF(Inputs!$B$39="pvp",MIN((Skills!T15*(1+(Inputs!$B$35+1)/100)),15)/15,(Skills!T15*(1+(Inputs!$B$35+1)/100))/Skills!D15)))+((C1185=TRUE)*F1185*IF(AND(Inputs!$B$39&lt;&gt;"pvp",Inputs!$B$44&gt;0),(((R1185-1)*(Skills!T16*(1+(Inputs!$B$35+1)/100))+MIN((Skills!T16*(1+(Inputs!$B$35+1)/100)),MAX(0,Inputs!$B$44-((R1185-1)*Skills!D16))))/Inputs!$B$44),IF(Inputs!$B$39="pvp",MIN((Skills!T16*(1+(Inputs!$B$35+1)/100)),15)/15,(Skills!T16*(1+(Inputs!$B$35+1)/100))/Skills!D16)))+0)/100)*I1181)</f>
        <v/>
      </c>
      <c r="L1181">
        <f>K1181*(MIN(Inputs!$B$23+((C1191=TRUE)*(F1191-Calc!F22)),Inputs!$B$24+((C1193=TRUE)*(F1193-Calc!F24)))/100+(Inputs!$B$24+((C1193=TRUE)*(F1193-Calc!F24)))/100)/2</f>
        <v/>
      </c>
      <c r="M1181">
        <f>L1181*(1+(Inputs!$B$11+0+B1203)/100)</f>
        <v/>
      </c>
      <c r="N1181">
        <f>L1181*(1-MIN((Inputs!$B$10+0+B1198),100)/100)+M1181*(MIN((Inputs!$B$10+0+B1198),100)/100)</f>
        <v/>
      </c>
      <c r="O1181">
        <f>(1-Summary!$B$55)*T1181+Summary!$B$55*V1181</f>
        <v/>
      </c>
      <c r="P1181">
        <f>IF(B1208=0,0,O1181/B1208)</f>
        <v/>
      </c>
      <c r="Q1181">
        <f>IFERROR(1/IF(Inputs!$B$39="pvp",15,MAX(0.1,Skills!D12-IF(Skills!E12=TRUE,Inputs!$B$33,0))),0)</f>
        <v/>
      </c>
      <c r="R1181">
        <f>IF(AND(Inputs!$B$39&lt;&gt;"pvp",Inputs!$B$44&gt;0),IF(MAX(0,Inputs!$B$44-B1205)&lt;=0,0,(INT(MAX(0,Inputs!$B$44-B1205)/IF(Inputs!$B$39="pvp",15,MAX(0.1,Skills!D12-IF(Skills!E12=TRUE,Inputs!$B$33,0))))+1)),0)</f>
        <v/>
      </c>
      <c r="S1181">
        <f>IFERROR(O1181/N1181,0)</f>
        <v/>
      </c>
      <c r="T1181">
        <f>IF(C1181,(H1181*N1181*IF(AND(Inputs!$B$39&lt;&gt;"pvp",Inputs!$B$44&gt;0),((Skills!G12*((R1181-1)*IF(Skills!H12&gt;0,Skills!I12/Skills!H12,1)+IF(Skills!H12&gt;0,MIN(Skills!I12,MAX(0,MAX(0,Inputs!$B$44-B1205)-((R1181-1)*IF(Inputs!$B$39="pvp",15,MAX(0.1,Skills!D12-IF(Skills!E12=TRUE,Inputs!$B$33,0))))))/Skills!H12,1)))/Inputs!$B$44),G1181*Q1181))*IF(Inputs!$B$39="pvp",1,1+(Inputs!$B$21+0+Skills!P12+((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0)</f>
        <v/>
      </c>
      <c r="V1181">
        <f>IF(C1181,(H1181*N1181*IF(AND(Inputs!$B$39&lt;&gt;"pvp",Inputs!$B$44&gt;0),((Skills!G12*((R1181-1)*IF(Skills!H12&gt;0,Skills!I12/Skills!H12,1)+IF(Skills!H12&gt;0,MIN(Skills!I12,MAX(0,MAX(0,Inputs!$B$44-B1205)-((R1181-1)*IF(Inputs!$B$39="pvp",15,MAX(0.1,Skills!D12-IF(Skills!E12=TRUE,Inputs!$B$33,0))))))/Skills!H12,1)))/Inputs!$B$44),G1181*Q1181))*IF(Inputs!$B$39="pvp",1,(1+(Inputs!$B$22+Skills!Q12+((C1186=TRUE)*F1186*IF(AND(Inputs!$B$39&lt;&gt;"pvp",Inputs!$B$44&gt;0),(((R1186-1)*(Skills!T17*(1+(Inputs!$B$35+1)/100))+MIN((Skills!T17*(1+(Inputs!$B$35+1)/100)),MAX(0,Inputs!$B$44-((R1186-1)*Skills!D17))))/Inputs!$B$44),IF(Inputs!$B$39="pvp",MIN((Skills!T17*(1+(Inputs!$B$35+1)/100)),15)/15,(Skills!T17*(1+(Inputs!$B$35+1)/100))/Skills!D17)))+((C1183=TRUE)*IF(Inputs!$B$39="pvp",20,(1-Summary!$B$55)*(20)+Summary!$B$55*(0))*IF(AND(Inputs!$B$39&lt;&gt;"pvp",Inputs!$B$44&gt;0),(((R1183-1)*(Skills!T14*(1+(Inputs!$B$35+1)/100))+MIN((Skills!T14*(1+(Inputs!$B$35+1)/100)),MAX(0,Inputs!$B$44-((R1183-1)*Skills!D14))))/Inputs!$B$44),IF(Inputs!$B$39="pvp",MIN((Skills!T14*(1+(Inputs!$B$35+1)/100)),15)/15,(Skills!T14*(1+(Inputs!$B$35+1)/100))/Skills!D14))))/100)*(MIN(Skills!R12,Inputs!$B$38))),0)</f>
        <v/>
      </c>
    </row>
    <row r="1182">
      <c r="A1182">
        <f>Skills!A13</f>
        <v/>
      </c>
      <c r="B1182">
        <f>Skills!B13</f>
        <v/>
      </c>
      <c r="C1182">
        <f>Inputs!$B$3&gt;=69</f>
        <v/>
      </c>
      <c r="D1182">
        <f>IF(Skills!C13=1,60+Inputs!$B$26+Inputs!$B$30,IF(Skills!C13=2,90+Inputs!$B$27+Inputs!$B$30,IF(Skills!C13=3,120+Inputs!$B$28+Inputs!$B$30,MAX(0,(Inputs!$B$3-100)*3)+Inputs!$B$29+Inputs!$B$30)))</f>
        <v/>
      </c>
      <c r="E1182">
        <f>INDEX(FactorTable!$B$2:$Y$301, MATCH(ROUND(MIN(300,MAX(1,D1182)),0), FactorTable!$A$2:$A$301,0), Skills!M13+1)</f>
        <v/>
      </c>
      <c r="F1182">
        <f>IF(Skills!N13=TRUE,(Skills!L13/10)*(E1182/1000),Skills!L13/10)+Skills!O13</f>
        <v/>
      </c>
      <c r="G1182">
        <f>Skills!G13*IF(Skills!H13&gt;0,Skills!I13/Skills!H13,1)</f>
        <v/>
      </c>
      <c r="H1182">
        <f>1-(1-Skills!J13/100)^Skills!K13</f>
        <v/>
      </c>
      <c r="I1182" t="inlineStr">
        <is>
          <t>1</t>
        </is>
      </c>
      <c r="J1182" t="inlineStr"/>
      <c r="K1182" t="inlineStr"/>
      <c r="L1182" t="inlineStr"/>
      <c r="M1182" t="inlineStr"/>
      <c r="N1182" t="inlineStr"/>
      <c r="O1182">
        <f>(1-Summary!$B$55)*T1182+Summary!$B$55*V1182</f>
        <v/>
      </c>
      <c r="P1182">
        <f>IF(B1208=0,0,O1182/B1208)</f>
        <v/>
      </c>
      <c r="Q1182">
        <f>IFERROR(1/IF(Inputs!$B$39="pvp",15,MAX(0.1,Skills!D13-IF(Skills!E13=TRUE,Inputs!$B$33,0))),0)</f>
        <v/>
      </c>
      <c r="R1182">
        <f>IF(AND(Inputs!$B$39&lt;&gt;"pvp",Inputs!$B$44&gt;0),IF(Inputs!$B$44&lt;=0,0,(INT(Inputs!$B$44/IF(Inputs!$B$39="pvp",15,MAX(0.1,Skills!D13-IF(Skills!E13=TRUE,Inputs!$B$33,0))))+1)),0)</f>
        <v/>
      </c>
      <c r="S1182">
        <f>IFERROR(O1182/N1182,0)</f>
        <v/>
      </c>
      <c r="T1182" t="n">
        <v>0</v>
      </c>
      <c r="V1182" t="n">
        <v>0</v>
      </c>
    </row>
    <row r="1183">
      <c r="A1183">
        <f>Skills!A14</f>
        <v/>
      </c>
      <c r="B1183">
        <f>Skills!B14</f>
        <v/>
      </c>
      <c r="C1183">
        <f>Inputs!$B$3&gt;=115</f>
        <v/>
      </c>
      <c r="D1183">
        <f>IF(Skills!C14=1,60+Inputs!$B$26+Inputs!$B$30,IF(Skills!C14=2,90+Inputs!$B$27+Inputs!$B$30,IF(Skills!C14=3,120+Inputs!$B$28+Inputs!$B$30,MAX(0,(Inputs!$B$3-100)*3)+Inputs!$B$29+Inputs!$B$30)))</f>
        <v/>
      </c>
      <c r="E1183">
        <f>INDEX(FactorTable!$B$2:$Y$301, MATCH(ROUND(MIN(300,MAX(1,D1183)),0), FactorTable!$A$2:$A$301,0), Skills!M14+1)</f>
        <v/>
      </c>
      <c r="F1183">
        <f>IF(Skills!N14=TRUE,(Skills!L14/10)*(E1183/1000),Skills!L14/10)+Skills!O14</f>
        <v/>
      </c>
      <c r="G1183">
        <f>Skills!G14*IF(Skills!H14&gt;0,Skills!I14/Skills!H14,1)</f>
        <v/>
      </c>
      <c r="H1183">
        <f>1-(1-Skills!J14/100)^Skills!K14</f>
        <v/>
      </c>
      <c r="I1183" t="inlineStr">
        <is>
          <t>1</t>
        </is>
      </c>
      <c r="J1183" t="inlineStr"/>
      <c r="K1183" t="inlineStr"/>
      <c r="L1183" t="inlineStr"/>
      <c r="M1183" t="inlineStr"/>
      <c r="N1183" t="inlineStr"/>
      <c r="O1183">
        <f>(1-Summary!$B$55)*T1183+Summary!$B$55*V1183</f>
        <v/>
      </c>
      <c r="P1183">
        <f>IF(B1208=0,0,O1183/B1208)</f>
        <v/>
      </c>
      <c r="Q1183">
        <f>IFERROR(1/IF(Inputs!$B$39="pvp",15,MAX(0.1,Skills!D14-IF(Skills!E14=TRUE,Inputs!$B$33,0))),0)</f>
        <v/>
      </c>
      <c r="R1183">
        <f>IF(AND(Inputs!$B$39&lt;&gt;"pvp",Inputs!$B$44&gt;0),IF(Inputs!$B$44&lt;=0,0,(INT(Inputs!$B$44/IF(Inputs!$B$39="pvp",15,MAX(0.1,Skills!D14-IF(Skills!E14=TRUE,Inputs!$B$33,0))))+1)),0)</f>
        <v/>
      </c>
      <c r="S1183">
        <f>IFERROR(O1183/N1183,0)</f>
        <v/>
      </c>
      <c r="T1183" t="n">
        <v>0</v>
      </c>
      <c r="V1183" t="n">
        <v>0</v>
      </c>
    </row>
    <row r="1184">
      <c r="A1184">
        <f>Skills!A15</f>
        <v/>
      </c>
      <c r="B1184">
        <f>Skills!B15</f>
        <v/>
      </c>
      <c r="C1184">
        <f>Inputs!$B$3&gt;=66</f>
        <v/>
      </c>
      <c r="D1184">
        <f>IF(Skills!C15=1,60+Inputs!$B$26+Inputs!$B$30,IF(Skills!C15=2,90+Inputs!$B$27+Inputs!$B$30,IF(Skills!C15=3,120+Inputs!$B$28+Inputs!$B$30,MAX(0,(Inputs!$B$3-100)*3)+Inputs!$B$29+Inputs!$B$30)))</f>
        <v/>
      </c>
      <c r="E1184">
        <f>INDEX(FactorTable!$B$2:$Y$301, MATCH(ROUND(MIN(300,MAX(1,D1184)),0), FactorTable!$A$2:$A$301,0), Skills!M15+1)</f>
        <v/>
      </c>
      <c r="F1184">
        <f>IF(Skills!N15=TRUE,(Skills!L15/10)*(E1184/1000),Skills!L15/10)+Skills!O15</f>
        <v/>
      </c>
      <c r="G1184">
        <f>Skills!G15*IF(Skills!H15&gt;0,Skills!I15/Skills!H15,1)</f>
        <v/>
      </c>
      <c r="H1184">
        <f>1-(1-Skills!J15/100)^Skills!K15</f>
        <v/>
      </c>
      <c r="I1184" t="inlineStr">
        <is>
          <t>1</t>
        </is>
      </c>
      <c r="J1184" t="inlineStr"/>
      <c r="K1184" t="inlineStr"/>
      <c r="L1184" t="inlineStr"/>
      <c r="M1184" t="inlineStr"/>
      <c r="N1184" t="inlineStr"/>
      <c r="O1184">
        <f>(1-Summary!$B$55)*T1184+Summary!$B$55*V1184</f>
        <v/>
      </c>
      <c r="P1184">
        <f>IF(B1208=0,0,O1184/B1208)</f>
        <v/>
      </c>
      <c r="Q1184">
        <f>IFERROR(1/IF(Inputs!$B$39="pvp",15,MAX(0.1,Skills!D15-IF(Skills!E15=TRUE,Inputs!$B$33,0))),0)</f>
        <v/>
      </c>
      <c r="R1184">
        <f>IF(AND(Inputs!$B$39&lt;&gt;"pvp",Inputs!$B$44&gt;0),IF(Inputs!$B$44&lt;=0,0,(INT(Inputs!$B$44/IF(Inputs!$B$39="pvp",15,MAX(0.1,Skills!D15-IF(Skills!E15=TRUE,Inputs!$B$33,0))))+1)),0)</f>
        <v/>
      </c>
      <c r="S1184">
        <f>IFERROR(O1184/N1184,0)</f>
        <v/>
      </c>
      <c r="T1184" t="n">
        <v>0</v>
      </c>
      <c r="V1184" t="n">
        <v>0</v>
      </c>
    </row>
    <row r="1185">
      <c r="A1185">
        <f>Skills!A16</f>
        <v/>
      </c>
      <c r="B1185">
        <f>Skills!B16</f>
        <v/>
      </c>
      <c r="C1185">
        <f>Inputs!$B$3&gt;=45</f>
        <v/>
      </c>
      <c r="D1185">
        <f>IF(Skills!C16=1,60+Inputs!$B$26+Inputs!$B$30,IF(Skills!C16=2,90+Inputs!$B$27+Inputs!$B$30,IF(Skills!C16=3,120+Inputs!$B$28+Inputs!$B$30,MAX(0,(Inputs!$B$3-100)*3)+Inputs!$B$29+Inputs!$B$30)))</f>
        <v/>
      </c>
      <c r="E1185">
        <f>INDEX(FactorTable!$B$2:$Y$301, MATCH(ROUND(MIN(300,MAX(1,D1185)),0), FactorTable!$A$2:$A$301,0), Skills!M16+1)</f>
        <v/>
      </c>
      <c r="F1185">
        <f>IF(Skills!N16=TRUE,(Skills!L16/10)*(E1185/1000),Skills!L16/10)+Skills!O16</f>
        <v/>
      </c>
      <c r="G1185">
        <f>Skills!G16*IF(Skills!H16&gt;0,Skills!I16/Skills!H16,1)</f>
        <v/>
      </c>
      <c r="H1185">
        <f>1-(1-Skills!J16/100)^Skills!K16</f>
        <v/>
      </c>
      <c r="I1185" t="inlineStr">
        <is>
          <t>1</t>
        </is>
      </c>
      <c r="J1185" t="inlineStr"/>
      <c r="K1185" t="inlineStr"/>
      <c r="L1185" t="inlineStr"/>
      <c r="M1185" t="inlineStr"/>
      <c r="N1185" t="inlineStr"/>
      <c r="O1185">
        <f>(1-Summary!$B$55)*T1185+Summary!$B$55*V1185</f>
        <v/>
      </c>
      <c r="P1185">
        <f>IF(B1208=0,0,O1185/B1208)</f>
        <v/>
      </c>
      <c r="Q1185">
        <f>IFERROR(1/IF(Inputs!$B$39="pvp",15,MAX(0.1,Skills!D16-IF(Skills!E16=TRUE,Inputs!$B$33,0))),0)</f>
        <v/>
      </c>
      <c r="R1185">
        <f>IF(AND(Inputs!$B$39&lt;&gt;"pvp",Inputs!$B$44&gt;0),IF(Inputs!$B$44&lt;=0,0,(INT(Inputs!$B$44/IF(Inputs!$B$39="pvp",15,MAX(0.1,Skills!D16-IF(Skills!E16=TRUE,Inputs!$B$33,0))))+1)),0)</f>
        <v/>
      </c>
      <c r="S1185">
        <f>IFERROR(O1185/N1185,0)</f>
        <v/>
      </c>
      <c r="T1185" t="n">
        <v>0</v>
      </c>
      <c r="V1185" t="n">
        <v>0</v>
      </c>
    </row>
    <row r="1186">
      <c r="A1186">
        <f>Skills!A17</f>
        <v/>
      </c>
      <c r="B1186">
        <f>Skills!B17</f>
        <v/>
      </c>
      <c r="C1186">
        <f>Inputs!$B$3&gt;=35</f>
        <v/>
      </c>
      <c r="D1186">
        <f>IF(Skills!C17=1,60+Inputs!$B$26+Inputs!$B$30,IF(Skills!C17=2,90+Inputs!$B$27+Inputs!$B$30,IF(Skills!C17=3,120+Inputs!$B$28+Inputs!$B$30,MAX(0,(Inputs!$B$3-100)*3)+Inputs!$B$29+Inputs!$B$30)))</f>
        <v/>
      </c>
      <c r="E1186">
        <f>INDEX(FactorTable!$B$2:$Y$301, MATCH(ROUND(MIN(300,MAX(1,D1186)),0), FactorTable!$A$2:$A$301,0), Skills!M17+1)</f>
        <v/>
      </c>
      <c r="F1186">
        <f>IF(Skills!N17=TRUE,(Skills!L17/10)*(E1186/1000),Skills!L17/10)+Skills!O17</f>
        <v/>
      </c>
      <c r="G1186">
        <f>Skills!G17*IF(Skills!H17&gt;0,Skills!I17/Skills!H17,1)</f>
        <v/>
      </c>
      <c r="H1186">
        <f>1-(1-Skills!J17/100)^Skills!K17</f>
        <v/>
      </c>
      <c r="I1186" t="inlineStr">
        <is>
          <t>1</t>
        </is>
      </c>
      <c r="J1186" t="inlineStr"/>
      <c r="K1186" t="inlineStr"/>
      <c r="L1186" t="inlineStr"/>
      <c r="M1186" t="inlineStr"/>
      <c r="N1186" t="inlineStr"/>
      <c r="O1186">
        <f>(1-Summary!$B$55)*T1186+Summary!$B$55*V1186</f>
        <v/>
      </c>
      <c r="P1186">
        <f>IF(B1208=0,0,O1186/B1208)</f>
        <v/>
      </c>
      <c r="Q1186">
        <f>IFERROR(1/IF(Inputs!$B$39="pvp",15,MAX(0.1,Skills!D17-IF(Skills!E17=TRUE,Inputs!$B$33,0))),0)</f>
        <v/>
      </c>
      <c r="R1186">
        <f>IF(AND(Inputs!$B$39&lt;&gt;"pvp",Inputs!$B$44&gt;0),IF(Inputs!$B$44&lt;=0,0,(INT(Inputs!$B$44/IF(Inputs!$B$39="pvp",15,MAX(0.1,Skills!D17-IF(Skills!E17=TRUE,Inputs!$B$33,0))))+1)),0)</f>
        <v/>
      </c>
      <c r="S1186">
        <f>IFERROR(O1186/N1186,0)</f>
        <v/>
      </c>
      <c r="T1186" t="n">
        <v>0</v>
      </c>
      <c r="V1186" t="n">
        <v>0</v>
      </c>
    </row>
    <row r="1187">
      <c r="A1187">
        <f>Skills!A18</f>
        <v/>
      </c>
      <c r="B1187">
        <f>Skills!B18</f>
        <v/>
      </c>
      <c r="C1187">
        <f>Inputs!$B$3&gt;=72</f>
        <v/>
      </c>
      <c r="D1187">
        <f>IF(Skills!C18=1,60+Inputs!$B$26+Inputs!$B$30,IF(Skills!C18=2,90+Inputs!$B$27+Inputs!$B$30,IF(Skills!C18=3,120+Inputs!$B$28+Inputs!$B$30,MAX(0,(Inputs!$B$3-100)*3)+Inputs!$B$29+Inputs!$B$30)))</f>
        <v/>
      </c>
      <c r="E1187">
        <f>INDEX(FactorTable!$B$2:$Y$301, MATCH(ROUND(MIN(300,MAX(1,D1187)),0), FactorTable!$A$2:$A$301,0), Skills!M18+1)</f>
        <v/>
      </c>
      <c r="F1187">
        <f>IF(Skills!N18=TRUE,(Skills!L18/10)*(E1187/1000),Skills!L18/10)+Skills!O18</f>
        <v/>
      </c>
      <c r="G1187">
        <f>Skills!G18*IF(Skills!H18&gt;0,Skills!I18/Skills!H18,1)</f>
        <v/>
      </c>
      <c r="H1187">
        <f>1-(1-Skills!J18/100)^Skills!K18</f>
        <v/>
      </c>
      <c r="I1187" t="inlineStr">
        <is>
          <t>1</t>
        </is>
      </c>
      <c r="J1187" t="inlineStr"/>
      <c r="K1187" t="inlineStr"/>
      <c r="L1187" t="inlineStr"/>
      <c r="M1187" t="inlineStr"/>
      <c r="N1187" t="inlineStr"/>
      <c r="O1187">
        <f>(1-Summary!$B$55)*T1187+Summary!$B$55*V1187</f>
        <v/>
      </c>
      <c r="P1187">
        <f>IF(B1208=0,0,O1187/B1208)</f>
        <v/>
      </c>
      <c r="Q1187">
        <f>IFERROR(1/IF(Inputs!$B$39="pvp",15,MAX(0.1,Skills!D18-IF(Skills!E18=TRUE,Inputs!$B$33,0))),0)</f>
        <v/>
      </c>
      <c r="R1187">
        <f>IF(AND(Inputs!$B$39&lt;&gt;"pvp",Inputs!$B$44&gt;0),IF(Inputs!$B$44&lt;=0,0,(INT(Inputs!$B$44/IF(Inputs!$B$39="pvp",15,MAX(0.1,Skills!D18-IF(Skills!E18=TRUE,Inputs!$B$33,0))))+1)),0)</f>
        <v/>
      </c>
      <c r="S1187">
        <f>IFERROR(O1187/N1187,0)</f>
        <v/>
      </c>
      <c r="T1187" t="n">
        <v>0</v>
      </c>
      <c r="V1187" t="n">
        <v>0</v>
      </c>
    </row>
    <row r="1188">
      <c r="A1188">
        <f>Skills!A19</f>
        <v/>
      </c>
      <c r="B1188">
        <f>Skills!B19</f>
        <v/>
      </c>
      <c r="C1188">
        <f>Inputs!$B$3&gt;=72</f>
        <v/>
      </c>
      <c r="D1188">
        <f>IF(Skills!C19=1,60+Inputs!$B$26+Inputs!$B$30,IF(Skills!C19=2,90+Inputs!$B$27+Inputs!$B$30,IF(Skills!C19=3,120+Inputs!$B$28+Inputs!$B$30,MAX(0,(Inputs!$B$3-100)*3)+Inputs!$B$29+Inputs!$B$30)))</f>
        <v/>
      </c>
      <c r="E1188">
        <f>INDEX(FactorTable!$B$2:$Y$301, MATCH(ROUND(MIN(300,MAX(1,D1188)),0), FactorTable!$A$2:$A$301,0), Skills!M19+1)</f>
        <v/>
      </c>
      <c r="F1188">
        <f>IF(Skills!N19=TRUE,(Skills!L19/10)*(E1188/1000),Skills!L19/10)+Skills!O19</f>
        <v/>
      </c>
      <c r="G1188">
        <f>Skills!G19*IF(Skills!H19&gt;0,Skills!I19/Skills!H19,1)</f>
        <v/>
      </c>
      <c r="H1188">
        <f>1-(1-Skills!J19/100)^Skills!K19</f>
        <v/>
      </c>
      <c r="I1188" t="inlineStr">
        <is>
          <t>1</t>
        </is>
      </c>
      <c r="J1188" t="inlineStr"/>
      <c r="K1188" t="inlineStr"/>
      <c r="L1188" t="inlineStr"/>
      <c r="M1188" t="inlineStr"/>
      <c r="N1188" t="inlineStr"/>
      <c r="O1188">
        <f>(1-Summary!$B$55)*T1188+Summary!$B$55*V1188</f>
        <v/>
      </c>
      <c r="P1188">
        <f>IF(B1208=0,0,O1188/B1208)</f>
        <v/>
      </c>
      <c r="Q1188">
        <f>IFERROR(1/IF(Inputs!$B$39="pvp",15,MAX(0.1,Skills!D19-IF(Skills!E19=TRUE,Inputs!$B$33,0))),0)</f>
        <v/>
      </c>
      <c r="R1188">
        <f>IF(AND(Inputs!$B$39&lt;&gt;"pvp",Inputs!$B$44&gt;0),IF(Inputs!$B$44&lt;=0,0,(INT(Inputs!$B$44/IF(Inputs!$B$39="pvp",15,MAX(0.1,Skills!D19-IF(Skills!E19=TRUE,Inputs!$B$33,0))))+1)),0)</f>
        <v/>
      </c>
      <c r="S1188">
        <f>IFERROR(O1188/N1188,0)</f>
        <v/>
      </c>
      <c r="T1188" t="n">
        <v>0</v>
      </c>
      <c r="V1188" t="n">
        <v>0</v>
      </c>
    </row>
    <row r="1189">
      <c r="A1189">
        <f>Skills!A20</f>
        <v/>
      </c>
      <c r="B1189">
        <f>Skills!B20</f>
        <v/>
      </c>
      <c r="C1189">
        <f>TRUE</f>
        <v/>
      </c>
      <c r="D1189">
        <f>IF(Skills!C20=1,60+Inputs!$B$26+Inputs!$B$30,IF(Skills!C20=2,90+Inputs!$B$27+Inputs!$B$30,IF(Skills!C20=3,120+Inputs!$B$28+Inputs!$B$30,MAX(0,(Inputs!$B$3-100)*3)+Inputs!$B$29+Inputs!$B$30)))</f>
        <v/>
      </c>
      <c r="E1189">
        <f>INDEX(FactorTable!$B$2:$Y$301, MATCH(ROUND(MIN(300,MAX(1,D1189)),0), FactorTable!$A$2:$A$301,0), Skills!M20+1)</f>
        <v/>
      </c>
      <c r="F1189">
        <f>IF(Skills!N20=TRUE,(Skills!L20/10)*(E1189/1000),Skills!L20/10)+Skills!O20</f>
        <v/>
      </c>
      <c r="G1189">
        <f>Skills!G20*IF(Skills!H20&gt;0,Skills!I20/Skills!H20,1)</f>
        <v/>
      </c>
      <c r="H1189">
        <f>1-(1-Skills!J20/100)^Skills!K20</f>
        <v/>
      </c>
      <c r="I1189" t="inlineStr">
        <is>
          <t>1</t>
        </is>
      </c>
      <c r="J1189" t="inlineStr"/>
      <c r="K1189" t="inlineStr"/>
      <c r="L1189" t="inlineStr"/>
      <c r="M1189" t="inlineStr"/>
      <c r="N1189" t="inlineStr"/>
      <c r="O1189">
        <f>(1-Summary!$B$55)*T1189+Summary!$B$55*V1189</f>
        <v/>
      </c>
      <c r="P1189">
        <f>IF(B1208=0,0,O1189/B1208)</f>
        <v/>
      </c>
      <c r="Q1189">
        <f>IFERROR(1/IF(Inputs!$B$39="pvp",15,MAX(0.1,Skills!D20-IF(Skills!E20=TRUE,Inputs!$B$33,0))),0)</f>
        <v/>
      </c>
      <c r="R1189">
        <f>IF(AND(Inputs!$B$39&lt;&gt;"pvp",Inputs!$B$44&gt;0),IF(Inputs!$B$44&lt;=0,0,(INT(Inputs!$B$44/IF(Inputs!$B$39="pvp",15,MAX(0.1,Skills!D20-IF(Skills!E20=TRUE,Inputs!$B$33,0))))+1)),0)</f>
        <v/>
      </c>
      <c r="S1189">
        <f>IFERROR(O1189/N1189,0)</f>
        <v/>
      </c>
      <c r="T1189" t="n">
        <v>0</v>
      </c>
      <c r="V1189" t="n">
        <v>0</v>
      </c>
    </row>
    <row r="1190">
      <c r="A1190">
        <f>Skills!A21</f>
        <v/>
      </c>
      <c r="B1190">
        <f>Skills!B21</f>
        <v/>
      </c>
      <c r="C1190">
        <f>Inputs!$B$3&gt;=33</f>
        <v/>
      </c>
      <c r="D1190">
        <f>IF(Skills!C21=1,60+Inputs!$B$26+Inputs!$B$30,IF(Skills!C21=2,90+Inputs!$B$27+Inputs!$B$30,IF(Skills!C21=3,120+Inputs!$B$28+Inputs!$B$30,MAX(0,(Inputs!$B$3-100)*3)+Inputs!$B$29+Inputs!$B$30)))</f>
        <v/>
      </c>
      <c r="E1190">
        <f>INDEX(FactorTable!$B$2:$Y$301, MATCH(ROUND(MIN(300,MAX(1,D1190)),0), FactorTable!$A$2:$A$301,0), Skills!M21+1)</f>
        <v/>
      </c>
      <c r="F1190">
        <f>IF(Skills!N21=TRUE,(Skills!L21/10)*(E1190/1000),Skills!L21/10)+Skills!O21</f>
        <v/>
      </c>
      <c r="G1190">
        <f>Skills!G21*IF(Skills!H21&gt;0,Skills!I21/Skills!H21,1)</f>
        <v/>
      </c>
      <c r="H1190">
        <f>1-(1-Skills!J21/100)^Skills!K21</f>
        <v/>
      </c>
      <c r="I1190" t="inlineStr">
        <is>
          <t>1</t>
        </is>
      </c>
      <c r="J1190" t="inlineStr"/>
      <c r="K1190" t="inlineStr"/>
      <c r="L1190" t="inlineStr"/>
      <c r="M1190" t="inlineStr"/>
      <c r="N1190" t="inlineStr"/>
      <c r="O1190">
        <f>(1-Summary!$B$55)*T1190+Summary!$B$55*V1190</f>
        <v/>
      </c>
      <c r="P1190">
        <f>IF(B1208=0,0,O1190/B1208)</f>
        <v/>
      </c>
      <c r="Q1190" t="n">
        <v>0</v>
      </c>
      <c r="R1190" t="n">
        <v>0</v>
      </c>
      <c r="S1190">
        <f>IFERROR(O1190/N1190,0)</f>
        <v/>
      </c>
      <c r="T1190" t="n">
        <v>0</v>
      </c>
      <c r="V1190" t="n">
        <v>0</v>
      </c>
    </row>
    <row r="1191">
      <c r="A1191">
        <f>Skills!A22</f>
        <v/>
      </c>
      <c r="B1191">
        <f>Skills!B22</f>
        <v/>
      </c>
      <c r="C1191">
        <f>Inputs!$B$3&gt;=43</f>
        <v/>
      </c>
      <c r="D1191">
        <f>IF(Skills!C22=1,60+Inputs!$B$26+Inputs!$B$30,IF(Skills!C22=2,90+Inputs!$B$27+Inputs!$B$30,IF(Skills!C22=3,120+Inputs!$B$28+Inputs!$B$30,MAX(0,(Inputs!$B$3-100)*3)+Inputs!$B$29+Inputs!$B$30)))</f>
        <v/>
      </c>
      <c r="E1191">
        <f>INDEX(FactorTable!$B$2:$Y$301, MATCH(ROUND(MIN(300,MAX(1,D1191)),0), FactorTable!$A$2:$A$301,0), Skills!M22+1)</f>
        <v/>
      </c>
      <c r="F1191">
        <f>IF(Skills!N22=TRUE,(Skills!L22/10)*(E1191/1000),Skills!L22/10)+Skills!O22</f>
        <v/>
      </c>
      <c r="G1191">
        <f>Skills!G22*IF(Skills!H22&gt;0,Skills!I22/Skills!H22,1)</f>
        <v/>
      </c>
      <c r="H1191">
        <f>1-(1-Skills!J22/100)^Skills!K22</f>
        <v/>
      </c>
      <c r="I1191" t="inlineStr">
        <is>
          <t>1</t>
        </is>
      </c>
      <c r="J1191" t="inlineStr"/>
      <c r="K1191" t="inlineStr"/>
      <c r="L1191" t="inlineStr"/>
      <c r="M1191" t="inlineStr"/>
      <c r="N1191" t="inlineStr"/>
      <c r="O1191">
        <f>(1-Summary!$B$55)*T1191+Summary!$B$55*V1191</f>
        <v/>
      </c>
      <c r="P1191">
        <f>IF(B1208=0,0,O1191/B1208)</f>
        <v/>
      </c>
      <c r="Q1191" t="n">
        <v>0</v>
      </c>
      <c r="R1191" t="n">
        <v>0</v>
      </c>
      <c r="S1191">
        <f>IFERROR(O1191/N1191,0)</f>
        <v/>
      </c>
      <c r="T1191" t="n">
        <v>0</v>
      </c>
      <c r="V1191" t="n">
        <v>0</v>
      </c>
    </row>
    <row r="1192">
      <c r="A1192">
        <f>Skills!A23</f>
        <v/>
      </c>
      <c r="B1192">
        <f>Skills!B23</f>
        <v/>
      </c>
      <c r="C1192">
        <f>Inputs!$B$3&gt;=120</f>
        <v/>
      </c>
      <c r="D1192">
        <f>IF(Skills!C23=1,60+Inputs!$B$26+Inputs!$B$30,IF(Skills!C23=2,90+Inputs!$B$27+Inputs!$B$30,IF(Skills!C23=3,120+Inputs!$B$28+Inputs!$B$30,MAX(0,(Inputs!$B$3-100)*3)+Inputs!$B$29+Inputs!$B$30)))</f>
        <v/>
      </c>
      <c r="E1192">
        <f>INDEX(FactorTable!$B$2:$Y$301, MATCH(ROUND(MIN(300,MAX(1,D1192)),0), FactorTable!$A$2:$A$301,0), Skills!M23+1)</f>
        <v/>
      </c>
      <c r="F1192">
        <f>IF(Skills!N23=TRUE,(Skills!L23/10)*(E1192/1000),Skills!L23/10)+Skills!O23</f>
        <v/>
      </c>
      <c r="G1192">
        <f>Skills!G23*IF(Skills!H23&gt;0,Skills!I23/Skills!H23,1)</f>
        <v/>
      </c>
      <c r="H1192">
        <f>1-(1-Skills!J23/100)^Skills!K23</f>
        <v/>
      </c>
      <c r="I1192" t="inlineStr">
        <is>
          <t>1</t>
        </is>
      </c>
      <c r="J1192" t="inlineStr"/>
      <c r="K1192" t="inlineStr"/>
      <c r="L1192" t="inlineStr"/>
      <c r="M1192" t="inlineStr"/>
      <c r="N1192" t="inlineStr"/>
      <c r="O1192">
        <f>(1-Summary!$B$55)*T1192+Summary!$B$55*V1192</f>
        <v/>
      </c>
      <c r="P1192">
        <f>IF(B1208=0,0,O1192/B1208)</f>
        <v/>
      </c>
      <c r="Q1192" t="n">
        <v>0</v>
      </c>
      <c r="R1192" t="n">
        <v>0</v>
      </c>
      <c r="S1192">
        <f>IFERROR(O1192/N1192,0)</f>
        <v/>
      </c>
      <c r="T1192" t="n">
        <v>0</v>
      </c>
      <c r="V1192" t="n">
        <v>0</v>
      </c>
    </row>
    <row r="1193">
      <c r="A1193">
        <f>Skills!A24</f>
        <v/>
      </c>
      <c r="B1193">
        <f>Skills!B24</f>
        <v/>
      </c>
      <c r="C1193">
        <f>Inputs!$B$3&gt;=120</f>
        <v/>
      </c>
      <c r="D1193">
        <f>IF(Skills!C24=1,60+Inputs!$B$26+Inputs!$B$30,IF(Skills!C24=2,90+Inputs!$B$27+Inputs!$B$30,IF(Skills!C24=3,120+Inputs!$B$28+Inputs!$B$30,MAX(0,(Inputs!$B$3-100)*3)+Inputs!$B$29+Inputs!$B$30)))</f>
        <v/>
      </c>
      <c r="E1193">
        <f>INDEX(FactorTable!$B$2:$Y$301, MATCH(ROUND(MIN(300,MAX(1,D1193)),0), FactorTable!$A$2:$A$301,0), Skills!M24+1)</f>
        <v/>
      </c>
      <c r="F1193">
        <f>IF(Skills!N24=TRUE,(Skills!L24/10)*(E1193/1000),Skills!L24/10)+Skills!O24</f>
        <v/>
      </c>
      <c r="G1193">
        <f>Skills!G24*IF(Skills!H24&gt;0,Skills!I24/Skills!H24,1)</f>
        <v/>
      </c>
      <c r="H1193">
        <f>1-(1-Skills!J24/100)^Skills!K24</f>
        <v/>
      </c>
      <c r="I1193" t="inlineStr">
        <is>
          <t>1</t>
        </is>
      </c>
      <c r="J1193" t="inlineStr"/>
      <c r="K1193" t="inlineStr"/>
      <c r="L1193" t="inlineStr"/>
      <c r="M1193" t="inlineStr"/>
      <c r="N1193" t="inlineStr"/>
      <c r="O1193">
        <f>(1-Summary!$B$55)*T1193+Summary!$B$55*V1193</f>
        <v/>
      </c>
      <c r="P1193">
        <f>IF(B1208=0,0,O1193/B1208)</f>
        <v/>
      </c>
      <c r="Q1193" t="n">
        <v>0</v>
      </c>
      <c r="R1193" t="n">
        <v>0</v>
      </c>
      <c r="S1193">
        <f>IFERROR(O1193/N1193,0)</f>
        <v/>
      </c>
      <c r="T1193" t="n">
        <v>0</v>
      </c>
      <c r="V1193" t="n">
        <v>0</v>
      </c>
    </row>
    <row r="1194">
      <c r="A1194">
        <f>Skills!A25</f>
        <v/>
      </c>
      <c r="B1194">
        <f>Skills!B25</f>
        <v/>
      </c>
      <c r="C1194">
        <f>Inputs!$B$3&gt;=125</f>
        <v/>
      </c>
      <c r="D1194">
        <f>IF(Skills!C25=1,60+Inputs!$B$26+Inputs!$B$30,IF(Skills!C25=2,90+Inputs!$B$27+Inputs!$B$30,IF(Skills!C25=3,120+Inputs!$B$28+Inputs!$B$30,MAX(0,(Inputs!$B$3-100)*3)+Inputs!$B$29+Inputs!$B$30)))</f>
        <v/>
      </c>
      <c r="E1194">
        <f>INDEX(FactorTable!$B$2:$Y$301, MATCH(ROUND(MIN(300,MAX(1,D1194)),0), FactorTable!$A$2:$A$301,0), Skills!M25+1)</f>
        <v/>
      </c>
      <c r="F1194">
        <f>IF(Skills!N25=TRUE,(Skills!L25/10)*(E1194/1000),Skills!L25/10)+Skills!O25</f>
        <v/>
      </c>
      <c r="G1194">
        <f>Skills!G25*IF(Skills!H25&gt;0,Skills!I25/Skills!H25,1)</f>
        <v/>
      </c>
      <c r="H1194">
        <f>1-(1-Skills!J25/100)^Skills!K25</f>
        <v/>
      </c>
      <c r="I1194" t="inlineStr">
        <is>
          <t>1</t>
        </is>
      </c>
      <c r="J1194" t="inlineStr"/>
      <c r="K1194" t="inlineStr"/>
      <c r="L1194" t="inlineStr"/>
      <c r="M1194" t="inlineStr"/>
      <c r="N1194" t="inlineStr"/>
      <c r="O1194">
        <f>(1-Summary!$B$55)*T1194+Summary!$B$55*V1194</f>
        <v/>
      </c>
      <c r="P1194">
        <f>IF(B1208=0,0,O1194/B1208)</f>
        <v/>
      </c>
      <c r="Q1194" t="n">
        <v>0</v>
      </c>
      <c r="R1194" t="n">
        <v>0</v>
      </c>
      <c r="S1194">
        <f>IFERROR(O1194/N1194,0)</f>
        <v/>
      </c>
      <c r="T1194" t="n">
        <v>0</v>
      </c>
      <c r="V1194" t="n">
        <v>0</v>
      </c>
    </row>
    <row r="1195">
      <c r="A1195">
        <f>Skills!A26</f>
        <v/>
      </c>
      <c r="B1195">
        <f>Skills!B26</f>
        <v/>
      </c>
      <c r="C1195">
        <f>Inputs!$B$3&gt;=107</f>
        <v/>
      </c>
      <c r="D1195">
        <f>IF(Skills!C26=1,60+Inputs!$B$26+Inputs!$B$30,IF(Skills!C26=2,90+Inputs!$B$27+Inputs!$B$30,IF(Skills!C26=3,120+Inputs!$B$28+Inputs!$B$30,MAX(0,(Inputs!$B$3-100)*3)+Inputs!$B$29+Inputs!$B$30)))</f>
        <v/>
      </c>
      <c r="E1195">
        <f>INDEX(FactorTable!$B$2:$Y$301, MATCH(ROUND(MIN(300,MAX(1,D1195)),0), FactorTable!$A$2:$A$301,0), Skills!M26+1)</f>
        <v/>
      </c>
      <c r="F1195">
        <f>IF(Skills!N26=TRUE,(Skills!L26/10)*(E1195/1000),Skills!L26/10)+Skills!O26</f>
        <v/>
      </c>
      <c r="G1195">
        <f>Skills!G26*IF(Skills!H26&gt;0,Skills!I26/Skills!H26,1)</f>
        <v/>
      </c>
      <c r="H1195">
        <f>1-(1-Skills!J26/100)^Skills!K26</f>
        <v/>
      </c>
      <c r="I1195" t="inlineStr">
        <is>
          <t>1</t>
        </is>
      </c>
      <c r="J1195" t="inlineStr"/>
      <c r="K1195" t="inlineStr"/>
      <c r="L1195" t="inlineStr"/>
      <c r="M1195" t="inlineStr"/>
      <c r="N1195" t="inlineStr"/>
      <c r="O1195">
        <f>(1-Summary!$B$55)*T1195+Summary!$B$55*V1195</f>
        <v/>
      </c>
      <c r="P1195">
        <f>IF(B1208=0,0,O1195/B1208)</f>
        <v/>
      </c>
      <c r="Q1195" t="n">
        <v>0</v>
      </c>
      <c r="R1195" t="n">
        <v>0</v>
      </c>
      <c r="S1195">
        <f>IFERROR(O1195/N1195,0)</f>
        <v/>
      </c>
      <c r="T1195" t="n">
        <v>0</v>
      </c>
      <c r="V1195" t="n">
        <v>0</v>
      </c>
    </row>
    <row r="1197">
      <c r="A1197" t="inlineStr">
        <is>
          <t>Attack% Bucket Multiplier</t>
        </is>
      </c>
      <c r="B1197">
        <f>(1+(((C1182=TRUE)*F1182*IF(AND(Inputs!$B$39&lt;&gt;"pvp",Inputs!$B$44&gt;0),(((R1182-1)*(Skills!T13*(1+(Inputs!$B$35+1)/100))+MIN((Skills!T13*(1+(Inputs!$B$35+1)/100)),MAX(0,Inputs!$B$44-((R1182-1)*Skills!D13))))/Inputs!$B$44),IF(Inputs!$B$39="pvp",MIN((Skills!T13*(1+(Inputs!$B$35+1)/100)),15)/15,(Skills!T13*(1+(Inputs!$B$35+1)/100))/Skills!D13)))+((C1183=TRUE)*F1183*IF(AND(Inputs!$B$39&lt;&gt;"pvp",Inputs!$B$44&gt;0),(((R1183-1)*(Skills!T14*(1+(Inputs!$B$35+1)/100))+MIN((Skills!T14*(1+(Inputs!$B$35+1)/100)),MAX(0,Inputs!$B$44-((R1183-1)*Skills!D14))))/Inputs!$B$44),IF(Inputs!$B$39="pvp",MIN((Skills!T14*(1+(Inputs!$B$35+1)/100)),15)/15,(Skills!T14*(1+(Inputs!$B$35+1)/100))/Skills!D14)))+((C1184=TRUE)*F1184*IF(AND(Inputs!$B$39&lt;&gt;"pvp",Inputs!$B$44&gt;0),(((R1184-1)*(Skills!T15*(1+(Inputs!$B$35+1)/100))+MIN((Skills!T15*(1+(Inputs!$B$35+1)/100)),MAX(0,Inputs!$B$44-((R1184-1)*Skills!D15))))/Inputs!$B$44),IF(Inputs!$B$39="pvp",MIN((Skills!T15*(1+(Inputs!$B$35+1)/100)),15)/15,(Skills!T15*(1+(Inputs!$B$35+1)/100))/Skills!D15)))+((C1185=TRUE)*F1185*IF(AND(Inputs!$B$39&lt;&gt;"pvp",Inputs!$B$44&gt;0),(((R1185-1)*(Skills!T16*(1+(Inputs!$B$35+1)/100))+MIN((Skills!T16*(1+(Inputs!$B$35+1)/100)),MAX(0,Inputs!$B$44-((R1185-1)*Skills!D16))))/Inputs!$B$44),IF(Inputs!$B$39="pvp",MIN((Skills!T16*(1+(Inputs!$B$35+1)/100)),15)/15,(Skills!T16*(1+(Inputs!$B$35+1)/100))/Skills!D16)))+0)/100)</f>
        <v/>
      </c>
    </row>
    <row r="1198">
      <c r="A1198" t="inlineStr">
        <is>
          <t>Global Crit Rate Bonus % (Lord of Darkness)</t>
        </is>
      </c>
      <c r="B1198">
        <f>((C1187=TRUE)*F1187*(Skills!J18/100)*IF(AND(Inputs!$B$39&lt;&gt;"pvp",Inputs!$B$44&gt;0),(((R1187-1)*(Skills!T18*(1+(Inputs!$B$35+1)/100))+MIN((Skills!T18*(1+(Inputs!$B$35+1)/100)),MAX(0,Inputs!$B$44-((R1187-1)*Skills!D18))))/Inputs!$B$44),IF(Inputs!$B$39="pvp",MIN((Skills!T18*(1+(Inputs!$B$35+1)/100)),15)/15,(Skills!T18*(1+(Inputs!$B$35+1)/100))/Skills!D18)))</f>
        <v/>
      </c>
    </row>
    <row r="1199">
      <c r="A1199" t="inlineStr">
        <is>
          <t>Attack Speed Buff Bonus %</t>
        </is>
      </c>
      <c r="B1199">
        <f>((C1189=TRUE)*F1189*IF(AND(Inputs!$B$39&lt;&gt;"pvp",Inputs!$B$44&gt;0),(((R1189-1)*(Skills!T20*(1+(Inputs!$B$35+1)/100))+MIN((Skills!T20*(1+(Inputs!$B$35+1)/100)),MAX(0,Inputs!$B$44-((R1189-1)*Skills!D20))))/Inputs!$B$44),IF(Inputs!$B$39="pvp",MIN((Skills!T20*(1+(Inputs!$B$35+1)/100)),15)/15,(Skills!T20*(1+(Inputs!$B$35+1)/100))/Skills!D20)))</f>
        <v/>
      </c>
    </row>
    <row r="1200">
      <c r="A1200" t="inlineStr">
        <is>
          <t>Actions Per Second</t>
        </is>
      </c>
      <c r="B1200">
        <f>1+MIN(150,150*(1-(1-(Inputs!$B$12+((C1190=TRUE)*(F1190-Calc!F21)))/150)*(1-B1199/150)))/100</f>
        <v/>
      </c>
    </row>
    <row r="1201">
      <c r="A1201" t="inlineStr">
        <is>
          <t>Skill + Buff Cast Rate</t>
        </is>
      </c>
      <c r="B1201">
        <f>IF(AND(Inputs!$B$39&lt;&gt;"pvp",Inputs!$B$44&gt;0),SUMPRODUCT((Skills!E2:E26=TRUE)*(C1171:C1195=TRUE)*R1171:R1195*Skills!F2:F26)/Inputs!$B$44,SUMPRODUCT((Skills!E2:E26=TRUE)*(C1171:C1195=TRUE)*Q1171:Q1195*Skills!F2:F26))</f>
        <v/>
      </c>
    </row>
    <row r="1202">
      <c r="A1202" t="inlineStr">
        <is>
          <t>Dark Impale Casts Per Second</t>
        </is>
      </c>
      <c r="B1202">
        <f>MAX(0,B1200-B1201)</f>
        <v/>
      </c>
    </row>
    <row r="1203">
      <c r="A1203" t="inlineStr">
        <is>
          <t>Global Critical Damage Bonus % (Lord of Darkness)</t>
        </is>
      </c>
      <c r="B1203">
        <f>((C1188=TRUE)*F1188*(Skills!J19/100)*IF(AND(Inputs!$B$39&lt;&gt;"pvp",Inputs!$B$44&gt;0),(((R1188-1)*(Skills!T19*(1+(Inputs!$B$35+1)/100))+MIN((Skills!T19*(1+(Inputs!$B$35+1)/100)),MAX(0,Inputs!$B$44-((R1188-1)*Skills!D19))))/Inputs!$B$44),IF(Inputs!$B$39="pvp",MIN((Skills!T19*(1+(Inputs!$B$35+1)/100)),15)/15,(Skills!T19*(1+(Inputs!$B$35+1)/100))/Skills!D19)))</f>
        <v/>
      </c>
    </row>
    <row r="1204">
      <c r="A1204" t="inlineStr">
        <is>
          <t>Global Final Damage Bonus % (unused)</t>
        </is>
      </c>
      <c r="B1204" t="n">
        <v>0</v>
      </c>
    </row>
    <row r="1205">
      <c r="A1205" t="inlineStr">
        <is>
          <t>Buff-Casting Startup Delay (s, fixed-duration only)</t>
        </is>
      </c>
      <c r="B1205">
        <f>IF(AND(Inputs!$B$39&lt;&gt;"pvp",Inputs!$B$44&gt;0),SUMPRODUCT((Skills!T2:T26&gt;0)*(Skills!E2:E26=TRUE)*(C1171:C1195=TRUE))/B1200,0)</f>
        <v/>
      </c>
    </row>
    <row r="1206">
      <c r="A1206" t="inlineStr">
        <is>
          <t>Boss-Only Total DPS (this block's swept value)</t>
        </is>
      </c>
      <c r="B1206">
        <f>SUM(T1171:T1195)</f>
        <v/>
      </c>
    </row>
    <row r="1207">
      <c r="A1207" t="inlineStr">
        <is>
          <t>Normal-Only Total DPS (this block's swept value)</t>
        </is>
      </c>
      <c r="B1207">
        <f>SUM(V1171:V1195)</f>
        <v/>
      </c>
    </row>
    <row r="1208">
      <c r="A1208" s="5" t="inlineStr">
        <is>
          <t>TOTAL DPS</t>
        </is>
      </c>
      <c r="B1208" s="5">
        <f>SUM(O1171:O1195)</f>
        <v/>
      </c>
    </row>
    <row r="1211">
      <c r="A1211" s="7" t="inlineStr">
        <is>
          <t>Cooldown Reduction Milestone Sweep (absolute CDR seconds, fixed-duration content only)</t>
        </is>
      </c>
    </row>
    <row r="1212">
      <c r="A1212" s="9" t="inlineStr">
        <is>
          <t>CDR (s)</t>
        </is>
      </c>
      <c r="B1212" s="9" t="inlineStr">
        <is>
          <t>Total DPS</t>
        </is>
      </c>
      <c r="C1212" s="9" t="inlineStr">
        <is>
          <t>DPS Gain (vs prior step)</t>
        </is>
      </c>
      <c r="D1212" s="9" t="inlineStr">
        <is>
          <t>% Gain (vs current CDR)</t>
        </is>
      </c>
    </row>
    <row r="1213">
      <c r="A1213" t="n">
        <v>0.5</v>
      </c>
      <c r="B1213">
        <f>B1264</f>
        <v/>
      </c>
      <c r="C1213" t="n">
        <v>0</v>
      </c>
      <c r="D1213">
        <f>IF(Summary!$B$3=0,0,(B1213-Summary!$B$3)/Summary!$B$3*100)</f>
        <v/>
      </c>
    </row>
    <row r="1214">
      <c r="A1214" t="n">
        <v>1</v>
      </c>
      <c r="B1214">
        <f>B1306</f>
        <v/>
      </c>
      <c r="C1214">
        <f>B1214-B1213</f>
        <v/>
      </c>
      <c r="D1214">
        <f>IF(Summary!$B$3=0,0,(B1214-Summary!$B$3)/Summary!$B$3*100)</f>
        <v/>
      </c>
    </row>
    <row r="1215">
      <c r="A1215" t="n">
        <v>1.5</v>
      </c>
      <c r="B1215">
        <f>B1348</f>
        <v/>
      </c>
      <c r="C1215">
        <f>B1215-B1214</f>
        <v/>
      </c>
      <c r="D1215">
        <f>IF(Summary!$B$3=0,0,(B1215-Summary!$B$3)/Summary!$B$3*100)</f>
        <v/>
      </c>
    </row>
    <row r="1216">
      <c r="A1216" t="n">
        <v>2</v>
      </c>
      <c r="B1216">
        <f>B1390</f>
        <v/>
      </c>
      <c r="C1216">
        <f>B1216-B1215</f>
        <v/>
      </c>
      <c r="D1216">
        <f>IF(Summary!$B$3=0,0,(B1216-Summary!$B$3)/Summary!$B$3*100)</f>
        <v/>
      </c>
    </row>
    <row r="1217">
      <c r="A1217" t="n">
        <v>2.5</v>
      </c>
      <c r="B1217">
        <f>B1432</f>
        <v/>
      </c>
      <c r="C1217">
        <f>B1217-B1216</f>
        <v/>
      </c>
      <c r="D1217">
        <f>IF(Summary!$B$3=0,0,(B1217-Summary!$B$3)/Summary!$B$3*100)</f>
        <v/>
      </c>
    </row>
    <row r="1218">
      <c r="A1218" t="n">
        <v>3</v>
      </c>
      <c r="B1218">
        <f>B1474</f>
        <v/>
      </c>
      <c r="C1218">
        <f>B1218-B1217</f>
        <v/>
      </c>
      <c r="D1218">
        <f>IF(Summary!$B$3=0,0,(B1218-Summary!$B$3)/Summary!$B$3*100)</f>
        <v/>
      </c>
    </row>
    <row r="1219">
      <c r="A1219" t="n">
        <v>3.5</v>
      </c>
      <c r="B1219">
        <f>B1516</f>
        <v/>
      </c>
      <c r="C1219">
        <f>B1219-B1218</f>
        <v/>
      </c>
      <c r="D1219">
        <f>IF(Summary!$B$3=0,0,(B1219-Summary!$B$3)/Summary!$B$3*100)</f>
        <v/>
      </c>
    </row>
    <row r="1220">
      <c r="A1220" t="n">
        <v>4</v>
      </c>
      <c r="B1220">
        <f>B1558</f>
        <v/>
      </c>
      <c r="C1220">
        <f>B1220-B1219</f>
        <v/>
      </c>
      <c r="D1220">
        <f>IF(Summary!$B$3=0,0,(B1220-Summary!$B$3)/Summary!$B$3*100)</f>
        <v/>
      </c>
    </row>
    <row r="1221">
      <c r="A1221" t="n">
        <v>4.5</v>
      </c>
      <c r="B1221">
        <f>B1600</f>
        <v/>
      </c>
      <c r="C1221">
        <f>B1221-B1220</f>
        <v/>
      </c>
      <c r="D1221">
        <f>IF(Summary!$B$3=0,0,(B1221-Summary!$B$3)/Summary!$B$3*100)</f>
        <v/>
      </c>
    </row>
    <row r="1222">
      <c r="A1222" t="n">
        <v>5</v>
      </c>
      <c r="B1222">
        <f>B1642</f>
        <v/>
      </c>
      <c r="C1222">
        <f>B1222-B1221</f>
        <v/>
      </c>
      <c r="D1222">
        <f>IF(Summary!$B$3=0,0,(B1222-Summary!$B$3)/Summary!$B$3*100)</f>
        <v/>
      </c>
    </row>
    <row r="1225">
      <c r="A1225" s="5" t="inlineStr">
        <is>
          <t>Stat: CDR = 0.5s</t>
        </is>
      </c>
    </row>
    <row r="1226">
      <c r="A1226" s="9" t="inlineStr">
        <is>
          <t>Key</t>
        </is>
      </c>
      <c r="B1226" s="9" t="inlineStr">
        <is>
          <t>Name</t>
        </is>
      </c>
      <c r="C1226" s="9" t="inlineStr">
        <is>
          <t>Unlocked</t>
        </is>
      </c>
      <c r="D1226" s="9" t="inlineStr">
        <is>
          <t>InputLevel</t>
        </is>
      </c>
      <c r="E1226" s="9" t="inlineStr">
        <is>
          <t>Factor</t>
        </is>
      </c>
      <c r="F1226" s="9" t="inlineStr">
        <is>
          <t>CoefficientPercent</t>
        </is>
      </c>
      <c r="G1226" s="9" t="inlineStr">
        <is>
          <t>EffectiveHits</t>
        </is>
      </c>
      <c r="H1226" s="9" t="inlineStr">
        <is>
          <t>ProcProbability</t>
        </is>
      </c>
      <c r="I1226" s="9" t="inlineStr">
        <is>
          <t>MapleHeroMultiplier</t>
        </is>
      </c>
      <c r="J1226" s="9" t="inlineStr">
        <is>
          <t>BaseDamage</t>
        </is>
      </c>
      <c r="K1226" s="9" t="inlineStr">
        <is>
          <t>BaseHitDamage</t>
        </is>
      </c>
      <c r="L1226" s="9" t="inlineStr">
        <is>
          <t>NonCritAvg</t>
        </is>
      </c>
      <c r="M1226" s="9" t="inlineStr">
        <is>
          <t>CritAvg</t>
        </is>
      </c>
      <c r="N1226" s="9" t="inlineStr">
        <is>
          <t>ExpectedDamage(perHit)</t>
        </is>
      </c>
      <c r="O1226" s="9" t="inlineStr">
        <is>
          <t>DPS</t>
        </is>
      </c>
      <c r="P1226" s="9" t="inlineStr">
        <is>
          <t>% of Total</t>
        </is>
      </c>
      <c r="Q1226" s="9" t="inlineStr">
        <is>
          <t>InvCooldown</t>
        </is>
      </c>
      <c r="R1226" s="9" t="inlineStr">
        <is>
          <t>CastsInFight</t>
        </is>
      </c>
      <c r="S1226" s="9" t="inlineStr">
        <is>
          <t>HitRate(perSec)</t>
        </is>
      </c>
      <c r="U1226" t="inlineStr">
        <is>
          <t>helpers</t>
        </is>
      </c>
    </row>
    <row r="1227">
      <c r="A1227">
        <f>Skills!A2</f>
        <v/>
      </c>
      <c r="B1227">
        <f>Skills!B2</f>
        <v/>
      </c>
      <c r="C1227">
        <f>Inputs!$B$3&gt;=100</f>
        <v/>
      </c>
      <c r="D1227" t="inlineStr"/>
      <c r="E1227" t="inlineStr"/>
      <c r="F1227">
        <f>U1229+Skills!O2</f>
        <v/>
      </c>
      <c r="G1227">
        <f>Skills!G2*IF(Skills!H2&gt;0,Skills!I2/Skills!H2,1)</f>
        <v/>
      </c>
      <c r="H1227">
        <f>1-(1-Skills!J2/100)^Skills!K2</f>
        <v/>
      </c>
      <c r="I1227" t="inlineStr">
        <is>
          <t>1</t>
        </is>
      </c>
      <c r="J1227">
        <f>((Inputs!$B$6*(1+Inputs!$B$7/100))+(((Inputs!$B$13*(1+Inputs!$B$14/100))-(Inputs!$B$13*(1+Inputs!$B$14/100)))+0.25*(Inputs!$B$15-Inputs!$B$15))*(1+Inputs!$B$7/100))*(F1227/100)</f>
        <v/>
      </c>
      <c r="K1227">
        <f>J1227*(1+(((Inputs!$B$13+IF(Inputs!$B$3&gt;=38,(10*INDEX(FactorTable!$B$2:$Y$301, MATCH(ROUND(MIN(300,MAX(1,Inputs!$B$3)),0), FactorTable!$A$2:$A$301,0), 23)/1000)/100*(Inputs!$B$8*(1+Inputs!$B$9/100)),0))*(1+Inputs!$B$14/100))*0.01+Inputs!$B$15*0.0025)/100)*(1+Inputs!$B$16/100)*(1+Inputs!$B$17/100)*(5000/(6000+Inputs!$B$43*(1-(Inputs!$B$20+0)/100)))*(1+(Inputs!$B$25+((C1250=TRUE)*(F1250-Calc!F25))+((C1251=TRUE)*(F1251-Calc!F26))+B1260)/100)*(1+(IF(Skills!A2="DARK_IMPALE",Inputs!$B$18+0,Inputs!$B$19+((C1248=TRUE)*(F1248-Calc!F23))))/100)*((1+(((C1238=TRUE)*F1238*IF(AND(Inputs!$B$39&lt;&gt;"pvp",Inputs!$B$44&gt;0),(((R1238-1)*(Skills!T13*(1+Inputs!$B$35/100))+MIN((Skills!T13*(1+Inputs!$B$35/100)),MAX(0,Inputs!$B$44-((R1238-1)*Skills!D13))))/Inputs!$B$44),IF(Inputs!$B$39="pvp",MIN((Skills!T13*(1+Inputs!$B$35/100)),15)/15,(Skills!T13*(1+Inputs!$B$35/100))/Skills!D13)))+((C1239=TRUE)*F1239*IF(AND(Inputs!$B$39&lt;&gt;"pvp",Inputs!$B$44&gt;0),(((R1239-1)*(Skills!T14*(1+Inputs!$B$35/100))+MIN((Skills!T14*(1+Inputs!$B$35/100)),MAX(0,Inputs!$B$44-((R1239-1)*Skills!D14))))/Inputs!$B$44),IF(Inputs!$B$39="pvp",MIN((Skills!T14*(1+Inputs!$B$35/100)),15)/15,(Skills!T14*(1+Inputs!$B$35/100))/Skills!D14)))+((C1240=TRUE)*F1240*IF(AND(Inputs!$B$39&lt;&gt;"pvp",Inputs!$B$44&gt;0),(((R1240-1)*(Skills!T15*(1+Inputs!$B$35/100))+MIN((Skills!T15*(1+Inputs!$B$35/100)),MAX(0,Inputs!$B$44-((R1240-1)*Skills!D15))))/Inputs!$B$44),IF(Inputs!$B$39="pvp",MIN((Skills!T15*(1+Inputs!$B$35/100)),15)/15,(Skills!T15*(1+Inputs!$B$35/100))/Skills!D15)))+((C1241=TRUE)*F1241*IF(AND(Inputs!$B$39&lt;&gt;"pvp",Inputs!$B$44&gt;0),(((R1241-1)*(Skills!T16*(1+Inputs!$B$35/100))+MIN((Skills!T16*(1+Inputs!$B$35/100)),MAX(0,Inputs!$B$44-((R1241-1)*Skills!D16))))/Inputs!$B$44),IF(Inputs!$B$39="pvp",MIN((Skills!T16*(1+Inputs!$B$35/100)),15)/15,(Skills!T16*(1+Inputs!$B$35/100))/Skills!D16)))+0)/100)*I1227)</f>
        <v/>
      </c>
      <c r="L1227">
        <f>K1227*(MIN(Inputs!$B$23+((C1247=TRUE)*(F1247-Calc!F22)),Inputs!$B$24+((C1249=TRUE)*(F1249-Calc!F24)))/100+(Inputs!$B$24+((C1249=TRUE)*(F1249-Calc!F24)))/100)/2</f>
        <v/>
      </c>
      <c r="M1227">
        <f>L1227*(1+(Inputs!$B$11+0+B1259)/100)</f>
        <v/>
      </c>
      <c r="N1227">
        <f>L1227*(1-MIN((Inputs!$B$10+0+B1254),100)/100)+M1227*(MIN((Inputs!$B$10+0+B1254),100)/100)</f>
        <v/>
      </c>
      <c r="O1227">
        <f>(1-Summary!$B$55)*T1227+Summary!$B$55*V1227</f>
        <v/>
      </c>
      <c r="P1227">
        <f>IF(B1264=0,0,O1227/B1264)</f>
        <v/>
      </c>
      <c r="Q1227" t="n">
        <v>0</v>
      </c>
      <c r="R1227" t="n">
        <v>0</v>
      </c>
      <c r="S1227">
        <f>IFERROR(O1227/N1227,0)</f>
        <v/>
      </c>
      <c r="T1227">
        <f>IF(C1227,(Skills!G2*N1227*B1258)*IF(Inputs!$B$39="pvp",1,1+(Inputs!$B$21+0+Skills!P2+((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0)</f>
        <v/>
      </c>
      <c r="U1227">
        <f>MAX(0,(Inputs!$B$3-100)*3)+Inputs!$B$29+Inputs!$B$30</f>
        <v/>
      </c>
      <c r="V1227">
        <f>IF(C1227,(Skills!G2*N1227*B1258)*IF(Inputs!$B$39="pvp",1,(1+(Inputs!$B$22+Skills!Q2+((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MIN((6+Inputs!$B$34),Inputs!$B$38))),0)</f>
        <v/>
      </c>
    </row>
    <row r="1228">
      <c r="A1228">
        <f>Skills!A3</f>
        <v/>
      </c>
      <c r="B1228">
        <f>Skills!B3</f>
        <v/>
      </c>
      <c r="C1228">
        <f>Inputs!$B$3&gt;=50</f>
        <v/>
      </c>
      <c r="D1228">
        <f>IF(Skills!C3=1,60+Inputs!$B$26+Inputs!$B$30,IF(Skills!C3=2,90+Inputs!$B$27+Inputs!$B$30,IF(Skills!C3=3,120+Inputs!$B$28+Inputs!$B$30,MAX(0,(Inputs!$B$3-100)*3)+Inputs!$B$29+Inputs!$B$30)))</f>
        <v/>
      </c>
      <c r="E1228">
        <f>INDEX(FactorTable!$B$2:$Y$301, MATCH(ROUND(MIN(300,MAX(1,D1228)),0), FactorTable!$A$2:$A$301,0), Skills!M3+1)</f>
        <v/>
      </c>
      <c r="F1228">
        <f>IF(Skills!N3=TRUE,(Skills!L3/10)*(E1228/1000),Skills!L3/10)+Skills!O3</f>
        <v/>
      </c>
      <c r="G1228" t="inlineStr"/>
      <c r="H1228" t="inlineStr"/>
      <c r="I1228" t="inlineStr">
        <is>
          <t>1</t>
        </is>
      </c>
      <c r="J1228" t="inlineStr"/>
      <c r="K1228" t="inlineStr"/>
      <c r="L1228" t="inlineStr"/>
      <c r="M1228" t="inlineStr"/>
      <c r="N1228" t="inlineStr"/>
      <c r="O1228" t="inlineStr"/>
      <c r="P1228" t="inlineStr"/>
      <c r="Q1228" t="inlineStr"/>
      <c r="R1228" t="inlineStr"/>
      <c r="S1228" t="inlineStr"/>
      <c r="U1228">
        <f>INDEX(FactorTable!$B$2:$Y$301, MATCH(ROUND(MIN(300,MAX(1,U1227)),0), FactorTable!$A$2:$A$301,0), 22)</f>
        <v/>
      </c>
    </row>
    <row r="1229">
      <c r="A1229">
        <f>Skills!A4</f>
        <v/>
      </c>
      <c r="B1229">
        <f>Skills!B4</f>
        <v/>
      </c>
      <c r="C1229">
        <f>Inputs!$B$3&gt;=105</f>
        <v/>
      </c>
      <c r="D1229">
        <f>IF(Skills!C4=1,60+Inputs!$B$26+Inputs!$B$30,IF(Skills!C4=2,90+Inputs!$B$27+Inputs!$B$30,IF(Skills!C4=3,120+Inputs!$B$28+Inputs!$B$30,MAX(0,(Inputs!$B$3-100)*3)+Inputs!$B$29+Inputs!$B$30)))</f>
        <v/>
      </c>
      <c r="E1229">
        <f>INDEX(FactorTable!$B$2:$Y$301, MATCH(ROUND(MIN(300,MAX(1,D1229)),0), FactorTable!$A$2:$A$301,0), Skills!M4+1)</f>
        <v/>
      </c>
      <c r="F1229">
        <f>IF(Skills!N4=TRUE,(Skills!L4/10)*(E1229/1000),Skills!L4/10)+Skills!O4</f>
        <v/>
      </c>
      <c r="G1229" t="inlineStr"/>
      <c r="H1229" t="inlineStr"/>
      <c r="I1229" t="inlineStr">
        <is>
          <t>1</t>
        </is>
      </c>
      <c r="J1229" t="inlineStr"/>
      <c r="K1229" t="inlineStr"/>
      <c r="L1229" t="inlineStr"/>
      <c r="M1229" t="inlineStr"/>
      <c r="N1229" t="inlineStr"/>
      <c r="O1229" t="inlineStr"/>
      <c r="P1229" t="inlineStr"/>
      <c r="Q1229" t="inlineStr"/>
      <c r="R1229" t="inlineStr"/>
      <c r="S1229" t="inlineStr"/>
      <c r="U1229">
        <f>290*U1228/1000</f>
        <v/>
      </c>
    </row>
    <row r="1230">
      <c r="A1230">
        <f>Skills!A5</f>
        <v/>
      </c>
      <c r="B1230">
        <f>Skills!B5</f>
        <v/>
      </c>
      <c r="C1230">
        <f>Inputs!$B$3&gt;=117</f>
        <v/>
      </c>
      <c r="D1230">
        <f>IF(Skills!C5=1,60+Inputs!$B$26+Inputs!$B$30,IF(Skills!C5=2,90+Inputs!$B$27+Inputs!$B$30,IF(Skills!C5=3,120+Inputs!$B$28+Inputs!$B$30,MAX(0,(Inputs!$B$3-100)*3)+Inputs!$B$29+Inputs!$B$30)))</f>
        <v/>
      </c>
      <c r="E1230">
        <f>INDEX(FactorTable!$B$2:$Y$301, MATCH(ROUND(MIN(300,MAX(1,D1230)),0), FactorTable!$A$2:$A$301,0), Skills!M5+1)</f>
        <v/>
      </c>
      <c r="F1230">
        <f>IF(Skills!N5=TRUE,(Skills!L5/10)*(E1230/1000),Skills!L5/10)+Skills!O5</f>
        <v/>
      </c>
      <c r="G1230">
        <f>Skills!G5*IF(Skills!H5&gt;0,Skills!I5/Skills!H5,1)</f>
        <v/>
      </c>
      <c r="H1230">
        <f>1-(1-Skills!J5/100)^Skills!K5</f>
        <v/>
      </c>
      <c r="I1230" t="inlineStr">
        <is>
          <t>1</t>
        </is>
      </c>
      <c r="J1230">
        <f>((Inputs!$B$6*(1+Inputs!$B$7/100))+(((Inputs!$B$13*(1+Inputs!$B$14/100))-(Inputs!$B$13*(1+Inputs!$B$14/100)))+0.25*(Inputs!$B$15-Inputs!$B$15))*(1+Inputs!$B$7/100))*(F1230/100)</f>
        <v/>
      </c>
      <c r="K1230">
        <f>J1230*(1+(((Inputs!$B$13+IF(Inputs!$B$3&gt;=38,(10*INDEX(FactorTable!$B$2:$Y$301, MATCH(ROUND(MIN(300,MAX(1,Inputs!$B$3)),0), FactorTable!$A$2:$A$301,0), 23)/1000)/100*(Inputs!$B$8*(1+Inputs!$B$9/100)),0))*(1+Inputs!$B$14/100))*0.01+Inputs!$B$15*0.0025)/100)*(1+Inputs!$B$16/100)*(1+Inputs!$B$17/100)*(5000/(6000+Inputs!$B$43*(1-(Inputs!$B$20+0)/100)))*(1+(Inputs!$B$25+((C1250=TRUE)*(F1250-Calc!F25))+((C1251=TRUE)*(F1251-Calc!F26))+B1260)/100)*(1+(IF(Skills!A5="DARK_IMPALE",Inputs!$B$18+0,Inputs!$B$19+((C1248=TRUE)*(F1248-Calc!F23))))/100)*((1+(((C1238=TRUE)*F1238*IF(AND(Inputs!$B$39&lt;&gt;"pvp",Inputs!$B$44&gt;0),(((R1238-1)*(Skills!T13*(1+Inputs!$B$35/100))+MIN((Skills!T13*(1+Inputs!$B$35/100)),MAX(0,Inputs!$B$44-((R1238-1)*Skills!D13))))/Inputs!$B$44),IF(Inputs!$B$39="pvp",MIN((Skills!T13*(1+Inputs!$B$35/100)),15)/15,(Skills!T13*(1+Inputs!$B$35/100))/Skills!D13)))+((C1239=TRUE)*F1239*IF(AND(Inputs!$B$39&lt;&gt;"pvp",Inputs!$B$44&gt;0),(((R1239-1)*(Skills!T14*(1+Inputs!$B$35/100))+MIN((Skills!T14*(1+Inputs!$B$35/100)),MAX(0,Inputs!$B$44-((R1239-1)*Skills!D14))))/Inputs!$B$44),IF(Inputs!$B$39="pvp",MIN((Skills!T14*(1+Inputs!$B$35/100)),15)/15,(Skills!T14*(1+Inputs!$B$35/100))/Skills!D14)))+((C1240=TRUE)*F1240*IF(AND(Inputs!$B$39&lt;&gt;"pvp",Inputs!$B$44&gt;0),(((R1240-1)*(Skills!T15*(1+Inputs!$B$35/100))+MIN((Skills!T15*(1+Inputs!$B$35/100)),MAX(0,Inputs!$B$44-((R1240-1)*Skills!D15))))/Inputs!$B$44),IF(Inputs!$B$39="pvp",MIN((Skills!T15*(1+Inputs!$B$35/100)),15)/15,(Skills!T15*(1+Inputs!$B$35/100))/Skills!D15)))+((C1241=TRUE)*F1241*IF(AND(Inputs!$B$39&lt;&gt;"pvp",Inputs!$B$44&gt;0),(((R1241-1)*(Skills!T16*(1+Inputs!$B$35/100))+MIN((Skills!T16*(1+Inputs!$B$35/100)),MAX(0,Inputs!$B$44-((R1241-1)*Skills!D16))))/Inputs!$B$44),IF(Inputs!$B$39="pvp",MIN((Skills!T16*(1+Inputs!$B$35/100)),15)/15,(Skills!T16*(1+Inputs!$B$35/100))/Skills!D16)))+0)/100)*I1230)</f>
        <v/>
      </c>
      <c r="L1230">
        <f>K1230*(MIN(Inputs!$B$23+((C1247=TRUE)*(F1247-Calc!F22)),Inputs!$B$24+((C1249=TRUE)*(F1249-Calc!F24)))/100+(Inputs!$B$24+((C1249=TRUE)*(F1249-Calc!F24)))/100)/2</f>
        <v/>
      </c>
      <c r="M1230">
        <f>L1230*(1+(Inputs!$B$11+0+B1259)/100)</f>
        <v/>
      </c>
      <c r="N1230">
        <f>L1230*(1-MIN((Inputs!$B$10+0+B1254),100)/100)+M1230*(MIN((Inputs!$B$10+0+B1254),100)/100)</f>
        <v/>
      </c>
      <c r="O1230">
        <f>(1-Summary!$B$55)*T1230+Summary!$B$55*V1230</f>
        <v/>
      </c>
      <c r="P1230">
        <f>IF(B1264=0,0,O1230/B1264)</f>
        <v/>
      </c>
      <c r="Q1230">
        <f>IFERROR(1/IF(Inputs!$B$39="pvp",15,MAX(0.1,Skills!D5-IF(Skills!E5=TRUE,0.5,0))),0)</f>
        <v/>
      </c>
      <c r="R1230">
        <f>IF(AND(Inputs!$B$39&lt;&gt;"pvp",Inputs!$B$44&gt;0),IF(MAX(0,Inputs!$B$44-B1261)&lt;=0,0,(INT(MAX(0,Inputs!$B$44-B1261)/IF(Inputs!$B$39="pvp",15,MAX(0.1,Skills!D5-IF(Skills!E5=TRUE,0.5,0))))+1)),0)</f>
        <v/>
      </c>
      <c r="S1230">
        <f>IFERROR(O1230/N1230,0)</f>
        <v/>
      </c>
      <c r="T1230">
        <f>IF(C1230,(H1230*N1230*IF(AND(Inputs!$B$39&lt;&gt;"pvp",Inputs!$B$44&gt;0),((Skills!G5*((R1230-1)*IF(Skills!H5&gt;0,Skills!I5/Skills!H5,1)+IF(Skills!H5&gt;0,MIN(Skills!I5,MAX(0,MAX(0,Inputs!$B$44-B1261)-((R1230-1)*IF(Inputs!$B$39="pvp",15,MAX(0.1,Skills!D5-IF(Skills!E5=TRUE,0.5,0))))))/Skills!H5,1)))/Inputs!$B$44),G1230*Q1230))*IF(Inputs!$B$39="pvp",1,1+(Inputs!$B$21+0+Skills!P5+((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0)</f>
        <v/>
      </c>
      <c r="V1230">
        <f>IF(C1230,(H1230*N1230*IF(AND(Inputs!$B$39&lt;&gt;"pvp",Inputs!$B$44&gt;0),((Skills!G5*((R1230-1)*IF(Skills!H5&gt;0,Skills!I5/Skills!H5,1)+IF(Skills!H5&gt;0,MIN(Skills!I5,MAX(0,MAX(0,Inputs!$B$44-B1261)-((R1230-1)*IF(Inputs!$B$39="pvp",15,MAX(0.1,Skills!D5-IF(Skills!E5=TRUE,0.5,0))))))/Skills!H5,1)))/Inputs!$B$44),G1230*Q1230))*IF(Inputs!$B$39="pvp",1,(1+(Inputs!$B$22+Skills!Q5+((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MIN(Skills!R5,Inputs!$B$38))),0)</f>
        <v/>
      </c>
    </row>
    <row r="1231">
      <c r="A1231">
        <f>Skills!A6</f>
        <v/>
      </c>
      <c r="B1231">
        <f>Skills!B6</f>
        <v/>
      </c>
      <c r="C1231">
        <f>Inputs!$B$3&gt;=103</f>
        <v/>
      </c>
      <c r="D1231">
        <f>IF(Skills!C6=1,60+Inputs!$B$26+Inputs!$B$30,IF(Skills!C6=2,90+Inputs!$B$27+Inputs!$B$30,IF(Skills!C6=3,120+Inputs!$B$28+Inputs!$B$30,MAX(0,(Inputs!$B$3-100)*3)+Inputs!$B$29+Inputs!$B$30)))</f>
        <v/>
      </c>
      <c r="E1231">
        <f>INDEX(FactorTable!$B$2:$Y$301, MATCH(ROUND(MIN(300,MAX(1,D1231)),0), FactorTable!$A$2:$A$301,0), Skills!M6+1)</f>
        <v/>
      </c>
      <c r="F1231">
        <f>IF(Skills!N6=TRUE,(Skills!L6/10)*(E1231/1000),Skills!L6/10)+Skills!O6</f>
        <v/>
      </c>
      <c r="G1231">
        <f>Skills!G6*IF(Skills!H6&gt;0,Skills!I6/Skills!H6,1)</f>
        <v/>
      </c>
      <c r="H1231">
        <f>1-(1-Skills!J6/100)^Skills!K6</f>
        <v/>
      </c>
      <c r="I1231" t="inlineStr">
        <is>
          <t>1</t>
        </is>
      </c>
      <c r="J1231">
        <f>((Inputs!$B$6*(1+Inputs!$B$7/100))+(((Inputs!$B$13*(1+Inputs!$B$14/100))-(Inputs!$B$13*(1+Inputs!$B$14/100)))+0.25*(Inputs!$B$15-Inputs!$B$15))*(1+Inputs!$B$7/100))*(F1231/100)</f>
        <v/>
      </c>
      <c r="K1231">
        <f>J1231*(1+(((Inputs!$B$13+IF(Inputs!$B$3&gt;=38,(10*INDEX(FactorTable!$B$2:$Y$301, MATCH(ROUND(MIN(300,MAX(1,Inputs!$B$3)),0), FactorTable!$A$2:$A$301,0), 23)/1000)/100*(Inputs!$B$8*(1+Inputs!$B$9/100)),0))*(1+Inputs!$B$14/100))*0.01+Inputs!$B$15*0.0025)/100)*(1+Inputs!$B$16/100)*(1+Inputs!$B$17/100)*(5000/(6000+Inputs!$B$43*(1-(Inputs!$B$20+0)/100)))*(1+(Inputs!$B$25+((C1250=TRUE)*(F1250-Calc!F25))+((C1251=TRUE)*(F1251-Calc!F26))+B1260)/100)*(1+(IF(Skills!A6="DARK_IMPALE",Inputs!$B$18+0,Inputs!$B$19+((C1248=TRUE)*(F1248-Calc!F23))))/100)*((1+(((C1238=TRUE)*F1238*IF(AND(Inputs!$B$39&lt;&gt;"pvp",Inputs!$B$44&gt;0),(((R1238-1)*(Skills!T13*(1+Inputs!$B$35/100))+MIN((Skills!T13*(1+Inputs!$B$35/100)),MAX(0,Inputs!$B$44-((R1238-1)*Skills!D13))))/Inputs!$B$44),IF(Inputs!$B$39="pvp",MIN((Skills!T13*(1+Inputs!$B$35/100)),15)/15,(Skills!T13*(1+Inputs!$B$35/100))/Skills!D13)))+((C1239=TRUE)*F1239*IF(AND(Inputs!$B$39&lt;&gt;"pvp",Inputs!$B$44&gt;0),(((R1239-1)*(Skills!T14*(1+Inputs!$B$35/100))+MIN((Skills!T14*(1+Inputs!$B$35/100)),MAX(0,Inputs!$B$44-((R1239-1)*Skills!D14))))/Inputs!$B$44),IF(Inputs!$B$39="pvp",MIN((Skills!T14*(1+Inputs!$B$35/100)),15)/15,(Skills!T14*(1+Inputs!$B$35/100))/Skills!D14)))+((C1240=TRUE)*F1240*IF(AND(Inputs!$B$39&lt;&gt;"pvp",Inputs!$B$44&gt;0),(((R1240-1)*(Skills!T15*(1+Inputs!$B$35/100))+MIN((Skills!T15*(1+Inputs!$B$35/100)),MAX(0,Inputs!$B$44-((R1240-1)*Skills!D15))))/Inputs!$B$44),IF(Inputs!$B$39="pvp",MIN((Skills!T15*(1+Inputs!$B$35/100)),15)/15,(Skills!T15*(1+Inputs!$B$35/100))/Skills!D15)))+((C1241=TRUE)*F1241*IF(AND(Inputs!$B$39&lt;&gt;"pvp",Inputs!$B$44&gt;0),(((R1241-1)*(Skills!T16*(1+Inputs!$B$35/100))+MIN((Skills!T16*(1+Inputs!$B$35/100)),MAX(0,Inputs!$B$44-((R1241-1)*Skills!D16))))/Inputs!$B$44),IF(Inputs!$B$39="pvp",MIN((Skills!T16*(1+Inputs!$B$35/100)),15)/15,(Skills!T16*(1+Inputs!$B$35/100))/Skills!D16)))+0)/100)*I1231)</f>
        <v/>
      </c>
      <c r="L1231">
        <f>K1231*(MIN(Inputs!$B$23+((C1247=TRUE)*(F1247-Calc!F22)),Inputs!$B$24+((C1249=TRUE)*(F1249-Calc!F24)))/100+(Inputs!$B$24+((C1249=TRUE)*(F1249-Calc!F24)))/100)/2</f>
        <v/>
      </c>
      <c r="M1231">
        <f>L1231*(1+(Inputs!$B$11+0+B1259)/100)</f>
        <v/>
      </c>
      <c r="N1231">
        <f>L1231*(1-MIN((Inputs!$B$10+0+B1254),100)/100)+M1231*(MIN((Inputs!$B$10+0+B1254),100)/100)</f>
        <v/>
      </c>
      <c r="O1231">
        <f>(1-Summary!$B$55)*T1231+Summary!$B$55*V1231</f>
        <v/>
      </c>
      <c r="P1231">
        <f>IF(B1264=0,0,O1231/B1264)</f>
        <v/>
      </c>
      <c r="Q1231">
        <f>IFERROR(1/IF(Inputs!$B$39="pvp",15,MAX(0.1,Skills!D6-IF(Skills!E6=TRUE,0.5,0))),0)</f>
        <v/>
      </c>
      <c r="R1231">
        <f>IF(AND(Inputs!$B$39&lt;&gt;"pvp",Inputs!$B$44&gt;0),IF(MAX(0,Inputs!$B$44-B1261)&lt;=0,0,(INT(MAX(0,Inputs!$B$44-B1261)/IF(Inputs!$B$39="pvp",15,MAX(0.1,Skills!D6-IF(Skills!E6=TRUE,0.5,0))))+1)),0)</f>
        <v/>
      </c>
      <c r="S1231">
        <f>IFERROR(O1231/N1231,0)</f>
        <v/>
      </c>
      <c r="T1231">
        <f>IF(C1231,(H1231*N1231*IF(AND(Inputs!$B$39&lt;&gt;"pvp",Inputs!$B$44&gt;0),((Skills!G6*((R1231-1)*IF(Skills!H6&gt;0,Skills!I6/Skills!H6,1)+IF(Skills!H6&gt;0,MIN(Skills!I6,MAX(0,MAX(0,Inputs!$B$44-B1261)-((R1231-1)*IF(Inputs!$B$39="pvp",15,MAX(0.1,Skills!D6-IF(Skills!E6=TRUE,0.5,0))))))/Skills!H6,1)))/Inputs!$B$44),G1231*Q1231))*IF(Inputs!$B$39="pvp",1,1+(Inputs!$B$21+0+Skills!P6+((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0)</f>
        <v/>
      </c>
      <c r="V1231">
        <f>IF(C1231,(H1231*N1231*IF(AND(Inputs!$B$39&lt;&gt;"pvp",Inputs!$B$44&gt;0),((Skills!G6*((R1231-1)*IF(Skills!H6&gt;0,Skills!I6/Skills!H6,1)+IF(Skills!H6&gt;0,MIN(Skills!I6,MAX(0,MAX(0,Inputs!$B$44-B1261)-((R1231-1)*IF(Inputs!$B$39="pvp",15,MAX(0.1,Skills!D6-IF(Skills!E6=TRUE,0.5,0))))))/Skills!H6,1)))/Inputs!$B$44),G1231*Q1231))*IF(Inputs!$B$39="pvp",1,(1+(Inputs!$B$22+Skills!Q6+((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MIN(Skills!R6,Inputs!$B$38))),0)</f>
        <v/>
      </c>
    </row>
    <row r="1232">
      <c r="A1232">
        <f>Skills!A7</f>
        <v/>
      </c>
      <c r="B1232">
        <f>Skills!B7</f>
        <v/>
      </c>
      <c r="C1232">
        <f>Inputs!$B$3&gt;=40</f>
        <v/>
      </c>
      <c r="D1232">
        <f>IF(Skills!C7=1,60+Inputs!$B$26+Inputs!$B$30,IF(Skills!C7=2,90+Inputs!$B$27+Inputs!$B$30,IF(Skills!C7=3,120+Inputs!$B$28+Inputs!$B$30,MAX(0,(Inputs!$B$3-100)*3)+Inputs!$B$29+Inputs!$B$30)))</f>
        <v/>
      </c>
      <c r="E1232">
        <f>INDEX(FactorTable!$B$2:$Y$301, MATCH(ROUND(MIN(300,MAX(1,D1232)),0), FactorTable!$A$2:$A$301,0), Skills!M7+1)</f>
        <v/>
      </c>
      <c r="F1232">
        <f>IF(Skills!N7=TRUE,(Skills!L7/10)*(E1232/1000),Skills!L7/10)+Skills!O7</f>
        <v/>
      </c>
      <c r="G1232">
        <f>Skills!G7*IF(Skills!H7&gt;0,Skills!I7/Skills!H7,1)</f>
        <v/>
      </c>
      <c r="H1232">
        <f>1-(1-Skills!J7/100)^Skills!K7</f>
        <v/>
      </c>
      <c r="I1232" t="inlineStr">
        <is>
          <t>1</t>
        </is>
      </c>
      <c r="J1232">
        <f>((Inputs!$B$6*(1+Inputs!$B$7/100))+(((Inputs!$B$13*(1+Inputs!$B$14/100))-(Inputs!$B$13*(1+Inputs!$B$14/100)))+0.25*(Inputs!$B$15-Inputs!$B$15))*(1+Inputs!$B$7/100))*(F1232/100)</f>
        <v/>
      </c>
      <c r="K1232">
        <f>J1232*(1+(((Inputs!$B$13+IF(Inputs!$B$3&gt;=38,(10*INDEX(FactorTable!$B$2:$Y$301, MATCH(ROUND(MIN(300,MAX(1,Inputs!$B$3)),0), FactorTable!$A$2:$A$301,0), 23)/1000)/100*(Inputs!$B$8*(1+Inputs!$B$9/100)),0))*(1+Inputs!$B$14/100))*0.01+Inputs!$B$15*0.0025)/100)*(1+Inputs!$B$16/100)*(1+Inputs!$B$17/100)*(5000/(6000+Inputs!$B$43*(1-(Inputs!$B$20+0)/100)))*(1+(Inputs!$B$25+((C1250=TRUE)*(F1250-Calc!F25))+((C1251=TRUE)*(F1251-Calc!F26))+B1260)/100)*(1+0.75*IF(C1236=TRUE,F1236,0)/100)*(1+(IF(Skills!A7="DARK_IMPALE",Inputs!$B$18+0,Inputs!$B$19+((C1248=TRUE)*(F1248-Calc!F23))))/100)*((1+(((C1238=TRUE)*F1238*IF(AND(Inputs!$B$39&lt;&gt;"pvp",Inputs!$B$44&gt;0),(((R1238-1)*(Skills!T13*(1+Inputs!$B$35/100))+MIN((Skills!T13*(1+Inputs!$B$35/100)),MAX(0,Inputs!$B$44-((R1238-1)*Skills!D13))))/Inputs!$B$44),IF(Inputs!$B$39="pvp",MIN((Skills!T13*(1+Inputs!$B$35/100)),15)/15,(Skills!T13*(1+Inputs!$B$35/100))/Skills!D13)))+((C1239=TRUE)*F1239*IF(AND(Inputs!$B$39&lt;&gt;"pvp",Inputs!$B$44&gt;0),(((R1239-1)*(Skills!T14*(1+Inputs!$B$35/100))+MIN((Skills!T14*(1+Inputs!$B$35/100)),MAX(0,Inputs!$B$44-((R1239-1)*Skills!D14))))/Inputs!$B$44),IF(Inputs!$B$39="pvp",MIN((Skills!T14*(1+Inputs!$B$35/100)),15)/15,(Skills!T14*(1+Inputs!$B$35/100))/Skills!D14)))+((C1240=TRUE)*F1240*IF(AND(Inputs!$B$39&lt;&gt;"pvp",Inputs!$B$44&gt;0),(((R1240-1)*(Skills!T15*(1+Inputs!$B$35/100))+MIN((Skills!T15*(1+Inputs!$B$35/100)),MAX(0,Inputs!$B$44-((R1240-1)*Skills!D15))))/Inputs!$B$44),IF(Inputs!$B$39="pvp",MIN((Skills!T15*(1+Inputs!$B$35/100)),15)/15,(Skills!T15*(1+Inputs!$B$35/100))/Skills!D15)))+((C1241=TRUE)*F1241*IF(AND(Inputs!$B$39&lt;&gt;"pvp",Inputs!$B$44&gt;0),(((R1241-1)*(Skills!T16*(1+Inputs!$B$35/100))+MIN((Skills!T16*(1+Inputs!$B$35/100)),MAX(0,Inputs!$B$44-((R1241-1)*Skills!D16))))/Inputs!$B$44),IF(Inputs!$B$39="pvp",MIN((Skills!T16*(1+Inputs!$B$35/100)),15)/15,(Skills!T16*(1+Inputs!$B$35/100))/Skills!D16)))+0)/100)*I1232)</f>
        <v/>
      </c>
      <c r="L1232">
        <f>K1232*(MIN(Inputs!$B$23+((C1247=TRUE)*(F1247-Calc!F22)),Inputs!$B$24+((C1249=TRUE)*(F1249-Calc!F24)))/100+(Inputs!$B$24+((C1249=TRUE)*(F1249-Calc!F24)))/100)/2</f>
        <v/>
      </c>
      <c r="M1232">
        <f>L1232*(1+(Inputs!$B$11+0+B1259)/100)</f>
        <v/>
      </c>
      <c r="N1232">
        <f>L1232*(1-MIN((Inputs!$B$10+0+B1254),100)/100)+M1232*(MIN((Inputs!$B$10+0+B1254),100)/100)</f>
        <v/>
      </c>
      <c r="O1232">
        <f>(1-Summary!$B$55)*T1232+Summary!$B$55*V1232</f>
        <v/>
      </c>
      <c r="P1232">
        <f>IF(B1264=0,0,O1232/B1264)</f>
        <v/>
      </c>
      <c r="Q1232">
        <f>IFERROR(1/IF(Inputs!$B$39="pvp",15,MAX(0.1,Skills!D7-IF(Skills!E7=TRUE,0.5,0))),0)</f>
        <v/>
      </c>
      <c r="R1232">
        <f>IF(AND(Inputs!$B$39&lt;&gt;"pvp",Inputs!$B$44&gt;0),IF(MAX(0,Inputs!$B$44-B1261)&lt;=0,0,(INT(MAX(0,Inputs!$B$44-B1261)/IF(Inputs!$B$39="pvp",15,MAX(0.1,Skills!D7-IF(Skills!E7=TRUE,0.5,0))))+1)),0)</f>
        <v/>
      </c>
      <c r="S1232">
        <f>IFERROR(O1232/N1232,0)</f>
        <v/>
      </c>
      <c r="T1232">
        <f>IF(C1232,(H1232*N1232*IF(AND(Inputs!$B$39&lt;&gt;"pvp",Inputs!$B$44&gt;0),((Skills!G7*((R1232-1)*IF(Skills!H7&gt;0,Skills!I7/Skills!H7,1)+IF(Skills!H7&gt;0,MIN(Skills!I7,MAX(0,MAX(0,Inputs!$B$44-B1261)-((R1232-1)*IF(Inputs!$B$39="pvp",15,MAX(0.1,Skills!D7-IF(Skills!E7=TRUE,0.5,0))))))/Skills!H7,1)))/Inputs!$B$44),G1232*Q1232))*IF(Inputs!$B$39="pvp",1,1+(Inputs!$B$21+0+Skills!P7+((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0)</f>
        <v/>
      </c>
      <c r="V1232">
        <f>IF(C1232,(H1232*N1232*IF(AND(Inputs!$B$39&lt;&gt;"pvp",Inputs!$B$44&gt;0),((Skills!G7*((R1232-1)*IF(Skills!H7&gt;0,Skills!I7/Skills!H7,1)+IF(Skills!H7&gt;0,MIN(Skills!I7,MAX(0,MAX(0,Inputs!$B$44-B1261)-((R1232-1)*IF(Inputs!$B$39="pvp",15,MAX(0.1,Skills!D7-IF(Skills!E7=TRUE,0.5,0))))))/Skills!H7,1)))/Inputs!$B$44),G1232*Q1232))*IF(Inputs!$B$39="pvp",1,(1+(Inputs!$B$22+Skills!Q7+((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MIN(Skills!R7,Inputs!$B$38))),0)</f>
        <v/>
      </c>
    </row>
    <row r="1233">
      <c r="A1233">
        <f>Skills!A8</f>
        <v/>
      </c>
      <c r="B1233">
        <f>Skills!B8</f>
        <v/>
      </c>
      <c r="C1233">
        <f>Inputs!$B$3&gt;=75</f>
        <v/>
      </c>
      <c r="D1233">
        <f>IF(Skills!C8=1,60+Inputs!$B$26+Inputs!$B$30,IF(Skills!C8=2,90+Inputs!$B$27+Inputs!$B$30,IF(Skills!C8=3,120+Inputs!$B$28+Inputs!$B$30,MAX(0,(Inputs!$B$3-100)*3)+Inputs!$B$29+Inputs!$B$30)))</f>
        <v/>
      </c>
      <c r="E1233">
        <f>INDEX(FactorTable!$B$2:$Y$301, MATCH(ROUND(MIN(300,MAX(1,D1233)),0), FactorTable!$A$2:$A$301,0), Skills!M8+1)</f>
        <v/>
      </c>
      <c r="F1233">
        <f>IF(Skills!N8=TRUE,(Skills!L8/10)*(E1233/1000),Skills!L8/10)+Skills!O8</f>
        <v/>
      </c>
      <c r="G1233" t="inlineStr"/>
      <c r="H1233" t="inlineStr"/>
      <c r="I1233" t="inlineStr">
        <is>
          <t>1</t>
        </is>
      </c>
      <c r="J1233" t="inlineStr"/>
      <c r="K1233" t="inlineStr"/>
      <c r="L1233" t="inlineStr"/>
      <c r="M1233" t="inlineStr"/>
      <c r="N1233" t="inlineStr"/>
      <c r="O1233" t="inlineStr"/>
      <c r="P1233" t="inlineStr"/>
      <c r="Q1233" t="inlineStr"/>
      <c r="R1233" t="inlineStr"/>
      <c r="S1233" t="inlineStr"/>
    </row>
    <row r="1234">
      <c r="A1234">
        <f>Skills!A9</f>
        <v/>
      </c>
      <c r="B1234">
        <f>Skills!B9</f>
        <v/>
      </c>
      <c r="C1234">
        <f>Inputs!$B$3&gt;=60</f>
        <v/>
      </c>
      <c r="D1234">
        <f>IF(Skills!C9=1,60+Inputs!$B$26+Inputs!$B$30,IF(Skills!C9=2,90+Inputs!$B$27+Inputs!$B$30,IF(Skills!C9=3,120+Inputs!$B$28+Inputs!$B$30,MAX(0,(Inputs!$B$3-100)*3)+Inputs!$B$29+Inputs!$B$30)))</f>
        <v/>
      </c>
      <c r="E1234">
        <f>INDEX(FactorTable!$B$2:$Y$301, MATCH(ROUND(MIN(300,MAX(1,D1234)),0), FactorTable!$A$2:$A$301,0), Skills!M9+1)</f>
        <v/>
      </c>
      <c r="F1234">
        <f>IF(Skills!N9=TRUE,(Skills!L9/10)*(E1234/1000),Skills!L9/10)+Skills!O9</f>
        <v/>
      </c>
      <c r="G1234">
        <f>Skills!G9*IF(Skills!H9&gt;0,Skills!I9/Skills!H9,1)</f>
        <v/>
      </c>
      <c r="H1234">
        <f>1-(1-Skills!J9/100)^Skills!K9</f>
        <v/>
      </c>
      <c r="I1234" t="inlineStr">
        <is>
          <t>1</t>
        </is>
      </c>
      <c r="J1234">
        <f>((Inputs!$B$6*(1+Inputs!$B$7/100))+(((Inputs!$B$13*(1+Inputs!$B$14/100))-(Inputs!$B$13*(1+Inputs!$B$14/100)))+0.25*(Inputs!$B$15-Inputs!$B$15))*(1+Inputs!$B$7/100))*(F1234/100)</f>
        <v/>
      </c>
      <c r="K1234">
        <f>J1234*(1+(((Inputs!$B$13+IF(Inputs!$B$3&gt;=38,(10*INDEX(FactorTable!$B$2:$Y$301, MATCH(ROUND(MIN(300,MAX(1,Inputs!$B$3)),0), FactorTable!$A$2:$A$301,0), 23)/1000)/100*(Inputs!$B$8*(1+Inputs!$B$9/100)),0))*(1+Inputs!$B$14/100))*0.01+Inputs!$B$15*0.0025)/100)*(1+Inputs!$B$16/100)*(1+Inputs!$B$17/100)*(5000/(6000+Inputs!$B$43*(1-(Inputs!$B$20+0)/100)))*(1+(Inputs!$B$25+((C1250=TRUE)*(F1250-Calc!F25))+((C1251=TRUE)*(F1251-Calc!F26))+B1260)/100)*(1+1.0*IF(C1236=TRUE,F1236,0)/100)*(1+(IF(Skills!A9="DARK_IMPALE",Inputs!$B$18+0,Inputs!$B$19+((C1248=TRUE)*(F1248-Calc!F23))))/100)*((1+(((C1238=TRUE)*F1238*IF(AND(Inputs!$B$39&lt;&gt;"pvp",Inputs!$B$44&gt;0),(((R1238-1)*(Skills!T13*(1+Inputs!$B$35/100))+MIN((Skills!T13*(1+Inputs!$B$35/100)),MAX(0,Inputs!$B$44-((R1238-1)*Skills!D13))))/Inputs!$B$44),IF(Inputs!$B$39="pvp",MIN((Skills!T13*(1+Inputs!$B$35/100)),15)/15,(Skills!T13*(1+Inputs!$B$35/100))/Skills!D13)))+((C1239=TRUE)*F1239*IF(AND(Inputs!$B$39&lt;&gt;"pvp",Inputs!$B$44&gt;0),(((R1239-1)*(Skills!T14*(1+Inputs!$B$35/100))+MIN((Skills!T14*(1+Inputs!$B$35/100)),MAX(0,Inputs!$B$44-((R1239-1)*Skills!D14))))/Inputs!$B$44),IF(Inputs!$B$39="pvp",MIN((Skills!T14*(1+Inputs!$B$35/100)),15)/15,(Skills!T14*(1+Inputs!$B$35/100))/Skills!D14)))+((C1240=TRUE)*F1240*IF(AND(Inputs!$B$39&lt;&gt;"pvp",Inputs!$B$44&gt;0),(((R1240-1)*(Skills!T15*(1+Inputs!$B$35/100))+MIN((Skills!T15*(1+Inputs!$B$35/100)),MAX(0,Inputs!$B$44-((R1240-1)*Skills!D15))))/Inputs!$B$44),IF(Inputs!$B$39="pvp",MIN((Skills!T15*(1+Inputs!$B$35/100)),15)/15,(Skills!T15*(1+Inputs!$B$35/100))/Skills!D15)))+((C1241=TRUE)*F1241*IF(AND(Inputs!$B$39&lt;&gt;"pvp",Inputs!$B$44&gt;0),(((R1241-1)*(Skills!T16*(1+Inputs!$B$35/100))+MIN((Skills!T16*(1+Inputs!$B$35/100)),MAX(0,Inputs!$B$44-((R1241-1)*Skills!D16))))/Inputs!$B$44),IF(Inputs!$B$39="pvp",MIN((Skills!T16*(1+Inputs!$B$35/100)),15)/15,(Skills!T16*(1+Inputs!$B$35/100))/Skills!D16)))+0)/100)*I1234)</f>
        <v/>
      </c>
      <c r="L1234">
        <f>K1234*(MIN(Inputs!$B$23+((C1247=TRUE)*(F1247-Calc!F22)),Inputs!$B$24+((C1249=TRUE)*(F1249-Calc!F24)))/100+(Inputs!$B$24+((C1249=TRUE)*(F1249-Calc!F24)))/100)/2</f>
        <v/>
      </c>
      <c r="M1234">
        <f>L1234*(1+(Inputs!$B$11+0+B1259)/100)</f>
        <v/>
      </c>
      <c r="N1234">
        <f>L1234*(1-MIN((Inputs!$B$10+0+B1254),100)/100)+M1234*(MIN((Inputs!$B$10+0+B1254),100)/100)</f>
        <v/>
      </c>
      <c r="O1234">
        <f>(1-Summary!$B$55)*T1234+Summary!$B$55*V1234</f>
        <v/>
      </c>
      <c r="P1234">
        <f>IF(B1264=0,0,O1234/B1264)</f>
        <v/>
      </c>
      <c r="Q1234">
        <f>IFERROR(1/IF(Inputs!$B$39="pvp",15,MAX(0.1,Skills!D9-IF(Skills!E9=TRUE,0.5,0))),0)</f>
        <v/>
      </c>
      <c r="R1234">
        <f>IF(AND(Inputs!$B$39&lt;&gt;"pvp",Inputs!$B$44&gt;0),IF(MAX(0,Inputs!$B$44-B1261)&lt;=0,0,(INT(MAX(0,Inputs!$B$44-B1261)/IF(Inputs!$B$39="pvp",15,MAX(0.1,Skills!D9-IF(Skills!E9=TRUE,0.5,0))))+1)),0)</f>
        <v/>
      </c>
      <c r="S1234">
        <f>IFERROR(O1234/N1234,0)</f>
        <v/>
      </c>
      <c r="T1234">
        <f>IF(C1234,(H1234*N1234*IF(AND(Inputs!$B$39&lt;&gt;"pvp",Inputs!$B$44&gt;0),((Skills!G9*((R1234-1)*IF(Skills!H9&gt;0,Skills!I9/Skills!H9,1)+IF(Skills!H9&gt;0,MIN(Skills!I9,MAX(0,MAX(0,Inputs!$B$44-B1261)-((R1234-1)*IF(Inputs!$B$39="pvp",15,MAX(0.1,Skills!D9-IF(Skills!E9=TRUE,0.5,0))))))/Skills!H9,1)))/Inputs!$B$44),G1234*Q1234))*IF(Inputs!$B$39="pvp",1,1+(Inputs!$B$21+0+Skills!P9+((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0)</f>
        <v/>
      </c>
      <c r="V1234">
        <f>IF(C1234,(H1234*N1234*IF(AND(Inputs!$B$39&lt;&gt;"pvp",Inputs!$B$44&gt;0),((Skills!G9*((R1234-1)*IF(Skills!H9&gt;0,Skills!I9/Skills!H9,1)+IF(Skills!H9&gt;0,MIN(Skills!I9,MAX(0,MAX(0,Inputs!$B$44-B1261)-((R1234-1)*IF(Inputs!$B$39="pvp",15,MAX(0.1,Skills!D9-IF(Skills!E9=TRUE,0.5,0))))))/Skills!H9,1)))/Inputs!$B$44),G1234*Q1234))*IF(Inputs!$B$39="pvp",1,(1+(Inputs!$B$22+Skills!Q9+((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MIN(Skills!R9,Inputs!$B$38))),0)</f>
        <v/>
      </c>
    </row>
    <row r="1235">
      <c r="A1235">
        <f>Skills!A10</f>
        <v/>
      </c>
      <c r="B1235">
        <f>Skills!B10</f>
        <v/>
      </c>
      <c r="C1235">
        <f>Inputs!$B$3&gt;=110</f>
        <v/>
      </c>
      <c r="D1235">
        <f>IF(Skills!C10=1,60+Inputs!$B$26+Inputs!$B$30,IF(Skills!C10=2,90+Inputs!$B$27+Inputs!$B$30,IF(Skills!C10=3,120+Inputs!$B$28+Inputs!$B$30,MAX(0,(Inputs!$B$3-100)*3)+Inputs!$B$29+Inputs!$B$30)))</f>
        <v/>
      </c>
      <c r="E1235">
        <f>INDEX(FactorTable!$B$2:$Y$301, MATCH(ROUND(MIN(300,MAX(1,D1235)),0), FactorTable!$A$2:$A$301,0), Skills!M10+1)</f>
        <v/>
      </c>
      <c r="F1235">
        <f>IF(Skills!N10=TRUE,(Skills!L10/10)*(E1235/1000),Skills!L10/10)+Skills!O10</f>
        <v/>
      </c>
      <c r="G1235">
        <f>Skills!G10*IF(Skills!H10&gt;0,Skills!I10/Skills!H10,1)</f>
        <v/>
      </c>
      <c r="H1235">
        <f>1-(1-Skills!J10/100)^Skills!K10</f>
        <v/>
      </c>
      <c r="I1235" t="inlineStr">
        <is>
          <t>1</t>
        </is>
      </c>
      <c r="J1235">
        <f>((Inputs!$B$6*(1+Inputs!$B$7/100))+(((Inputs!$B$13*(1+Inputs!$B$14/100))-(Inputs!$B$13*(1+Inputs!$B$14/100)))+0.25*(Inputs!$B$15-Inputs!$B$15))*(1+Inputs!$B$7/100))*(F1235/100)</f>
        <v/>
      </c>
      <c r="K1235">
        <f>J1235*(1+(((Inputs!$B$13+IF(Inputs!$B$3&gt;=38,(10*INDEX(FactorTable!$B$2:$Y$301, MATCH(ROUND(MIN(300,MAX(1,Inputs!$B$3)),0), FactorTable!$A$2:$A$301,0), 23)/1000)/100*(Inputs!$B$8*(1+Inputs!$B$9/100)),0))*(1+Inputs!$B$14/100))*0.01+Inputs!$B$15*0.0025)/100)*(1+Inputs!$B$16/100)*(1+Inputs!$B$17/100)*(5000/(6000+Inputs!$B$43*(1-(Inputs!$B$20+0)/100)))*(1+(Inputs!$B$25+((C1250=TRUE)*(F1250-Calc!F25))+((C1251=TRUE)*(F1251-Calc!F26))+B1260)/100)*(1+(IF(Skills!A10="DARK_IMPALE",Inputs!$B$18+0,Inputs!$B$19+((C1248=TRUE)*(F1248-Calc!F23))))/100)*((1+(((C1238=TRUE)*F1238*IF(AND(Inputs!$B$39&lt;&gt;"pvp",Inputs!$B$44&gt;0),(((R1238-1)*(Skills!T13*(1+Inputs!$B$35/100))+MIN((Skills!T13*(1+Inputs!$B$35/100)),MAX(0,Inputs!$B$44-((R1238-1)*Skills!D13))))/Inputs!$B$44),IF(Inputs!$B$39="pvp",MIN((Skills!T13*(1+Inputs!$B$35/100)),15)/15,(Skills!T13*(1+Inputs!$B$35/100))/Skills!D13)))+((C1239=TRUE)*F1239*IF(AND(Inputs!$B$39&lt;&gt;"pvp",Inputs!$B$44&gt;0),(((R1239-1)*(Skills!T14*(1+Inputs!$B$35/100))+MIN((Skills!T14*(1+Inputs!$B$35/100)),MAX(0,Inputs!$B$44-((R1239-1)*Skills!D14))))/Inputs!$B$44),IF(Inputs!$B$39="pvp",MIN((Skills!T14*(1+Inputs!$B$35/100)),15)/15,(Skills!T14*(1+Inputs!$B$35/100))/Skills!D14)))+((C1240=TRUE)*F1240*IF(AND(Inputs!$B$39&lt;&gt;"pvp",Inputs!$B$44&gt;0),(((R1240-1)*(Skills!T15*(1+Inputs!$B$35/100))+MIN((Skills!T15*(1+Inputs!$B$35/100)),MAX(0,Inputs!$B$44-((R1240-1)*Skills!D15))))/Inputs!$B$44),IF(Inputs!$B$39="pvp",MIN((Skills!T15*(1+Inputs!$B$35/100)),15)/15,(Skills!T15*(1+Inputs!$B$35/100))/Skills!D15)))+((C1241=TRUE)*F1241*IF(AND(Inputs!$B$39&lt;&gt;"pvp",Inputs!$B$44&gt;0),(((R1241-1)*(Skills!T16*(1+Inputs!$B$35/100))+MIN((Skills!T16*(1+Inputs!$B$35/100)),MAX(0,Inputs!$B$44-((R1241-1)*Skills!D16))))/Inputs!$B$44),IF(Inputs!$B$39="pvp",MIN((Skills!T16*(1+Inputs!$B$35/100)),15)/15,(Skills!T16*(1+Inputs!$B$35/100))/Skills!D16)))+0)/100)*I1235)</f>
        <v/>
      </c>
      <c r="L1235">
        <f>K1235*(MIN(Inputs!$B$23+((C1247=TRUE)*(F1247-Calc!F22)),Inputs!$B$24+((C1249=TRUE)*(F1249-Calc!F24)))/100+(Inputs!$B$24+((C1249=TRUE)*(F1249-Calc!F24)))/100)/2</f>
        <v/>
      </c>
      <c r="M1235">
        <f>L1235*(1+(Inputs!$B$11+0+B1259)/100)</f>
        <v/>
      </c>
      <c r="N1235">
        <f>L1235*(1-MIN((Inputs!$B$10+0+B1254),100)/100)+M1235*(MIN((Inputs!$B$10+0+B1254),100)/100)</f>
        <v/>
      </c>
      <c r="O1235">
        <f>(1-Summary!$B$55)*T1235+Summary!$B$55*V1235</f>
        <v/>
      </c>
      <c r="P1235">
        <f>IF(B1264=0,0,O1235/B1264)</f>
        <v/>
      </c>
      <c r="Q1235">
        <f>IFERROR(1/IF(Inputs!$B$39="pvp",15,MAX(0.1,Skills!D10-IF(Skills!E10=TRUE,0.5,0))),0)</f>
        <v/>
      </c>
      <c r="R1235">
        <f>IF(AND(Inputs!$B$39&lt;&gt;"pvp",Inputs!$B$44&gt;0),IF(MAX(0,Inputs!$B$44-B1261)&lt;=0,0,(INT(MAX(0,Inputs!$B$44-B1261)/IF(Inputs!$B$39="pvp",15,MAX(0.1,Skills!D10-IF(Skills!E10=TRUE,0.5,0))))+1)),0)</f>
        <v/>
      </c>
      <c r="S1235">
        <f>IFERROR(O1235/N1235,0)</f>
        <v/>
      </c>
      <c r="T1235">
        <f>IF(C1235,(H1235*N1235*IF(AND(Inputs!$B$39&lt;&gt;"pvp",Inputs!$B$44&gt;0),((Skills!G10*((R1235-1)*IF(Skills!H10&gt;0,Skills!I10/Skills!H10,1)+IF(Skills!H10&gt;0,MIN(Skills!I10,MAX(0,MAX(0,Inputs!$B$44-B1261)-((R1235-1)*IF(Inputs!$B$39="pvp",15,MAX(0.1,Skills!D10-IF(Skills!E10=TRUE,0.5,0))))))/Skills!H10,1)))/Inputs!$B$44),G1235*Q1235))*IF(Inputs!$B$39="pvp",1,1+(Inputs!$B$21+0+Skills!P10+((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0)</f>
        <v/>
      </c>
      <c r="V1235">
        <f>IF(C1235,(H1235*N1235*IF(AND(Inputs!$B$39&lt;&gt;"pvp",Inputs!$B$44&gt;0),((Skills!G10*((R1235-1)*IF(Skills!H10&gt;0,Skills!I10/Skills!H10,1)+IF(Skills!H10&gt;0,MIN(Skills!I10,MAX(0,MAX(0,Inputs!$B$44-B1261)-((R1235-1)*IF(Inputs!$B$39="pvp",15,MAX(0.1,Skills!D10-IF(Skills!E10=TRUE,0.5,0))))))/Skills!H10,1)))/Inputs!$B$44),G1235*Q1235))*IF(Inputs!$B$39="pvp",1,(1+(Inputs!$B$22+Skills!Q10+((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MIN(Skills!R10,Inputs!$B$38))),0)</f>
        <v/>
      </c>
    </row>
    <row r="1236">
      <c r="A1236">
        <f>Skills!A11</f>
        <v/>
      </c>
      <c r="B1236">
        <f>Skills!B11</f>
        <v/>
      </c>
      <c r="C1236">
        <f>Inputs!$B$3&gt;=100</f>
        <v/>
      </c>
      <c r="D1236">
        <f>IF(Skills!C11=1,60+Inputs!$B$26+Inputs!$B$30,IF(Skills!C11=2,90+Inputs!$B$27+Inputs!$B$30,IF(Skills!C11=3,120+Inputs!$B$28+Inputs!$B$30,MAX(0,(Inputs!$B$3-100)*3)+Inputs!$B$29+Inputs!$B$30)))</f>
        <v/>
      </c>
      <c r="E1236">
        <f>INDEX(FactorTable!$B$2:$Y$301, MATCH(ROUND(MIN(300,MAX(1,D1236)),0), FactorTable!$A$2:$A$301,0), Skills!M11+1)</f>
        <v/>
      </c>
      <c r="F1236">
        <f>IF(Skills!N11=TRUE,(Skills!L11/10)*(E1236/1000),Skills!L11/10)+Skills!O11</f>
        <v/>
      </c>
      <c r="G1236" t="inlineStr"/>
      <c r="H1236" t="inlineStr"/>
      <c r="I1236" t="inlineStr">
        <is>
          <t>1</t>
        </is>
      </c>
      <c r="J1236" t="inlineStr"/>
      <c r="K1236" t="inlineStr"/>
      <c r="L1236" t="inlineStr"/>
      <c r="M1236" t="inlineStr"/>
      <c r="N1236" t="inlineStr"/>
      <c r="O1236" t="inlineStr"/>
      <c r="P1236" t="inlineStr"/>
      <c r="Q1236" t="inlineStr"/>
      <c r="R1236" t="inlineStr"/>
      <c r="S1236" t="inlineStr"/>
    </row>
    <row r="1237">
      <c r="A1237">
        <f>Skills!A12</f>
        <v/>
      </c>
      <c r="B1237">
        <f>Skills!B12</f>
        <v/>
      </c>
      <c r="C1237">
        <f>Inputs!$B$3&gt;=63</f>
        <v/>
      </c>
      <c r="D1237">
        <f>IF(Skills!C12=1,60+Inputs!$B$26+Inputs!$B$30,IF(Skills!C12=2,90+Inputs!$B$27+Inputs!$B$30,IF(Skills!C12=3,120+Inputs!$B$28+Inputs!$B$30,MAX(0,(Inputs!$B$3-100)*3)+Inputs!$B$29+Inputs!$B$30)))</f>
        <v/>
      </c>
      <c r="E1237">
        <f>INDEX(FactorTable!$B$2:$Y$301, MATCH(ROUND(MIN(300,MAX(1,D1237)),0), FactorTable!$A$2:$A$301,0), Skills!M12+1)</f>
        <v/>
      </c>
      <c r="F1237">
        <f>IF(Skills!N12=TRUE,(Skills!L12/10)*(E1237/1000),Skills!L12/10)+Skills!O12</f>
        <v/>
      </c>
      <c r="G1237">
        <f>Skills!G12*IF(Skills!H12&gt;0,Skills!I12/Skills!H12,1)</f>
        <v/>
      </c>
      <c r="H1237">
        <f>1-(1-Skills!J12/100)^Skills!K12</f>
        <v/>
      </c>
      <c r="I1237" t="inlineStr">
        <is>
          <t>1</t>
        </is>
      </c>
      <c r="J1237">
        <f>((Inputs!$B$6*(1+Inputs!$B$7/100))+(((Inputs!$B$13*(1+Inputs!$B$14/100))-(Inputs!$B$13*(1+Inputs!$B$14/100)))+0.25*(Inputs!$B$15-Inputs!$B$15))*(1+Inputs!$B$7/100))*(F1237/100)</f>
        <v/>
      </c>
      <c r="K1237">
        <f>J1237*(1+(((Inputs!$B$13+IF(Inputs!$B$3&gt;=38,(10*INDEX(FactorTable!$B$2:$Y$301, MATCH(ROUND(MIN(300,MAX(1,Inputs!$B$3)),0), FactorTable!$A$2:$A$301,0), 23)/1000)/100*(Inputs!$B$8*(1+Inputs!$B$9/100)),0))*(1+Inputs!$B$14/100))*0.01+Inputs!$B$15*0.0025)/100)*(1+Inputs!$B$16/100)*(1+Inputs!$B$17/100)*(5000/(6000+Inputs!$B$43*(1-(Inputs!$B$20+0)/100)))*(1+(Inputs!$B$25+((C1250=TRUE)*(F1250-Calc!F25))+((C1251=TRUE)*(F1251-Calc!F26))+B1260)/100)*(1+0.75*IF(C1236=TRUE,F1236,0)/100)*(1+(IF(Skills!A12="DARK_IMPALE",Inputs!$B$18+0,Inputs!$B$19+((C1248=TRUE)*(F1248-Calc!F23))))/100)*((1+(((C1238=TRUE)*F1238*IF(AND(Inputs!$B$39&lt;&gt;"pvp",Inputs!$B$44&gt;0),(((R1238-1)*(Skills!T13*(1+Inputs!$B$35/100))+MIN((Skills!T13*(1+Inputs!$B$35/100)),MAX(0,Inputs!$B$44-((R1238-1)*Skills!D13))))/Inputs!$B$44),IF(Inputs!$B$39="pvp",MIN((Skills!T13*(1+Inputs!$B$35/100)),15)/15,(Skills!T13*(1+Inputs!$B$35/100))/Skills!D13)))+((C1239=TRUE)*F1239*IF(AND(Inputs!$B$39&lt;&gt;"pvp",Inputs!$B$44&gt;0),(((R1239-1)*(Skills!T14*(1+Inputs!$B$35/100))+MIN((Skills!T14*(1+Inputs!$B$35/100)),MAX(0,Inputs!$B$44-((R1239-1)*Skills!D14))))/Inputs!$B$44),IF(Inputs!$B$39="pvp",MIN((Skills!T14*(1+Inputs!$B$35/100)),15)/15,(Skills!T14*(1+Inputs!$B$35/100))/Skills!D14)))+((C1240=TRUE)*F1240*IF(AND(Inputs!$B$39&lt;&gt;"pvp",Inputs!$B$44&gt;0),(((R1240-1)*(Skills!T15*(1+Inputs!$B$35/100))+MIN((Skills!T15*(1+Inputs!$B$35/100)),MAX(0,Inputs!$B$44-((R1240-1)*Skills!D15))))/Inputs!$B$44),IF(Inputs!$B$39="pvp",MIN((Skills!T15*(1+Inputs!$B$35/100)),15)/15,(Skills!T15*(1+Inputs!$B$35/100))/Skills!D15)))+((C1241=TRUE)*F1241*IF(AND(Inputs!$B$39&lt;&gt;"pvp",Inputs!$B$44&gt;0),(((R1241-1)*(Skills!T16*(1+Inputs!$B$35/100))+MIN((Skills!T16*(1+Inputs!$B$35/100)),MAX(0,Inputs!$B$44-((R1241-1)*Skills!D16))))/Inputs!$B$44),IF(Inputs!$B$39="pvp",MIN((Skills!T16*(1+Inputs!$B$35/100)),15)/15,(Skills!T16*(1+Inputs!$B$35/100))/Skills!D16)))+0)/100)*I1237)</f>
        <v/>
      </c>
      <c r="L1237">
        <f>K1237*(MIN(Inputs!$B$23+((C1247=TRUE)*(F1247-Calc!F22)),Inputs!$B$24+((C1249=TRUE)*(F1249-Calc!F24)))/100+(Inputs!$B$24+((C1249=TRUE)*(F1249-Calc!F24)))/100)/2</f>
        <v/>
      </c>
      <c r="M1237">
        <f>L1237*(1+(Inputs!$B$11+0+B1259)/100)</f>
        <v/>
      </c>
      <c r="N1237">
        <f>L1237*(1-MIN((Inputs!$B$10+0+B1254),100)/100)+M1237*(MIN((Inputs!$B$10+0+B1254),100)/100)</f>
        <v/>
      </c>
      <c r="O1237">
        <f>(1-Summary!$B$55)*T1237+Summary!$B$55*V1237</f>
        <v/>
      </c>
      <c r="P1237">
        <f>IF(B1264=0,0,O1237/B1264)</f>
        <v/>
      </c>
      <c r="Q1237">
        <f>IFERROR(1/IF(Inputs!$B$39="pvp",15,MAX(0.1,Skills!D12-IF(Skills!E12=TRUE,0.5,0))),0)</f>
        <v/>
      </c>
      <c r="R1237">
        <f>IF(AND(Inputs!$B$39&lt;&gt;"pvp",Inputs!$B$44&gt;0),IF(MAX(0,Inputs!$B$44-B1261)&lt;=0,0,(INT(MAX(0,Inputs!$B$44-B1261)/IF(Inputs!$B$39="pvp",15,MAX(0.1,Skills!D12-IF(Skills!E12=TRUE,0.5,0))))+1)),0)</f>
        <v/>
      </c>
      <c r="S1237">
        <f>IFERROR(O1237/N1237,0)</f>
        <v/>
      </c>
      <c r="T1237">
        <f>IF(C1237,(H1237*N1237*IF(AND(Inputs!$B$39&lt;&gt;"pvp",Inputs!$B$44&gt;0),((Skills!G12*((R1237-1)*IF(Skills!H12&gt;0,Skills!I12/Skills!H12,1)+IF(Skills!H12&gt;0,MIN(Skills!I12,MAX(0,MAX(0,Inputs!$B$44-B1261)-((R1237-1)*IF(Inputs!$B$39="pvp",15,MAX(0.1,Skills!D12-IF(Skills!E12=TRUE,0.5,0))))))/Skills!H12,1)))/Inputs!$B$44),G1237*Q1237))*IF(Inputs!$B$39="pvp",1,1+(Inputs!$B$21+0+Skills!P12+((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0)</f>
        <v/>
      </c>
      <c r="V1237">
        <f>IF(C1237,(H1237*N1237*IF(AND(Inputs!$B$39&lt;&gt;"pvp",Inputs!$B$44&gt;0),((Skills!G12*((R1237-1)*IF(Skills!H12&gt;0,Skills!I12/Skills!H12,1)+IF(Skills!H12&gt;0,MIN(Skills!I12,MAX(0,MAX(0,Inputs!$B$44-B1261)-((R1237-1)*IF(Inputs!$B$39="pvp",15,MAX(0.1,Skills!D12-IF(Skills!E12=TRUE,0.5,0))))))/Skills!H12,1)))/Inputs!$B$44),G1237*Q1237))*IF(Inputs!$B$39="pvp",1,(1+(Inputs!$B$22+Skills!Q12+((C1242=TRUE)*F1242*IF(AND(Inputs!$B$39&lt;&gt;"pvp",Inputs!$B$44&gt;0),(((R1242-1)*(Skills!T17*(1+Inputs!$B$35/100))+MIN((Skills!T17*(1+Inputs!$B$35/100)),MAX(0,Inputs!$B$44-((R1242-1)*Skills!D17))))/Inputs!$B$44),IF(Inputs!$B$39="pvp",MIN((Skills!T17*(1+Inputs!$B$35/100)),15)/15,(Skills!T17*(1+Inputs!$B$35/100))/Skills!D17)))+((C1239=TRUE)*IF(Inputs!$B$39="pvp",20,(1-Summary!$B$55)*(20)+Summary!$B$55*(0))*IF(AND(Inputs!$B$39&lt;&gt;"pvp",Inputs!$B$44&gt;0),(((R1239-1)*(Skills!T14*(1+Inputs!$B$35/100))+MIN((Skills!T14*(1+Inputs!$B$35/100)),MAX(0,Inputs!$B$44-((R1239-1)*Skills!D14))))/Inputs!$B$44),IF(Inputs!$B$39="pvp",MIN((Skills!T14*(1+Inputs!$B$35/100)),15)/15,(Skills!T14*(1+Inputs!$B$35/100))/Skills!D14))))/100)*(MIN(Skills!R12,Inputs!$B$38))),0)</f>
        <v/>
      </c>
    </row>
    <row r="1238">
      <c r="A1238">
        <f>Skills!A13</f>
        <v/>
      </c>
      <c r="B1238">
        <f>Skills!B13</f>
        <v/>
      </c>
      <c r="C1238">
        <f>Inputs!$B$3&gt;=69</f>
        <v/>
      </c>
      <c r="D1238">
        <f>IF(Skills!C13=1,60+Inputs!$B$26+Inputs!$B$30,IF(Skills!C13=2,90+Inputs!$B$27+Inputs!$B$30,IF(Skills!C13=3,120+Inputs!$B$28+Inputs!$B$30,MAX(0,(Inputs!$B$3-100)*3)+Inputs!$B$29+Inputs!$B$30)))</f>
        <v/>
      </c>
      <c r="E1238">
        <f>INDEX(FactorTable!$B$2:$Y$301, MATCH(ROUND(MIN(300,MAX(1,D1238)),0), FactorTable!$A$2:$A$301,0), Skills!M13+1)</f>
        <v/>
      </c>
      <c r="F1238">
        <f>IF(Skills!N13=TRUE,(Skills!L13/10)*(E1238/1000),Skills!L13/10)+Skills!O13</f>
        <v/>
      </c>
      <c r="G1238">
        <f>Skills!G13*IF(Skills!H13&gt;0,Skills!I13/Skills!H13,1)</f>
        <v/>
      </c>
      <c r="H1238">
        <f>1-(1-Skills!J13/100)^Skills!K13</f>
        <v/>
      </c>
      <c r="I1238" t="inlineStr">
        <is>
          <t>1</t>
        </is>
      </c>
      <c r="J1238" t="inlineStr"/>
      <c r="K1238" t="inlineStr"/>
      <c r="L1238" t="inlineStr"/>
      <c r="M1238" t="inlineStr"/>
      <c r="N1238" t="inlineStr"/>
      <c r="O1238">
        <f>(1-Summary!$B$55)*T1238+Summary!$B$55*V1238</f>
        <v/>
      </c>
      <c r="P1238">
        <f>IF(B1264=0,0,O1238/B1264)</f>
        <v/>
      </c>
      <c r="Q1238">
        <f>IFERROR(1/IF(Inputs!$B$39="pvp",15,MAX(0.1,Skills!D13-IF(Skills!E13=TRUE,0.5,0))),0)</f>
        <v/>
      </c>
      <c r="R1238">
        <f>IF(AND(Inputs!$B$39&lt;&gt;"pvp",Inputs!$B$44&gt;0),IF(Inputs!$B$44&lt;=0,0,(INT(Inputs!$B$44/IF(Inputs!$B$39="pvp",15,MAX(0.1,Skills!D13-IF(Skills!E13=TRUE,0.5,0))))+1)),0)</f>
        <v/>
      </c>
      <c r="S1238">
        <f>IFERROR(O1238/N1238,0)</f>
        <v/>
      </c>
      <c r="T1238" t="n">
        <v>0</v>
      </c>
      <c r="V1238" t="n">
        <v>0</v>
      </c>
    </row>
    <row r="1239">
      <c r="A1239">
        <f>Skills!A14</f>
        <v/>
      </c>
      <c r="B1239">
        <f>Skills!B14</f>
        <v/>
      </c>
      <c r="C1239">
        <f>Inputs!$B$3&gt;=115</f>
        <v/>
      </c>
      <c r="D1239">
        <f>IF(Skills!C14=1,60+Inputs!$B$26+Inputs!$B$30,IF(Skills!C14=2,90+Inputs!$B$27+Inputs!$B$30,IF(Skills!C14=3,120+Inputs!$B$28+Inputs!$B$30,MAX(0,(Inputs!$B$3-100)*3)+Inputs!$B$29+Inputs!$B$30)))</f>
        <v/>
      </c>
      <c r="E1239">
        <f>INDEX(FactorTable!$B$2:$Y$301, MATCH(ROUND(MIN(300,MAX(1,D1239)),0), FactorTable!$A$2:$A$301,0), Skills!M14+1)</f>
        <v/>
      </c>
      <c r="F1239">
        <f>IF(Skills!N14=TRUE,(Skills!L14/10)*(E1239/1000),Skills!L14/10)+Skills!O14</f>
        <v/>
      </c>
      <c r="G1239">
        <f>Skills!G14*IF(Skills!H14&gt;0,Skills!I14/Skills!H14,1)</f>
        <v/>
      </c>
      <c r="H1239">
        <f>1-(1-Skills!J14/100)^Skills!K14</f>
        <v/>
      </c>
      <c r="I1239" t="inlineStr">
        <is>
          <t>1</t>
        </is>
      </c>
      <c r="J1239" t="inlineStr"/>
      <c r="K1239" t="inlineStr"/>
      <c r="L1239" t="inlineStr"/>
      <c r="M1239" t="inlineStr"/>
      <c r="N1239" t="inlineStr"/>
      <c r="O1239">
        <f>(1-Summary!$B$55)*T1239+Summary!$B$55*V1239</f>
        <v/>
      </c>
      <c r="P1239">
        <f>IF(B1264=0,0,O1239/B1264)</f>
        <v/>
      </c>
      <c r="Q1239">
        <f>IFERROR(1/IF(Inputs!$B$39="pvp",15,MAX(0.1,Skills!D14-IF(Skills!E14=TRUE,0.5,0))),0)</f>
        <v/>
      </c>
      <c r="R1239">
        <f>IF(AND(Inputs!$B$39&lt;&gt;"pvp",Inputs!$B$44&gt;0),IF(Inputs!$B$44&lt;=0,0,(INT(Inputs!$B$44/IF(Inputs!$B$39="pvp",15,MAX(0.1,Skills!D14-IF(Skills!E14=TRUE,0.5,0))))+1)),0)</f>
        <v/>
      </c>
      <c r="S1239">
        <f>IFERROR(O1239/N1239,0)</f>
        <v/>
      </c>
      <c r="T1239" t="n">
        <v>0</v>
      </c>
      <c r="V1239" t="n">
        <v>0</v>
      </c>
    </row>
    <row r="1240">
      <c r="A1240">
        <f>Skills!A15</f>
        <v/>
      </c>
      <c r="B1240">
        <f>Skills!B15</f>
        <v/>
      </c>
      <c r="C1240">
        <f>Inputs!$B$3&gt;=66</f>
        <v/>
      </c>
      <c r="D1240">
        <f>IF(Skills!C15=1,60+Inputs!$B$26+Inputs!$B$30,IF(Skills!C15=2,90+Inputs!$B$27+Inputs!$B$30,IF(Skills!C15=3,120+Inputs!$B$28+Inputs!$B$30,MAX(0,(Inputs!$B$3-100)*3)+Inputs!$B$29+Inputs!$B$30)))</f>
        <v/>
      </c>
      <c r="E1240">
        <f>INDEX(FactorTable!$B$2:$Y$301, MATCH(ROUND(MIN(300,MAX(1,D1240)),0), FactorTable!$A$2:$A$301,0), Skills!M15+1)</f>
        <v/>
      </c>
      <c r="F1240">
        <f>IF(Skills!N15=TRUE,(Skills!L15/10)*(E1240/1000),Skills!L15/10)+Skills!O15</f>
        <v/>
      </c>
      <c r="G1240">
        <f>Skills!G15*IF(Skills!H15&gt;0,Skills!I15/Skills!H15,1)</f>
        <v/>
      </c>
      <c r="H1240">
        <f>1-(1-Skills!J15/100)^Skills!K15</f>
        <v/>
      </c>
      <c r="I1240" t="inlineStr">
        <is>
          <t>1</t>
        </is>
      </c>
      <c r="J1240" t="inlineStr"/>
      <c r="K1240" t="inlineStr"/>
      <c r="L1240" t="inlineStr"/>
      <c r="M1240" t="inlineStr"/>
      <c r="N1240" t="inlineStr"/>
      <c r="O1240">
        <f>(1-Summary!$B$55)*T1240+Summary!$B$55*V1240</f>
        <v/>
      </c>
      <c r="P1240">
        <f>IF(B1264=0,0,O1240/B1264)</f>
        <v/>
      </c>
      <c r="Q1240">
        <f>IFERROR(1/IF(Inputs!$B$39="pvp",15,MAX(0.1,Skills!D15-IF(Skills!E15=TRUE,0.5,0))),0)</f>
        <v/>
      </c>
      <c r="R1240">
        <f>IF(AND(Inputs!$B$39&lt;&gt;"pvp",Inputs!$B$44&gt;0),IF(Inputs!$B$44&lt;=0,0,(INT(Inputs!$B$44/IF(Inputs!$B$39="pvp",15,MAX(0.1,Skills!D15-IF(Skills!E15=TRUE,0.5,0))))+1)),0)</f>
        <v/>
      </c>
      <c r="S1240">
        <f>IFERROR(O1240/N1240,0)</f>
        <v/>
      </c>
      <c r="T1240" t="n">
        <v>0</v>
      </c>
      <c r="V1240" t="n">
        <v>0</v>
      </c>
    </row>
    <row r="1241">
      <c r="A1241">
        <f>Skills!A16</f>
        <v/>
      </c>
      <c r="B1241">
        <f>Skills!B16</f>
        <v/>
      </c>
      <c r="C1241">
        <f>Inputs!$B$3&gt;=45</f>
        <v/>
      </c>
      <c r="D1241">
        <f>IF(Skills!C16=1,60+Inputs!$B$26+Inputs!$B$30,IF(Skills!C16=2,90+Inputs!$B$27+Inputs!$B$30,IF(Skills!C16=3,120+Inputs!$B$28+Inputs!$B$30,MAX(0,(Inputs!$B$3-100)*3)+Inputs!$B$29+Inputs!$B$30)))</f>
        <v/>
      </c>
      <c r="E1241">
        <f>INDEX(FactorTable!$B$2:$Y$301, MATCH(ROUND(MIN(300,MAX(1,D1241)),0), FactorTable!$A$2:$A$301,0), Skills!M16+1)</f>
        <v/>
      </c>
      <c r="F1241">
        <f>IF(Skills!N16=TRUE,(Skills!L16/10)*(E1241/1000),Skills!L16/10)+Skills!O16</f>
        <v/>
      </c>
      <c r="G1241">
        <f>Skills!G16*IF(Skills!H16&gt;0,Skills!I16/Skills!H16,1)</f>
        <v/>
      </c>
      <c r="H1241">
        <f>1-(1-Skills!J16/100)^Skills!K16</f>
        <v/>
      </c>
      <c r="I1241" t="inlineStr">
        <is>
          <t>1</t>
        </is>
      </c>
      <c r="J1241" t="inlineStr"/>
      <c r="K1241" t="inlineStr"/>
      <c r="L1241" t="inlineStr"/>
      <c r="M1241" t="inlineStr"/>
      <c r="N1241" t="inlineStr"/>
      <c r="O1241">
        <f>(1-Summary!$B$55)*T1241+Summary!$B$55*V1241</f>
        <v/>
      </c>
      <c r="P1241">
        <f>IF(B1264=0,0,O1241/B1264)</f>
        <v/>
      </c>
      <c r="Q1241">
        <f>IFERROR(1/IF(Inputs!$B$39="pvp",15,MAX(0.1,Skills!D16-IF(Skills!E16=TRUE,0.5,0))),0)</f>
        <v/>
      </c>
      <c r="R1241">
        <f>IF(AND(Inputs!$B$39&lt;&gt;"pvp",Inputs!$B$44&gt;0),IF(Inputs!$B$44&lt;=0,0,(INT(Inputs!$B$44/IF(Inputs!$B$39="pvp",15,MAX(0.1,Skills!D16-IF(Skills!E16=TRUE,0.5,0))))+1)),0)</f>
        <v/>
      </c>
      <c r="S1241">
        <f>IFERROR(O1241/N1241,0)</f>
        <v/>
      </c>
      <c r="T1241" t="n">
        <v>0</v>
      </c>
      <c r="V1241" t="n">
        <v>0</v>
      </c>
    </row>
    <row r="1242">
      <c r="A1242">
        <f>Skills!A17</f>
        <v/>
      </c>
      <c r="B1242">
        <f>Skills!B17</f>
        <v/>
      </c>
      <c r="C1242">
        <f>Inputs!$B$3&gt;=35</f>
        <v/>
      </c>
      <c r="D1242">
        <f>IF(Skills!C17=1,60+Inputs!$B$26+Inputs!$B$30,IF(Skills!C17=2,90+Inputs!$B$27+Inputs!$B$30,IF(Skills!C17=3,120+Inputs!$B$28+Inputs!$B$30,MAX(0,(Inputs!$B$3-100)*3)+Inputs!$B$29+Inputs!$B$30)))</f>
        <v/>
      </c>
      <c r="E1242">
        <f>INDEX(FactorTable!$B$2:$Y$301, MATCH(ROUND(MIN(300,MAX(1,D1242)),0), FactorTable!$A$2:$A$301,0), Skills!M17+1)</f>
        <v/>
      </c>
      <c r="F1242">
        <f>IF(Skills!N17=TRUE,(Skills!L17/10)*(E1242/1000),Skills!L17/10)+Skills!O17</f>
        <v/>
      </c>
      <c r="G1242">
        <f>Skills!G17*IF(Skills!H17&gt;0,Skills!I17/Skills!H17,1)</f>
        <v/>
      </c>
      <c r="H1242">
        <f>1-(1-Skills!J17/100)^Skills!K17</f>
        <v/>
      </c>
      <c r="I1242" t="inlineStr">
        <is>
          <t>1</t>
        </is>
      </c>
      <c r="J1242" t="inlineStr"/>
      <c r="K1242" t="inlineStr"/>
      <c r="L1242" t="inlineStr"/>
      <c r="M1242" t="inlineStr"/>
      <c r="N1242" t="inlineStr"/>
      <c r="O1242">
        <f>(1-Summary!$B$55)*T1242+Summary!$B$55*V1242</f>
        <v/>
      </c>
      <c r="P1242">
        <f>IF(B1264=0,0,O1242/B1264)</f>
        <v/>
      </c>
      <c r="Q1242">
        <f>IFERROR(1/IF(Inputs!$B$39="pvp",15,MAX(0.1,Skills!D17-IF(Skills!E17=TRUE,0.5,0))),0)</f>
        <v/>
      </c>
      <c r="R1242">
        <f>IF(AND(Inputs!$B$39&lt;&gt;"pvp",Inputs!$B$44&gt;0),IF(Inputs!$B$44&lt;=0,0,(INT(Inputs!$B$44/IF(Inputs!$B$39="pvp",15,MAX(0.1,Skills!D17-IF(Skills!E17=TRUE,0.5,0))))+1)),0)</f>
        <v/>
      </c>
      <c r="S1242">
        <f>IFERROR(O1242/N1242,0)</f>
        <v/>
      </c>
      <c r="T1242" t="n">
        <v>0</v>
      </c>
      <c r="V1242" t="n">
        <v>0</v>
      </c>
    </row>
    <row r="1243">
      <c r="A1243">
        <f>Skills!A18</f>
        <v/>
      </c>
      <c r="B1243">
        <f>Skills!B18</f>
        <v/>
      </c>
      <c r="C1243">
        <f>Inputs!$B$3&gt;=72</f>
        <v/>
      </c>
      <c r="D1243">
        <f>IF(Skills!C18=1,60+Inputs!$B$26+Inputs!$B$30,IF(Skills!C18=2,90+Inputs!$B$27+Inputs!$B$30,IF(Skills!C18=3,120+Inputs!$B$28+Inputs!$B$30,MAX(0,(Inputs!$B$3-100)*3)+Inputs!$B$29+Inputs!$B$30)))</f>
        <v/>
      </c>
      <c r="E1243">
        <f>INDEX(FactorTable!$B$2:$Y$301, MATCH(ROUND(MIN(300,MAX(1,D1243)),0), FactorTable!$A$2:$A$301,0), Skills!M18+1)</f>
        <v/>
      </c>
      <c r="F1243">
        <f>IF(Skills!N18=TRUE,(Skills!L18/10)*(E1243/1000),Skills!L18/10)+Skills!O18</f>
        <v/>
      </c>
      <c r="G1243">
        <f>Skills!G18*IF(Skills!H18&gt;0,Skills!I18/Skills!H18,1)</f>
        <v/>
      </c>
      <c r="H1243">
        <f>1-(1-Skills!J18/100)^Skills!K18</f>
        <v/>
      </c>
      <c r="I1243" t="inlineStr">
        <is>
          <t>1</t>
        </is>
      </c>
      <c r="J1243" t="inlineStr"/>
      <c r="K1243" t="inlineStr"/>
      <c r="L1243" t="inlineStr"/>
      <c r="M1243" t="inlineStr"/>
      <c r="N1243" t="inlineStr"/>
      <c r="O1243">
        <f>(1-Summary!$B$55)*T1243+Summary!$B$55*V1243</f>
        <v/>
      </c>
      <c r="P1243">
        <f>IF(B1264=0,0,O1243/B1264)</f>
        <v/>
      </c>
      <c r="Q1243">
        <f>IFERROR(1/IF(Inputs!$B$39="pvp",15,MAX(0.1,Skills!D18-IF(Skills!E18=TRUE,0.5,0))),0)</f>
        <v/>
      </c>
      <c r="R1243">
        <f>IF(AND(Inputs!$B$39&lt;&gt;"pvp",Inputs!$B$44&gt;0),IF(Inputs!$B$44&lt;=0,0,(INT(Inputs!$B$44/IF(Inputs!$B$39="pvp",15,MAX(0.1,Skills!D18-IF(Skills!E18=TRUE,0.5,0))))+1)),0)</f>
        <v/>
      </c>
      <c r="S1243">
        <f>IFERROR(O1243/N1243,0)</f>
        <v/>
      </c>
      <c r="T1243" t="n">
        <v>0</v>
      </c>
      <c r="V1243" t="n">
        <v>0</v>
      </c>
    </row>
    <row r="1244">
      <c r="A1244">
        <f>Skills!A19</f>
        <v/>
      </c>
      <c r="B1244">
        <f>Skills!B19</f>
        <v/>
      </c>
      <c r="C1244">
        <f>Inputs!$B$3&gt;=72</f>
        <v/>
      </c>
      <c r="D1244">
        <f>IF(Skills!C19=1,60+Inputs!$B$26+Inputs!$B$30,IF(Skills!C19=2,90+Inputs!$B$27+Inputs!$B$30,IF(Skills!C19=3,120+Inputs!$B$28+Inputs!$B$30,MAX(0,(Inputs!$B$3-100)*3)+Inputs!$B$29+Inputs!$B$30)))</f>
        <v/>
      </c>
      <c r="E1244">
        <f>INDEX(FactorTable!$B$2:$Y$301, MATCH(ROUND(MIN(300,MAX(1,D1244)),0), FactorTable!$A$2:$A$301,0), Skills!M19+1)</f>
        <v/>
      </c>
      <c r="F1244">
        <f>IF(Skills!N19=TRUE,(Skills!L19/10)*(E1244/1000),Skills!L19/10)+Skills!O19</f>
        <v/>
      </c>
      <c r="G1244">
        <f>Skills!G19*IF(Skills!H19&gt;0,Skills!I19/Skills!H19,1)</f>
        <v/>
      </c>
      <c r="H1244">
        <f>1-(1-Skills!J19/100)^Skills!K19</f>
        <v/>
      </c>
      <c r="I1244" t="inlineStr">
        <is>
          <t>1</t>
        </is>
      </c>
      <c r="J1244" t="inlineStr"/>
      <c r="K1244" t="inlineStr"/>
      <c r="L1244" t="inlineStr"/>
      <c r="M1244" t="inlineStr"/>
      <c r="N1244" t="inlineStr"/>
      <c r="O1244">
        <f>(1-Summary!$B$55)*T1244+Summary!$B$55*V1244</f>
        <v/>
      </c>
      <c r="P1244">
        <f>IF(B1264=0,0,O1244/B1264)</f>
        <v/>
      </c>
      <c r="Q1244">
        <f>IFERROR(1/IF(Inputs!$B$39="pvp",15,MAX(0.1,Skills!D19-IF(Skills!E19=TRUE,0.5,0))),0)</f>
        <v/>
      </c>
      <c r="R1244">
        <f>IF(AND(Inputs!$B$39&lt;&gt;"pvp",Inputs!$B$44&gt;0),IF(Inputs!$B$44&lt;=0,0,(INT(Inputs!$B$44/IF(Inputs!$B$39="pvp",15,MAX(0.1,Skills!D19-IF(Skills!E19=TRUE,0.5,0))))+1)),0)</f>
        <v/>
      </c>
      <c r="S1244">
        <f>IFERROR(O1244/N1244,0)</f>
        <v/>
      </c>
      <c r="T1244" t="n">
        <v>0</v>
      </c>
      <c r="V1244" t="n">
        <v>0</v>
      </c>
    </row>
    <row r="1245">
      <c r="A1245">
        <f>Skills!A20</f>
        <v/>
      </c>
      <c r="B1245">
        <f>Skills!B20</f>
        <v/>
      </c>
      <c r="C1245">
        <f>TRUE</f>
        <v/>
      </c>
      <c r="D1245">
        <f>IF(Skills!C20=1,60+Inputs!$B$26+Inputs!$B$30,IF(Skills!C20=2,90+Inputs!$B$27+Inputs!$B$30,IF(Skills!C20=3,120+Inputs!$B$28+Inputs!$B$30,MAX(0,(Inputs!$B$3-100)*3)+Inputs!$B$29+Inputs!$B$30)))</f>
        <v/>
      </c>
      <c r="E1245">
        <f>INDEX(FactorTable!$B$2:$Y$301, MATCH(ROUND(MIN(300,MAX(1,D1245)),0), FactorTable!$A$2:$A$301,0), Skills!M20+1)</f>
        <v/>
      </c>
      <c r="F1245">
        <f>IF(Skills!N20=TRUE,(Skills!L20/10)*(E1245/1000),Skills!L20/10)+Skills!O20</f>
        <v/>
      </c>
      <c r="G1245">
        <f>Skills!G20*IF(Skills!H20&gt;0,Skills!I20/Skills!H20,1)</f>
        <v/>
      </c>
      <c r="H1245">
        <f>1-(1-Skills!J20/100)^Skills!K20</f>
        <v/>
      </c>
      <c r="I1245" t="inlineStr">
        <is>
          <t>1</t>
        </is>
      </c>
      <c r="J1245" t="inlineStr"/>
      <c r="K1245" t="inlineStr"/>
      <c r="L1245" t="inlineStr"/>
      <c r="M1245" t="inlineStr"/>
      <c r="N1245" t="inlineStr"/>
      <c r="O1245">
        <f>(1-Summary!$B$55)*T1245+Summary!$B$55*V1245</f>
        <v/>
      </c>
      <c r="P1245">
        <f>IF(B1264=0,0,O1245/B1264)</f>
        <v/>
      </c>
      <c r="Q1245">
        <f>IFERROR(1/IF(Inputs!$B$39="pvp",15,MAX(0.1,Skills!D20-IF(Skills!E20=TRUE,0.5,0))),0)</f>
        <v/>
      </c>
      <c r="R1245">
        <f>IF(AND(Inputs!$B$39&lt;&gt;"pvp",Inputs!$B$44&gt;0),IF(Inputs!$B$44&lt;=0,0,(INT(Inputs!$B$44/IF(Inputs!$B$39="pvp",15,MAX(0.1,Skills!D20-IF(Skills!E20=TRUE,0.5,0))))+1)),0)</f>
        <v/>
      </c>
      <c r="S1245">
        <f>IFERROR(O1245/N1245,0)</f>
        <v/>
      </c>
      <c r="T1245" t="n">
        <v>0</v>
      </c>
      <c r="V1245" t="n">
        <v>0</v>
      </c>
    </row>
    <row r="1246">
      <c r="A1246">
        <f>Skills!A21</f>
        <v/>
      </c>
      <c r="B1246">
        <f>Skills!B21</f>
        <v/>
      </c>
      <c r="C1246">
        <f>Inputs!$B$3&gt;=33</f>
        <v/>
      </c>
      <c r="D1246">
        <f>IF(Skills!C21=1,60+Inputs!$B$26+Inputs!$B$30,IF(Skills!C21=2,90+Inputs!$B$27+Inputs!$B$30,IF(Skills!C21=3,120+Inputs!$B$28+Inputs!$B$30,MAX(0,(Inputs!$B$3-100)*3)+Inputs!$B$29+Inputs!$B$30)))</f>
        <v/>
      </c>
      <c r="E1246">
        <f>INDEX(FactorTable!$B$2:$Y$301, MATCH(ROUND(MIN(300,MAX(1,D1246)),0), FactorTable!$A$2:$A$301,0), Skills!M21+1)</f>
        <v/>
      </c>
      <c r="F1246">
        <f>IF(Skills!N21=TRUE,(Skills!L21/10)*(E1246/1000),Skills!L21/10)+Skills!O21</f>
        <v/>
      </c>
      <c r="G1246">
        <f>Skills!G21*IF(Skills!H21&gt;0,Skills!I21/Skills!H21,1)</f>
        <v/>
      </c>
      <c r="H1246">
        <f>1-(1-Skills!J21/100)^Skills!K21</f>
        <v/>
      </c>
      <c r="I1246" t="inlineStr">
        <is>
          <t>1</t>
        </is>
      </c>
      <c r="J1246" t="inlineStr"/>
      <c r="K1246" t="inlineStr"/>
      <c r="L1246" t="inlineStr"/>
      <c r="M1246" t="inlineStr"/>
      <c r="N1246" t="inlineStr"/>
      <c r="O1246">
        <f>(1-Summary!$B$55)*T1246+Summary!$B$55*V1246</f>
        <v/>
      </c>
      <c r="P1246">
        <f>IF(B1264=0,0,O1246/B1264)</f>
        <v/>
      </c>
      <c r="Q1246" t="n">
        <v>0</v>
      </c>
      <c r="R1246" t="n">
        <v>0</v>
      </c>
      <c r="S1246">
        <f>IFERROR(O1246/N1246,0)</f>
        <v/>
      </c>
      <c r="T1246" t="n">
        <v>0</v>
      </c>
      <c r="V1246" t="n">
        <v>0</v>
      </c>
    </row>
    <row r="1247">
      <c r="A1247">
        <f>Skills!A22</f>
        <v/>
      </c>
      <c r="B1247">
        <f>Skills!B22</f>
        <v/>
      </c>
      <c r="C1247">
        <f>Inputs!$B$3&gt;=43</f>
        <v/>
      </c>
      <c r="D1247">
        <f>IF(Skills!C22=1,60+Inputs!$B$26+Inputs!$B$30,IF(Skills!C22=2,90+Inputs!$B$27+Inputs!$B$30,IF(Skills!C22=3,120+Inputs!$B$28+Inputs!$B$30,MAX(0,(Inputs!$B$3-100)*3)+Inputs!$B$29+Inputs!$B$30)))</f>
        <v/>
      </c>
      <c r="E1247">
        <f>INDEX(FactorTable!$B$2:$Y$301, MATCH(ROUND(MIN(300,MAX(1,D1247)),0), FactorTable!$A$2:$A$301,0), Skills!M22+1)</f>
        <v/>
      </c>
      <c r="F1247">
        <f>IF(Skills!N22=TRUE,(Skills!L22/10)*(E1247/1000),Skills!L22/10)+Skills!O22</f>
        <v/>
      </c>
      <c r="G1247">
        <f>Skills!G22*IF(Skills!H22&gt;0,Skills!I22/Skills!H22,1)</f>
        <v/>
      </c>
      <c r="H1247">
        <f>1-(1-Skills!J22/100)^Skills!K22</f>
        <v/>
      </c>
      <c r="I1247" t="inlineStr">
        <is>
          <t>1</t>
        </is>
      </c>
      <c r="J1247" t="inlineStr"/>
      <c r="K1247" t="inlineStr"/>
      <c r="L1247" t="inlineStr"/>
      <c r="M1247" t="inlineStr"/>
      <c r="N1247" t="inlineStr"/>
      <c r="O1247">
        <f>(1-Summary!$B$55)*T1247+Summary!$B$55*V1247</f>
        <v/>
      </c>
      <c r="P1247">
        <f>IF(B1264=0,0,O1247/B1264)</f>
        <v/>
      </c>
      <c r="Q1247" t="n">
        <v>0</v>
      </c>
      <c r="R1247" t="n">
        <v>0</v>
      </c>
      <c r="S1247">
        <f>IFERROR(O1247/N1247,0)</f>
        <v/>
      </c>
      <c r="T1247" t="n">
        <v>0</v>
      </c>
      <c r="V1247" t="n">
        <v>0</v>
      </c>
    </row>
    <row r="1248">
      <c r="A1248">
        <f>Skills!A23</f>
        <v/>
      </c>
      <c r="B1248">
        <f>Skills!B23</f>
        <v/>
      </c>
      <c r="C1248">
        <f>Inputs!$B$3&gt;=120</f>
        <v/>
      </c>
      <c r="D1248">
        <f>IF(Skills!C23=1,60+Inputs!$B$26+Inputs!$B$30,IF(Skills!C23=2,90+Inputs!$B$27+Inputs!$B$30,IF(Skills!C23=3,120+Inputs!$B$28+Inputs!$B$30,MAX(0,(Inputs!$B$3-100)*3)+Inputs!$B$29+Inputs!$B$30)))</f>
        <v/>
      </c>
      <c r="E1248">
        <f>INDEX(FactorTable!$B$2:$Y$301, MATCH(ROUND(MIN(300,MAX(1,D1248)),0), FactorTable!$A$2:$A$301,0), Skills!M23+1)</f>
        <v/>
      </c>
      <c r="F1248">
        <f>IF(Skills!N23=TRUE,(Skills!L23/10)*(E1248/1000),Skills!L23/10)+Skills!O23</f>
        <v/>
      </c>
      <c r="G1248">
        <f>Skills!G23*IF(Skills!H23&gt;0,Skills!I23/Skills!H23,1)</f>
        <v/>
      </c>
      <c r="H1248">
        <f>1-(1-Skills!J23/100)^Skills!K23</f>
        <v/>
      </c>
      <c r="I1248" t="inlineStr">
        <is>
          <t>1</t>
        </is>
      </c>
      <c r="J1248" t="inlineStr"/>
      <c r="K1248" t="inlineStr"/>
      <c r="L1248" t="inlineStr"/>
      <c r="M1248" t="inlineStr"/>
      <c r="N1248" t="inlineStr"/>
      <c r="O1248">
        <f>(1-Summary!$B$55)*T1248+Summary!$B$55*V1248</f>
        <v/>
      </c>
      <c r="P1248">
        <f>IF(B1264=0,0,O1248/B1264)</f>
        <v/>
      </c>
      <c r="Q1248" t="n">
        <v>0</v>
      </c>
      <c r="R1248" t="n">
        <v>0</v>
      </c>
      <c r="S1248">
        <f>IFERROR(O1248/N1248,0)</f>
        <v/>
      </c>
      <c r="T1248" t="n">
        <v>0</v>
      </c>
      <c r="V1248" t="n">
        <v>0</v>
      </c>
    </row>
    <row r="1249">
      <c r="A1249">
        <f>Skills!A24</f>
        <v/>
      </c>
      <c r="B1249">
        <f>Skills!B24</f>
        <v/>
      </c>
      <c r="C1249">
        <f>Inputs!$B$3&gt;=120</f>
        <v/>
      </c>
      <c r="D1249">
        <f>IF(Skills!C24=1,60+Inputs!$B$26+Inputs!$B$30,IF(Skills!C24=2,90+Inputs!$B$27+Inputs!$B$30,IF(Skills!C24=3,120+Inputs!$B$28+Inputs!$B$30,MAX(0,(Inputs!$B$3-100)*3)+Inputs!$B$29+Inputs!$B$30)))</f>
        <v/>
      </c>
      <c r="E1249">
        <f>INDEX(FactorTable!$B$2:$Y$301, MATCH(ROUND(MIN(300,MAX(1,D1249)),0), FactorTable!$A$2:$A$301,0), Skills!M24+1)</f>
        <v/>
      </c>
      <c r="F1249">
        <f>IF(Skills!N24=TRUE,(Skills!L24/10)*(E1249/1000),Skills!L24/10)+Skills!O24</f>
        <v/>
      </c>
      <c r="G1249">
        <f>Skills!G24*IF(Skills!H24&gt;0,Skills!I24/Skills!H24,1)</f>
        <v/>
      </c>
      <c r="H1249">
        <f>1-(1-Skills!J24/100)^Skills!K24</f>
        <v/>
      </c>
      <c r="I1249" t="inlineStr">
        <is>
          <t>1</t>
        </is>
      </c>
      <c r="J1249" t="inlineStr"/>
      <c r="K1249" t="inlineStr"/>
      <c r="L1249" t="inlineStr"/>
      <c r="M1249" t="inlineStr"/>
      <c r="N1249" t="inlineStr"/>
      <c r="O1249">
        <f>(1-Summary!$B$55)*T1249+Summary!$B$55*V1249</f>
        <v/>
      </c>
      <c r="P1249">
        <f>IF(B1264=0,0,O1249/B1264)</f>
        <v/>
      </c>
      <c r="Q1249" t="n">
        <v>0</v>
      </c>
      <c r="R1249" t="n">
        <v>0</v>
      </c>
      <c r="S1249">
        <f>IFERROR(O1249/N1249,0)</f>
        <v/>
      </c>
      <c r="T1249" t="n">
        <v>0</v>
      </c>
      <c r="V1249" t="n">
        <v>0</v>
      </c>
    </row>
    <row r="1250">
      <c r="A1250">
        <f>Skills!A25</f>
        <v/>
      </c>
      <c r="B1250">
        <f>Skills!B25</f>
        <v/>
      </c>
      <c r="C1250">
        <f>Inputs!$B$3&gt;=125</f>
        <v/>
      </c>
      <c r="D1250">
        <f>IF(Skills!C25=1,60+Inputs!$B$26+Inputs!$B$30,IF(Skills!C25=2,90+Inputs!$B$27+Inputs!$B$30,IF(Skills!C25=3,120+Inputs!$B$28+Inputs!$B$30,MAX(0,(Inputs!$B$3-100)*3)+Inputs!$B$29+Inputs!$B$30)))</f>
        <v/>
      </c>
      <c r="E1250">
        <f>INDEX(FactorTable!$B$2:$Y$301, MATCH(ROUND(MIN(300,MAX(1,D1250)),0), FactorTable!$A$2:$A$301,0), Skills!M25+1)</f>
        <v/>
      </c>
      <c r="F1250">
        <f>IF(Skills!N25=TRUE,(Skills!L25/10)*(E1250/1000),Skills!L25/10)+Skills!O25</f>
        <v/>
      </c>
      <c r="G1250">
        <f>Skills!G25*IF(Skills!H25&gt;0,Skills!I25/Skills!H25,1)</f>
        <v/>
      </c>
      <c r="H1250">
        <f>1-(1-Skills!J25/100)^Skills!K25</f>
        <v/>
      </c>
      <c r="I1250" t="inlineStr">
        <is>
          <t>1</t>
        </is>
      </c>
      <c r="J1250" t="inlineStr"/>
      <c r="K1250" t="inlineStr"/>
      <c r="L1250" t="inlineStr"/>
      <c r="M1250" t="inlineStr"/>
      <c r="N1250" t="inlineStr"/>
      <c r="O1250">
        <f>(1-Summary!$B$55)*T1250+Summary!$B$55*V1250</f>
        <v/>
      </c>
      <c r="P1250">
        <f>IF(B1264=0,0,O1250/B1264)</f>
        <v/>
      </c>
      <c r="Q1250" t="n">
        <v>0</v>
      </c>
      <c r="R1250" t="n">
        <v>0</v>
      </c>
      <c r="S1250">
        <f>IFERROR(O1250/N1250,0)</f>
        <v/>
      </c>
      <c r="T1250" t="n">
        <v>0</v>
      </c>
      <c r="V1250" t="n">
        <v>0</v>
      </c>
    </row>
    <row r="1251">
      <c r="A1251">
        <f>Skills!A26</f>
        <v/>
      </c>
      <c r="B1251">
        <f>Skills!B26</f>
        <v/>
      </c>
      <c r="C1251">
        <f>Inputs!$B$3&gt;=107</f>
        <v/>
      </c>
      <c r="D1251">
        <f>IF(Skills!C26=1,60+Inputs!$B$26+Inputs!$B$30,IF(Skills!C26=2,90+Inputs!$B$27+Inputs!$B$30,IF(Skills!C26=3,120+Inputs!$B$28+Inputs!$B$30,MAX(0,(Inputs!$B$3-100)*3)+Inputs!$B$29+Inputs!$B$30)))</f>
        <v/>
      </c>
      <c r="E1251">
        <f>INDEX(FactorTable!$B$2:$Y$301, MATCH(ROUND(MIN(300,MAX(1,D1251)),0), FactorTable!$A$2:$A$301,0), Skills!M26+1)</f>
        <v/>
      </c>
      <c r="F1251">
        <f>IF(Skills!N26=TRUE,(Skills!L26/10)*(E1251/1000),Skills!L26/10)+Skills!O26</f>
        <v/>
      </c>
      <c r="G1251">
        <f>Skills!G26*IF(Skills!H26&gt;0,Skills!I26/Skills!H26,1)</f>
        <v/>
      </c>
      <c r="H1251">
        <f>1-(1-Skills!J26/100)^Skills!K26</f>
        <v/>
      </c>
      <c r="I1251" t="inlineStr">
        <is>
          <t>1</t>
        </is>
      </c>
      <c r="J1251" t="inlineStr"/>
      <c r="K1251" t="inlineStr"/>
      <c r="L1251" t="inlineStr"/>
      <c r="M1251" t="inlineStr"/>
      <c r="N1251" t="inlineStr"/>
      <c r="O1251">
        <f>(1-Summary!$B$55)*T1251+Summary!$B$55*V1251</f>
        <v/>
      </c>
      <c r="P1251">
        <f>IF(B1264=0,0,O1251/B1264)</f>
        <v/>
      </c>
      <c r="Q1251" t="n">
        <v>0</v>
      </c>
      <c r="R1251" t="n">
        <v>0</v>
      </c>
      <c r="S1251">
        <f>IFERROR(O1251/N1251,0)</f>
        <v/>
      </c>
      <c r="T1251" t="n">
        <v>0</v>
      </c>
      <c r="V1251" t="n">
        <v>0</v>
      </c>
    </row>
    <row r="1253">
      <c r="A1253" t="inlineStr">
        <is>
          <t>Attack% Bucket Multiplier</t>
        </is>
      </c>
      <c r="B1253">
        <f>(1+(((C1238=TRUE)*F1238*IF(AND(Inputs!$B$39&lt;&gt;"pvp",Inputs!$B$44&gt;0),(((R1238-1)*(Skills!T13*(1+Inputs!$B$35/100))+MIN((Skills!T13*(1+Inputs!$B$35/100)),MAX(0,Inputs!$B$44-((R1238-1)*Skills!D13))))/Inputs!$B$44),IF(Inputs!$B$39="pvp",MIN((Skills!T13*(1+Inputs!$B$35/100)),15)/15,(Skills!T13*(1+Inputs!$B$35/100))/Skills!D13)))+((C1239=TRUE)*F1239*IF(AND(Inputs!$B$39&lt;&gt;"pvp",Inputs!$B$44&gt;0),(((R1239-1)*(Skills!T14*(1+Inputs!$B$35/100))+MIN((Skills!T14*(1+Inputs!$B$35/100)),MAX(0,Inputs!$B$44-((R1239-1)*Skills!D14))))/Inputs!$B$44),IF(Inputs!$B$39="pvp",MIN((Skills!T14*(1+Inputs!$B$35/100)),15)/15,(Skills!T14*(1+Inputs!$B$35/100))/Skills!D14)))+((C1240=TRUE)*F1240*IF(AND(Inputs!$B$39&lt;&gt;"pvp",Inputs!$B$44&gt;0),(((R1240-1)*(Skills!T15*(1+Inputs!$B$35/100))+MIN((Skills!T15*(1+Inputs!$B$35/100)),MAX(0,Inputs!$B$44-((R1240-1)*Skills!D15))))/Inputs!$B$44),IF(Inputs!$B$39="pvp",MIN((Skills!T15*(1+Inputs!$B$35/100)),15)/15,(Skills!T15*(1+Inputs!$B$35/100))/Skills!D15)))+((C1241=TRUE)*F1241*IF(AND(Inputs!$B$39&lt;&gt;"pvp",Inputs!$B$44&gt;0),(((R1241-1)*(Skills!T16*(1+Inputs!$B$35/100))+MIN((Skills!T16*(1+Inputs!$B$35/100)),MAX(0,Inputs!$B$44-((R1241-1)*Skills!D16))))/Inputs!$B$44),IF(Inputs!$B$39="pvp",MIN((Skills!T16*(1+Inputs!$B$35/100)),15)/15,(Skills!T16*(1+Inputs!$B$35/100))/Skills!D16)))+0)/100)</f>
        <v/>
      </c>
    </row>
    <row r="1254">
      <c r="A1254" t="inlineStr">
        <is>
          <t>Global Crit Rate Bonus % (Lord of Darkness)</t>
        </is>
      </c>
      <c r="B1254">
        <f>((C1243=TRUE)*F1243*(Skills!J18/100)*IF(AND(Inputs!$B$39&lt;&gt;"pvp",Inputs!$B$44&gt;0),(((R1243-1)*(Skills!T18*(1+Inputs!$B$35/100))+MIN((Skills!T18*(1+Inputs!$B$35/100)),MAX(0,Inputs!$B$44-((R1243-1)*Skills!D18))))/Inputs!$B$44),IF(Inputs!$B$39="pvp",MIN((Skills!T18*(1+Inputs!$B$35/100)),15)/15,(Skills!T18*(1+Inputs!$B$35/100))/Skills!D18)))</f>
        <v/>
      </c>
    </row>
    <row r="1255">
      <c r="A1255" t="inlineStr">
        <is>
          <t>Attack Speed Buff Bonus %</t>
        </is>
      </c>
      <c r="B1255">
        <f>((C1245=TRUE)*F1245*IF(AND(Inputs!$B$39&lt;&gt;"pvp",Inputs!$B$44&gt;0),(((R1245-1)*(Skills!T20*(1+Inputs!$B$35/100))+MIN((Skills!T20*(1+Inputs!$B$35/100)),MAX(0,Inputs!$B$44-((R1245-1)*Skills!D20))))/Inputs!$B$44),IF(Inputs!$B$39="pvp",MIN((Skills!T20*(1+Inputs!$B$35/100)),15)/15,(Skills!T20*(1+Inputs!$B$35/100))/Skills!D20)))</f>
        <v/>
      </c>
    </row>
    <row r="1256">
      <c r="A1256" t="inlineStr">
        <is>
          <t>Actions Per Second</t>
        </is>
      </c>
      <c r="B1256">
        <f>1+MIN(150,150*(1-(1-(Inputs!$B$12+((C1246=TRUE)*(F1246-Calc!F21)))/150)*(1-B1255/150)))/100</f>
        <v/>
      </c>
    </row>
    <row r="1257">
      <c r="A1257" t="inlineStr">
        <is>
          <t>Skill + Buff Cast Rate</t>
        </is>
      </c>
      <c r="B1257">
        <f>IF(AND(Inputs!$B$39&lt;&gt;"pvp",Inputs!$B$44&gt;0),SUMPRODUCT((Skills!E2:E26=TRUE)*(C1227:C1251=TRUE)*R1227:R1251*Skills!F2:F26)/Inputs!$B$44,SUMPRODUCT((Skills!E2:E26=TRUE)*(C1227:C1251=TRUE)*Q1227:Q1251*Skills!F2:F26))</f>
        <v/>
      </c>
    </row>
    <row r="1258">
      <c r="A1258" t="inlineStr">
        <is>
          <t>Dark Impale Casts Per Second</t>
        </is>
      </c>
      <c r="B1258">
        <f>MAX(0,B1256-B1257)</f>
        <v/>
      </c>
    </row>
    <row r="1259">
      <c r="A1259" t="inlineStr">
        <is>
          <t>Global Critical Damage Bonus % (Lord of Darkness)</t>
        </is>
      </c>
      <c r="B1259">
        <f>((C1244=TRUE)*F1244*(Skills!J19/100)*IF(AND(Inputs!$B$39&lt;&gt;"pvp",Inputs!$B$44&gt;0),(((R1244-1)*(Skills!T19*(1+Inputs!$B$35/100))+MIN((Skills!T19*(1+Inputs!$B$35/100)),MAX(0,Inputs!$B$44-((R1244-1)*Skills!D19))))/Inputs!$B$44),IF(Inputs!$B$39="pvp",MIN((Skills!T19*(1+Inputs!$B$35/100)),15)/15,(Skills!T19*(1+Inputs!$B$35/100))/Skills!D19)))</f>
        <v/>
      </c>
    </row>
    <row r="1260">
      <c r="A1260" t="inlineStr">
        <is>
          <t>Global Final Damage Bonus % (unused)</t>
        </is>
      </c>
      <c r="B1260" t="n">
        <v>0</v>
      </c>
    </row>
    <row r="1261">
      <c r="A1261" t="inlineStr">
        <is>
          <t>Buff-Casting Startup Delay (s, fixed-duration only)</t>
        </is>
      </c>
      <c r="B1261">
        <f>IF(AND(Inputs!$B$39&lt;&gt;"pvp",Inputs!$B$44&gt;0),SUMPRODUCT((Skills!T2:T26&gt;0)*(Skills!E2:E26=TRUE)*(C1227:C1251=TRUE))/B1256,0)</f>
        <v/>
      </c>
    </row>
    <row r="1262">
      <c r="A1262" t="inlineStr">
        <is>
          <t>Boss-Only Total DPS (this block's swept value)</t>
        </is>
      </c>
      <c r="B1262">
        <f>SUM(T1227:T1251)</f>
        <v/>
      </c>
    </row>
    <row r="1263">
      <c r="A1263" t="inlineStr">
        <is>
          <t>Normal-Only Total DPS (this block's swept value)</t>
        </is>
      </c>
      <c r="B1263">
        <f>SUM(V1227:V1251)</f>
        <v/>
      </c>
    </row>
    <row r="1264">
      <c r="A1264" s="5" t="inlineStr">
        <is>
          <t>TOTAL DPS</t>
        </is>
      </c>
      <c r="B1264" s="5">
        <f>SUM(O1227:O1251)</f>
        <v/>
      </c>
    </row>
    <row r="1267">
      <c r="A1267" s="5" t="inlineStr">
        <is>
          <t>Stat: CDR = 1.0s</t>
        </is>
      </c>
    </row>
    <row r="1268">
      <c r="A1268" s="9" t="inlineStr">
        <is>
          <t>Key</t>
        </is>
      </c>
      <c r="B1268" s="9" t="inlineStr">
        <is>
          <t>Name</t>
        </is>
      </c>
      <c r="C1268" s="9" t="inlineStr">
        <is>
          <t>Unlocked</t>
        </is>
      </c>
      <c r="D1268" s="9" t="inlineStr">
        <is>
          <t>InputLevel</t>
        </is>
      </c>
      <c r="E1268" s="9" t="inlineStr">
        <is>
          <t>Factor</t>
        </is>
      </c>
      <c r="F1268" s="9" t="inlineStr">
        <is>
          <t>CoefficientPercent</t>
        </is>
      </c>
      <c r="G1268" s="9" t="inlineStr">
        <is>
          <t>EffectiveHits</t>
        </is>
      </c>
      <c r="H1268" s="9" t="inlineStr">
        <is>
          <t>ProcProbability</t>
        </is>
      </c>
      <c r="I1268" s="9" t="inlineStr">
        <is>
          <t>MapleHeroMultiplier</t>
        </is>
      </c>
      <c r="J1268" s="9" t="inlineStr">
        <is>
          <t>BaseDamage</t>
        </is>
      </c>
      <c r="K1268" s="9" t="inlineStr">
        <is>
          <t>BaseHitDamage</t>
        </is>
      </c>
      <c r="L1268" s="9" t="inlineStr">
        <is>
          <t>NonCritAvg</t>
        </is>
      </c>
      <c r="M1268" s="9" t="inlineStr">
        <is>
          <t>CritAvg</t>
        </is>
      </c>
      <c r="N1268" s="9" t="inlineStr">
        <is>
          <t>ExpectedDamage(perHit)</t>
        </is>
      </c>
      <c r="O1268" s="9" t="inlineStr">
        <is>
          <t>DPS</t>
        </is>
      </c>
      <c r="P1268" s="9" t="inlineStr">
        <is>
          <t>% of Total</t>
        </is>
      </c>
      <c r="Q1268" s="9" t="inlineStr">
        <is>
          <t>InvCooldown</t>
        </is>
      </c>
      <c r="R1268" s="9" t="inlineStr">
        <is>
          <t>CastsInFight</t>
        </is>
      </c>
      <c r="S1268" s="9" t="inlineStr">
        <is>
          <t>HitRate(perSec)</t>
        </is>
      </c>
      <c r="U1268" t="inlineStr">
        <is>
          <t>helpers</t>
        </is>
      </c>
    </row>
    <row r="1269">
      <c r="A1269">
        <f>Skills!A2</f>
        <v/>
      </c>
      <c r="B1269">
        <f>Skills!B2</f>
        <v/>
      </c>
      <c r="C1269">
        <f>Inputs!$B$3&gt;=100</f>
        <v/>
      </c>
      <c r="D1269" t="inlineStr"/>
      <c r="E1269" t="inlineStr"/>
      <c r="F1269">
        <f>U1271+Skills!O2</f>
        <v/>
      </c>
      <c r="G1269">
        <f>Skills!G2*IF(Skills!H2&gt;0,Skills!I2/Skills!H2,1)</f>
        <v/>
      </c>
      <c r="H1269">
        <f>1-(1-Skills!J2/100)^Skills!K2</f>
        <v/>
      </c>
      <c r="I1269" t="inlineStr">
        <is>
          <t>1</t>
        </is>
      </c>
      <c r="J1269">
        <f>((Inputs!$B$6*(1+Inputs!$B$7/100))+(((Inputs!$B$13*(1+Inputs!$B$14/100))-(Inputs!$B$13*(1+Inputs!$B$14/100)))+0.25*(Inputs!$B$15-Inputs!$B$15))*(1+Inputs!$B$7/100))*(F1269/100)</f>
        <v/>
      </c>
      <c r="K1269">
        <f>J1269*(1+(((Inputs!$B$13+IF(Inputs!$B$3&gt;=38,(10*INDEX(FactorTable!$B$2:$Y$301, MATCH(ROUND(MIN(300,MAX(1,Inputs!$B$3)),0), FactorTable!$A$2:$A$301,0), 23)/1000)/100*(Inputs!$B$8*(1+Inputs!$B$9/100)),0))*(1+Inputs!$B$14/100))*0.01+Inputs!$B$15*0.0025)/100)*(1+Inputs!$B$16/100)*(1+Inputs!$B$17/100)*(5000/(6000+Inputs!$B$43*(1-(Inputs!$B$20+0)/100)))*(1+(Inputs!$B$25+((C1292=TRUE)*(F1292-Calc!F25))+((C1293=TRUE)*(F1293-Calc!F26))+B1302)/100)*(1+(IF(Skills!A2="DARK_IMPALE",Inputs!$B$18+0,Inputs!$B$19+((C1290=TRUE)*(F1290-Calc!F23))))/100)*((1+(((C1280=TRUE)*F1280*IF(AND(Inputs!$B$39&lt;&gt;"pvp",Inputs!$B$44&gt;0),(((R1280-1)*(Skills!T13*(1+Inputs!$B$35/100))+MIN((Skills!T13*(1+Inputs!$B$35/100)),MAX(0,Inputs!$B$44-((R1280-1)*Skills!D13))))/Inputs!$B$44),IF(Inputs!$B$39="pvp",MIN((Skills!T13*(1+Inputs!$B$35/100)),15)/15,(Skills!T13*(1+Inputs!$B$35/100))/Skills!D13)))+((C1281=TRUE)*F1281*IF(AND(Inputs!$B$39&lt;&gt;"pvp",Inputs!$B$44&gt;0),(((R1281-1)*(Skills!T14*(1+Inputs!$B$35/100))+MIN((Skills!T14*(1+Inputs!$B$35/100)),MAX(0,Inputs!$B$44-((R1281-1)*Skills!D14))))/Inputs!$B$44),IF(Inputs!$B$39="pvp",MIN((Skills!T14*(1+Inputs!$B$35/100)),15)/15,(Skills!T14*(1+Inputs!$B$35/100))/Skills!D14)))+((C1282=TRUE)*F1282*IF(AND(Inputs!$B$39&lt;&gt;"pvp",Inputs!$B$44&gt;0),(((R1282-1)*(Skills!T15*(1+Inputs!$B$35/100))+MIN((Skills!T15*(1+Inputs!$B$35/100)),MAX(0,Inputs!$B$44-((R1282-1)*Skills!D15))))/Inputs!$B$44),IF(Inputs!$B$39="pvp",MIN((Skills!T15*(1+Inputs!$B$35/100)),15)/15,(Skills!T15*(1+Inputs!$B$35/100))/Skills!D15)))+((C1283=TRUE)*F1283*IF(AND(Inputs!$B$39&lt;&gt;"pvp",Inputs!$B$44&gt;0),(((R1283-1)*(Skills!T16*(1+Inputs!$B$35/100))+MIN((Skills!T16*(1+Inputs!$B$35/100)),MAX(0,Inputs!$B$44-((R1283-1)*Skills!D16))))/Inputs!$B$44),IF(Inputs!$B$39="pvp",MIN((Skills!T16*(1+Inputs!$B$35/100)),15)/15,(Skills!T16*(1+Inputs!$B$35/100))/Skills!D16)))+0)/100)*I1269)</f>
        <v/>
      </c>
      <c r="L1269">
        <f>K1269*(MIN(Inputs!$B$23+((C1289=TRUE)*(F1289-Calc!F22)),Inputs!$B$24+((C1291=TRUE)*(F1291-Calc!F24)))/100+(Inputs!$B$24+((C1291=TRUE)*(F1291-Calc!F24)))/100)/2</f>
        <v/>
      </c>
      <c r="M1269">
        <f>L1269*(1+(Inputs!$B$11+0+B1301)/100)</f>
        <v/>
      </c>
      <c r="N1269">
        <f>L1269*(1-MIN((Inputs!$B$10+0+B1296),100)/100)+M1269*(MIN((Inputs!$B$10+0+B1296),100)/100)</f>
        <v/>
      </c>
      <c r="O1269">
        <f>(1-Summary!$B$55)*T1269+Summary!$B$55*V1269</f>
        <v/>
      </c>
      <c r="P1269">
        <f>IF(B1306=0,0,O1269/B1306)</f>
        <v/>
      </c>
      <c r="Q1269" t="n">
        <v>0</v>
      </c>
      <c r="R1269" t="n">
        <v>0</v>
      </c>
      <c r="S1269">
        <f>IFERROR(O1269/N1269,0)</f>
        <v/>
      </c>
      <c r="T1269">
        <f>IF(C1269,(Skills!G2*N1269*B1300)*IF(Inputs!$B$39="pvp",1,1+(Inputs!$B$21+0+Skills!P2+((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0)</f>
        <v/>
      </c>
      <c r="U1269">
        <f>MAX(0,(Inputs!$B$3-100)*3)+Inputs!$B$29+Inputs!$B$30</f>
        <v/>
      </c>
      <c r="V1269">
        <f>IF(C1269,(Skills!G2*N1269*B1300)*IF(Inputs!$B$39="pvp",1,(1+(Inputs!$B$22+Skills!Q2+((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MIN((6+Inputs!$B$34),Inputs!$B$38))),0)</f>
        <v/>
      </c>
    </row>
    <row r="1270">
      <c r="A1270">
        <f>Skills!A3</f>
        <v/>
      </c>
      <c r="B1270">
        <f>Skills!B3</f>
        <v/>
      </c>
      <c r="C1270">
        <f>Inputs!$B$3&gt;=50</f>
        <v/>
      </c>
      <c r="D1270">
        <f>IF(Skills!C3=1,60+Inputs!$B$26+Inputs!$B$30,IF(Skills!C3=2,90+Inputs!$B$27+Inputs!$B$30,IF(Skills!C3=3,120+Inputs!$B$28+Inputs!$B$30,MAX(0,(Inputs!$B$3-100)*3)+Inputs!$B$29+Inputs!$B$30)))</f>
        <v/>
      </c>
      <c r="E1270">
        <f>INDEX(FactorTable!$B$2:$Y$301, MATCH(ROUND(MIN(300,MAX(1,D1270)),0), FactorTable!$A$2:$A$301,0), Skills!M3+1)</f>
        <v/>
      </c>
      <c r="F1270">
        <f>IF(Skills!N3=TRUE,(Skills!L3/10)*(E1270/1000),Skills!L3/10)+Skills!O3</f>
        <v/>
      </c>
      <c r="G1270" t="inlineStr"/>
      <c r="H1270" t="inlineStr"/>
      <c r="I1270" t="inlineStr">
        <is>
          <t>1</t>
        </is>
      </c>
      <c r="J1270" t="inlineStr"/>
      <c r="K1270" t="inlineStr"/>
      <c r="L1270" t="inlineStr"/>
      <c r="M1270" t="inlineStr"/>
      <c r="N1270" t="inlineStr"/>
      <c r="O1270" t="inlineStr"/>
      <c r="P1270" t="inlineStr"/>
      <c r="Q1270" t="inlineStr"/>
      <c r="R1270" t="inlineStr"/>
      <c r="S1270" t="inlineStr"/>
      <c r="U1270">
        <f>INDEX(FactorTable!$B$2:$Y$301, MATCH(ROUND(MIN(300,MAX(1,U1269)),0), FactorTable!$A$2:$A$301,0), 22)</f>
        <v/>
      </c>
    </row>
    <row r="1271">
      <c r="A1271">
        <f>Skills!A4</f>
        <v/>
      </c>
      <c r="B1271">
        <f>Skills!B4</f>
        <v/>
      </c>
      <c r="C1271">
        <f>Inputs!$B$3&gt;=105</f>
        <v/>
      </c>
      <c r="D1271">
        <f>IF(Skills!C4=1,60+Inputs!$B$26+Inputs!$B$30,IF(Skills!C4=2,90+Inputs!$B$27+Inputs!$B$30,IF(Skills!C4=3,120+Inputs!$B$28+Inputs!$B$30,MAX(0,(Inputs!$B$3-100)*3)+Inputs!$B$29+Inputs!$B$30)))</f>
        <v/>
      </c>
      <c r="E1271">
        <f>INDEX(FactorTable!$B$2:$Y$301, MATCH(ROUND(MIN(300,MAX(1,D1271)),0), FactorTable!$A$2:$A$301,0), Skills!M4+1)</f>
        <v/>
      </c>
      <c r="F1271">
        <f>IF(Skills!N4=TRUE,(Skills!L4/10)*(E1271/1000),Skills!L4/10)+Skills!O4</f>
        <v/>
      </c>
      <c r="G1271" t="inlineStr"/>
      <c r="H1271" t="inlineStr"/>
      <c r="I1271" t="inlineStr">
        <is>
          <t>1</t>
        </is>
      </c>
      <c r="J1271" t="inlineStr"/>
      <c r="K1271" t="inlineStr"/>
      <c r="L1271" t="inlineStr"/>
      <c r="M1271" t="inlineStr"/>
      <c r="N1271" t="inlineStr"/>
      <c r="O1271" t="inlineStr"/>
      <c r="P1271" t="inlineStr"/>
      <c r="Q1271" t="inlineStr"/>
      <c r="R1271" t="inlineStr"/>
      <c r="S1271" t="inlineStr"/>
      <c r="U1271">
        <f>290*U1270/1000</f>
        <v/>
      </c>
    </row>
    <row r="1272">
      <c r="A1272">
        <f>Skills!A5</f>
        <v/>
      </c>
      <c r="B1272">
        <f>Skills!B5</f>
        <v/>
      </c>
      <c r="C1272">
        <f>Inputs!$B$3&gt;=117</f>
        <v/>
      </c>
      <c r="D1272">
        <f>IF(Skills!C5=1,60+Inputs!$B$26+Inputs!$B$30,IF(Skills!C5=2,90+Inputs!$B$27+Inputs!$B$30,IF(Skills!C5=3,120+Inputs!$B$28+Inputs!$B$30,MAX(0,(Inputs!$B$3-100)*3)+Inputs!$B$29+Inputs!$B$30)))</f>
        <v/>
      </c>
      <c r="E1272">
        <f>INDEX(FactorTable!$B$2:$Y$301, MATCH(ROUND(MIN(300,MAX(1,D1272)),0), FactorTable!$A$2:$A$301,0), Skills!M5+1)</f>
        <v/>
      </c>
      <c r="F1272">
        <f>IF(Skills!N5=TRUE,(Skills!L5/10)*(E1272/1000),Skills!L5/10)+Skills!O5</f>
        <v/>
      </c>
      <c r="G1272">
        <f>Skills!G5*IF(Skills!H5&gt;0,Skills!I5/Skills!H5,1)</f>
        <v/>
      </c>
      <c r="H1272">
        <f>1-(1-Skills!J5/100)^Skills!K5</f>
        <v/>
      </c>
      <c r="I1272" t="inlineStr">
        <is>
          <t>1</t>
        </is>
      </c>
      <c r="J1272">
        <f>((Inputs!$B$6*(1+Inputs!$B$7/100))+(((Inputs!$B$13*(1+Inputs!$B$14/100))-(Inputs!$B$13*(1+Inputs!$B$14/100)))+0.25*(Inputs!$B$15-Inputs!$B$15))*(1+Inputs!$B$7/100))*(F1272/100)</f>
        <v/>
      </c>
      <c r="K1272">
        <f>J1272*(1+(((Inputs!$B$13+IF(Inputs!$B$3&gt;=38,(10*INDEX(FactorTable!$B$2:$Y$301, MATCH(ROUND(MIN(300,MAX(1,Inputs!$B$3)),0), FactorTable!$A$2:$A$301,0), 23)/1000)/100*(Inputs!$B$8*(1+Inputs!$B$9/100)),0))*(1+Inputs!$B$14/100))*0.01+Inputs!$B$15*0.0025)/100)*(1+Inputs!$B$16/100)*(1+Inputs!$B$17/100)*(5000/(6000+Inputs!$B$43*(1-(Inputs!$B$20+0)/100)))*(1+(Inputs!$B$25+((C1292=TRUE)*(F1292-Calc!F25))+((C1293=TRUE)*(F1293-Calc!F26))+B1302)/100)*(1+(IF(Skills!A5="DARK_IMPALE",Inputs!$B$18+0,Inputs!$B$19+((C1290=TRUE)*(F1290-Calc!F23))))/100)*((1+(((C1280=TRUE)*F1280*IF(AND(Inputs!$B$39&lt;&gt;"pvp",Inputs!$B$44&gt;0),(((R1280-1)*(Skills!T13*(1+Inputs!$B$35/100))+MIN((Skills!T13*(1+Inputs!$B$35/100)),MAX(0,Inputs!$B$44-((R1280-1)*Skills!D13))))/Inputs!$B$44),IF(Inputs!$B$39="pvp",MIN((Skills!T13*(1+Inputs!$B$35/100)),15)/15,(Skills!T13*(1+Inputs!$B$35/100))/Skills!D13)))+((C1281=TRUE)*F1281*IF(AND(Inputs!$B$39&lt;&gt;"pvp",Inputs!$B$44&gt;0),(((R1281-1)*(Skills!T14*(1+Inputs!$B$35/100))+MIN((Skills!T14*(1+Inputs!$B$35/100)),MAX(0,Inputs!$B$44-((R1281-1)*Skills!D14))))/Inputs!$B$44),IF(Inputs!$B$39="pvp",MIN((Skills!T14*(1+Inputs!$B$35/100)),15)/15,(Skills!T14*(1+Inputs!$B$35/100))/Skills!D14)))+((C1282=TRUE)*F1282*IF(AND(Inputs!$B$39&lt;&gt;"pvp",Inputs!$B$44&gt;0),(((R1282-1)*(Skills!T15*(1+Inputs!$B$35/100))+MIN((Skills!T15*(1+Inputs!$B$35/100)),MAX(0,Inputs!$B$44-((R1282-1)*Skills!D15))))/Inputs!$B$44),IF(Inputs!$B$39="pvp",MIN((Skills!T15*(1+Inputs!$B$35/100)),15)/15,(Skills!T15*(1+Inputs!$B$35/100))/Skills!D15)))+((C1283=TRUE)*F1283*IF(AND(Inputs!$B$39&lt;&gt;"pvp",Inputs!$B$44&gt;0),(((R1283-1)*(Skills!T16*(1+Inputs!$B$35/100))+MIN((Skills!T16*(1+Inputs!$B$35/100)),MAX(0,Inputs!$B$44-((R1283-1)*Skills!D16))))/Inputs!$B$44),IF(Inputs!$B$39="pvp",MIN((Skills!T16*(1+Inputs!$B$35/100)),15)/15,(Skills!T16*(1+Inputs!$B$35/100))/Skills!D16)))+0)/100)*I1272)</f>
        <v/>
      </c>
      <c r="L1272">
        <f>K1272*(MIN(Inputs!$B$23+((C1289=TRUE)*(F1289-Calc!F22)),Inputs!$B$24+((C1291=TRUE)*(F1291-Calc!F24)))/100+(Inputs!$B$24+((C1291=TRUE)*(F1291-Calc!F24)))/100)/2</f>
        <v/>
      </c>
      <c r="M1272">
        <f>L1272*(1+(Inputs!$B$11+0+B1301)/100)</f>
        <v/>
      </c>
      <c r="N1272">
        <f>L1272*(1-MIN((Inputs!$B$10+0+B1296),100)/100)+M1272*(MIN((Inputs!$B$10+0+B1296),100)/100)</f>
        <v/>
      </c>
      <c r="O1272">
        <f>(1-Summary!$B$55)*T1272+Summary!$B$55*V1272</f>
        <v/>
      </c>
      <c r="P1272">
        <f>IF(B1306=0,0,O1272/B1306)</f>
        <v/>
      </c>
      <c r="Q1272">
        <f>IFERROR(1/IF(Inputs!$B$39="pvp",15,MAX(0.1,Skills!D5-IF(Skills!E5=TRUE,1.0,0))),0)</f>
        <v/>
      </c>
      <c r="R1272">
        <f>IF(AND(Inputs!$B$39&lt;&gt;"pvp",Inputs!$B$44&gt;0),IF(MAX(0,Inputs!$B$44-B1303)&lt;=0,0,(INT(MAX(0,Inputs!$B$44-B1303)/IF(Inputs!$B$39="pvp",15,MAX(0.1,Skills!D5-IF(Skills!E5=TRUE,1.0,0))))+1)),0)</f>
        <v/>
      </c>
      <c r="S1272">
        <f>IFERROR(O1272/N1272,0)</f>
        <v/>
      </c>
      <c r="T1272">
        <f>IF(C1272,(H1272*N1272*IF(AND(Inputs!$B$39&lt;&gt;"pvp",Inputs!$B$44&gt;0),((Skills!G5*((R1272-1)*IF(Skills!H5&gt;0,Skills!I5/Skills!H5,1)+IF(Skills!H5&gt;0,MIN(Skills!I5,MAX(0,MAX(0,Inputs!$B$44-B1303)-((R1272-1)*IF(Inputs!$B$39="pvp",15,MAX(0.1,Skills!D5-IF(Skills!E5=TRUE,1.0,0))))))/Skills!H5,1)))/Inputs!$B$44),G1272*Q1272))*IF(Inputs!$B$39="pvp",1,1+(Inputs!$B$21+0+Skills!P5+((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0)</f>
        <v/>
      </c>
      <c r="V1272">
        <f>IF(C1272,(H1272*N1272*IF(AND(Inputs!$B$39&lt;&gt;"pvp",Inputs!$B$44&gt;0),((Skills!G5*((R1272-1)*IF(Skills!H5&gt;0,Skills!I5/Skills!H5,1)+IF(Skills!H5&gt;0,MIN(Skills!I5,MAX(0,MAX(0,Inputs!$B$44-B1303)-((R1272-1)*IF(Inputs!$B$39="pvp",15,MAX(0.1,Skills!D5-IF(Skills!E5=TRUE,1.0,0))))))/Skills!H5,1)))/Inputs!$B$44),G1272*Q1272))*IF(Inputs!$B$39="pvp",1,(1+(Inputs!$B$22+Skills!Q5+((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MIN(Skills!R5,Inputs!$B$38))),0)</f>
        <v/>
      </c>
    </row>
    <row r="1273">
      <c r="A1273">
        <f>Skills!A6</f>
        <v/>
      </c>
      <c r="B1273">
        <f>Skills!B6</f>
        <v/>
      </c>
      <c r="C1273">
        <f>Inputs!$B$3&gt;=103</f>
        <v/>
      </c>
      <c r="D1273">
        <f>IF(Skills!C6=1,60+Inputs!$B$26+Inputs!$B$30,IF(Skills!C6=2,90+Inputs!$B$27+Inputs!$B$30,IF(Skills!C6=3,120+Inputs!$B$28+Inputs!$B$30,MAX(0,(Inputs!$B$3-100)*3)+Inputs!$B$29+Inputs!$B$30)))</f>
        <v/>
      </c>
      <c r="E1273">
        <f>INDEX(FactorTable!$B$2:$Y$301, MATCH(ROUND(MIN(300,MAX(1,D1273)),0), FactorTable!$A$2:$A$301,0), Skills!M6+1)</f>
        <v/>
      </c>
      <c r="F1273">
        <f>IF(Skills!N6=TRUE,(Skills!L6/10)*(E1273/1000),Skills!L6/10)+Skills!O6</f>
        <v/>
      </c>
      <c r="G1273">
        <f>Skills!G6*IF(Skills!H6&gt;0,Skills!I6/Skills!H6,1)</f>
        <v/>
      </c>
      <c r="H1273">
        <f>1-(1-Skills!J6/100)^Skills!K6</f>
        <v/>
      </c>
      <c r="I1273" t="inlineStr">
        <is>
          <t>1</t>
        </is>
      </c>
      <c r="J1273">
        <f>((Inputs!$B$6*(1+Inputs!$B$7/100))+(((Inputs!$B$13*(1+Inputs!$B$14/100))-(Inputs!$B$13*(1+Inputs!$B$14/100)))+0.25*(Inputs!$B$15-Inputs!$B$15))*(1+Inputs!$B$7/100))*(F1273/100)</f>
        <v/>
      </c>
      <c r="K1273">
        <f>J1273*(1+(((Inputs!$B$13+IF(Inputs!$B$3&gt;=38,(10*INDEX(FactorTable!$B$2:$Y$301, MATCH(ROUND(MIN(300,MAX(1,Inputs!$B$3)),0), FactorTable!$A$2:$A$301,0), 23)/1000)/100*(Inputs!$B$8*(1+Inputs!$B$9/100)),0))*(1+Inputs!$B$14/100))*0.01+Inputs!$B$15*0.0025)/100)*(1+Inputs!$B$16/100)*(1+Inputs!$B$17/100)*(5000/(6000+Inputs!$B$43*(1-(Inputs!$B$20+0)/100)))*(1+(Inputs!$B$25+((C1292=TRUE)*(F1292-Calc!F25))+((C1293=TRUE)*(F1293-Calc!F26))+B1302)/100)*(1+(IF(Skills!A6="DARK_IMPALE",Inputs!$B$18+0,Inputs!$B$19+((C1290=TRUE)*(F1290-Calc!F23))))/100)*((1+(((C1280=TRUE)*F1280*IF(AND(Inputs!$B$39&lt;&gt;"pvp",Inputs!$B$44&gt;0),(((R1280-1)*(Skills!T13*(1+Inputs!$B$35/100))+MIN((Skills!T13*(1+Inputs!$B$35/100)),MAX(0,Inputs!$B$44-((R1280-1)*Skills!D13))))/Inputs!$B$44),IF(Inputs!$B$39="pvp",MIN((Skills!T13*(1+Inputs!$B$35/100)),15)/15,(Skills!T13*(1+Inputs!$B$35/100))/Skills!D13)))+((C1281=TRUE)*F1281*IF(AND(Inputs!$B$39&lt;&gt;"pvp",Inputs!$B$44&gt;0),(((R1281-1)*(Skills!T14*(1+Inputs!$B$35/100))+MIN((Skills!T14*(1+Inputs!$B$35/100)),MAX(0,Inputs!$B$44-((R1281-1)*Skills!D14))))/Inputs!$B$44),IF(Inputs!$B$39="pvp",MIN((Skills!T14*(1+Inputs!$B$35/100)),15)/15,(Skills!T14*(1+Inputs!$B$35/100))/Skills!D14)))+((C1282=TRUE)*F1282*IF(AND(Inputs!$B$39&lt;&gt;"pvp",Inputs!$B$44&gt;0),(((R1282-1)*(Skills!T15*(1+Inputs!$B$35/100))+MIN((Skills!T15*(1+Inputs!$B$35/100)),MAX(0,Inputs!$B$44-((R1282-1)*Skills!D15))))/Inputs!$B$44),IF(Inputs!$B$39="pvp",MIN((Skills!T15*(1+Inputs!$B$35/100)),15)/15,(Skills!T15*(1+Inputs!$B$35/100))/Skills!D15)))+((C1283=TRUE)*F1283*IF(AND(Inputs!$B$39&lt;&gt;"pvp",Inputs!$B$44&gt;0),(((R1283-1)*(Skills!T16*(1+Inputs!$B$35/100))+MIN((Skills!T16*(1+Inputs!$B$35/100)),MAX(0,Inputs!$B$44-((R1283-1)*Skills!D16))))/Inputs!$B$44),IF(Inputs!$B$39="pvp",MIN((Skills!T16*(1+Inputs!$B$35/100)),15)/15,(Skills!T16*(1+Inputs!$B$35/100))/Skills!D16)))+0)/100)*I1273)</f>
        <v/>
      </c>
      <c r="L1273">
        <f>K1273*(MIN(Inputs!$B$23+((C1289=TRUE)*(F1289-Calc!F22)),Inputs!$B$24+((C1291=TRUE)*(F1291-Calc!F24)))/100+(Inputs!$B$24+((C1291=TRUE)*(F1291-Calc!F24)))/100)/2</f>
        <v/>
      </c>
      <c r="M1273">
        <f>L1273*(1+(Inputs!$B$11+0+B1301)/100)</f>
        <v/>
      </c>
      <c r="N1273">
        <f>L1273*(1-MIN((Inputs!$B$10+0+B1296),100)/100)+M1273*(MIN((Inputs!$B$10+0+B1296),100)/100)</f>
        <v/>
      </c>
      <c r="O1273">
        <f>(1-Summary!$B$55)*T1273+Summary!$B$55*V1273</f>
        <v/>
      </c>
      <c r="P1273">
        <f>IF(B1306=0,0,O1273/B1306)</f>
        <v/>
      </c>
      <c r="Q1273">
        <f>IFERROR(1/IF(Inputs!$B$39="pvp",15,MAX(0.1,Skills!D6-IF(Skills!E6=TRUE,1.0,0))),0)</f>
        <v/>
      </c>
      <c r="R1273">
        <f>IF(AND(Inputs!$B$39&lt;&gt;"pvp",Inputs!$B$44&gt;0),IF(MAX(0,Inputs!$B$44-B1303)&lt;=0,0,(INT(MAX(0,Inputs!$B$44-B1303)/IF(Inputs!$B$39="pvp",15,MAX(0.1,Skills!D6-IF(Skills!E6=TRUE,1.0,0))))+1)),0)</f>
        <v/>
      </c>
      <c r="S1273">
        <f>IFERROR(O1273/N1273,0)</f>
        <v/>
      </c>
      <c r="T1273">
        <f>IF(C1273,(H1273*N1273*IF(AND(Inputs!$B$39&lt;&gt;"pvp",Inputs!$B$44&gt;0),((Skills!G6*((R1273-1)*IF(Skills!H6&gt;0,Skills!I6/Skills!H6,1)+IF(Skills!H6&gt;0,MIN(Skills!I6,MAX(0,MAX(0,Inputs!$B$44-B1303)-((R1273-1)*IF(Inputs!$B$39="pvp",15,MAX(0.1,Skills!D6-IF(Skills!E6=TRUE,1.0,0))))))/Skills!H6,1)))/Inputs!$B$44),G1273*Q1273))*IF(Inputs!$B$39="pvp",1,1+(Inputs!$B$21+0+Skills!P6+((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0)</f>
        <v/>
      </c>
      <c r="V1273">
        <f>IF(C1273,(H1273*N1273*IF(AND(Inputs!$B$39&lt;&gt;"pvp",Inputs!$B$44&gt;0),((Skills!G6*((R1273-1)*IF(Skills!H6&gt;0,Skills!I6/Skills!H6,1)+IF(Skills!H6&gt;0,MIN(Skills!I6,MAX(0,MAX(0,Inputs!$B$44-B1303)-((R1273-1)*IF(Inputs!$B$39="pvp",15,MAX(0.1,Skills!D6-IF(Skills!E6=TRUE,1.0,0))))))/Skills!H6,1)))/Inputs!$B$44),G1273*Q1273))*IF(Inputs!$B$39="pvp",1,(1+(Inputs!$B$22+Skills!Q6+((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MIN(Skills!R6,Inputs!$B$38))),0)</f>
        <v/>
      </c>
    </row>
    <row r="1274">
      <c r="A1274">
        <f>Skills!A7</f>
        <v/>
      </c>
      <c r="B1274">
        <f>Skills!B7</f>
        <v/>
      </c>
      <c r="C1274">
        <f>Inputs!$B$3&gt;=40</f>
        <v/>
      </c>
      <c r="D1274">
        <f>IF(Skills!C7=1,60+Inputs!$B$26+Inputs!$B$30,IF(Skills!C7=2,90+Inputs!$B$27+Inputs!$B$30,IF(Skills!C7=3,120+Inputs!$B$28+Inputs!$B$30,MAX(0,(Inputs!$B$3-100)*3)+Inputs!$B$29+Inputs!$B$30)))</f>
        <v/>
      </c>
      <c r="E1274">
        <f>INDEX(FactorTable!$B$2:$Y$301, MATCH(ROUND(MIN(300,MAX(1,D1274)),0), FactorTable!$A$2:$A$301,0), Skills!M7+1)</f>
        <v/>
      </c>
      <c r="F1274">
        <f>IF(Skills!N7=TRUE,(Skills!L7/10)*(E1274/1000),Skills!L7/10)+Skills!O7</f>
        <v/>
      </c>
      <c r="G1274">
        <f>Skills!G7*IF(Skills!H7&gt;0,Skills!I7/Skills!H7,1)</f>
        <v/>
      </c>
      <c r="H1274">
        <f>1-(1-Skills!J7/100)^Skills!K7</f>
        <v/>
      </c>
      <c r="I1274" t="inlineStr">
        <is>
          <t>1</t>
        </is>
      </c>
      <c r="J1274">
        <f>((Inputs!$B$6*(1+Inputs!$B$7/100))+(((Inputs!$B$13*(1+Inputs!$B$14/100))-(Inputs!$B$13*(1+Inputs!$B$14/100)))+0.25*(Inputs!$B$15-Inputs!$B$15))*(1+Inputs!$B$7/100))*(F1274/100)</f>
        <v/>
      </c>
      <c r="K1274">
        <f>J1274*(1+(((Inputs!$B$13+IF(Inputs!$B$3&gt;=38,(10*INDEX(FactorTable!$B$2:$Y$301, MATCH(ROUND(MIN(300,MAX(1,Inputs!$B$3)),0), FactorTable!$A$2:$A$301,0), 23)/1000)/100*(Inputs!$B$8*(1+Inputs!$B$9/100)),0))*(1+Inputs!$B$14/100))*0.01+Inputs!$B$15*0.0025)/100)*(1+Inputs!$B$16/100)*(1+Inputs!$B$17/100)*(5000/(6000+Inputs!$B$43*(1-(Inputs!$B$20+0)/100)))*(1+(Inputs!$B$25+((C1292=TRUE)*(F1292-Calc!F25))+((C1293=TRUE)*(F1293-Calc!F26))+B1302)/100)*(1+0.75*IF(C1278=TRUE,F1278,0)/100)*(1+(IF(Skills!A7="DARK_IMPALE",Inputs!$B$18+0,Inputs!$B$19+((C1290=TRUE)*(F1290-Calc!F23))))/100)*((1+(((C1280=TRUE)*F1280*IF(AND(Inputs!$B$39&lt;&gt;"pvp",Inputs!$B$44&gt;0),(((R1280-1)*(Skills!T13*(1+Inputs!$B$35/100))+MIN((Skills!T13*(1+Inputs!$B$35/100)),MAX(0,Inputs!$B$44-((R1280-1)*Skills!D13))))/Inputs!$B$44),IF(Inputs!$B$39="pvp",MIN((Skills!T13*(1+Inputs!$B$35/100)),15)/15,(Skills!T13*(1+Inputs!$B$35/100))/Skills!D13)))+((C1281=TRUE)*F1281*IF(AND(Inputs!$B$39&lt;&gt;"pvp",Inputs!$B$44&gt;0),(((R1281-1)*(Skills!T14*(1+Inputs!$B$35/100))+MIN((Skills!T14*(1+Inputs!$B$35/100)),MAX(0,Inputs!$B$44-((R1281-1)*Skills!D14))))/Inputs!$B$44),IF(Inputs!$B$39="pvp",MIN((Skills!T14*(1+Inputs!$B$35/100)),15)/15,(Skills!T14*(1+Inputs!$B$35/100))/Skills!D14)))+((C1282=TRUE)*F1282*IF(AND(Inputs!$B$39&lt;&gt;"pvp",Inputs!$B$44&gt;0),(((R1282-1)*(Skills!T15*(1+Inputs!$B$35/100))+MIN((Skills!T15*(1+Inputs!$B$35/100)),MAX(0,Inputs!$B$44-((R1282-1)*Skills!D15))))/Inputs!$B$44),IF(Inputs!$B$39="pvp",MIN((Skills!T15*(1+Inputs!$B$35/100)),15)/15,(Skills!T15*(1+Inputs!$B$35/100))/Skills!D15)))+((C1283=TRUE)*F1283*IF(AND(Inputs!$B$39&lt;&gt;"pvp",Inputs!$B$44&gt;0),(((R1283-1)*(Skills!T16*(1+Inputs!$B$35/100))+MIN((Skills!T16*(1+Inputs!$B$35/100)),MAX(0,Inputs!$B$44-((R1283-1)*Skills!D16))))/Inputs!$B$44),IF(Inputs!$B$39="pvp",MIN((Skills!T16*(1+Inputs!$B$35/100)),15)/15,(Skills!T16*(1+Inputs!$B$35/100))/Skills!D16)))+0)/100)*I1274)</f>
        <v/>
      </c>
      <c r="L1274">
        <f>K1274*(MIN(Inputs!$B$23+((C1289=TRUE)*(F1289-Calc!F22)),Inputs!$B$24+((C1291=TRUE)*(F1291-Calc!F24)))/100+(Inputs!$B$24+((C1291=TRUE)*(F1291-Calc!F24)))/100)/2</f>
        <v/>
      </c>
      <c r="M1274">
        <f>L1274*(1+(Inputs!$B$11+0+B1301)/100)</f>
        <v/>
      </c>
      <c r="N1274">
        <f>L1274*(1-MIN((Inputs!$B$10+0+B1296),100)/100)+M1274*(MIN((Inputs!$B$10+0+B1296),100)/100)</f>
        <v/>
      </c>
      <c r="O1274">
        <f>(1-Summary!$B$55)*T1274+Summary!$B$55*V1274</f>
        <v/>
      </c>
      <c r="P1274">
        <f>IF(B1306=0,0,O1274/B1306)</f>
        <v/>
      </c>
      <c r="Q1274">
        <f>IFERROR(1/IF(Inputs!$B$39="pvp",15,MAX(0.1,Skills!D7-IF(Skills!E7=TRUE,1.0,0))),0)</f>
        <v/>
      </c>
      <c r="R1274">
        <f>IF(AND(Inputs!$B$39&lt;&gt;"pvp",Inputs!$B$44&gt;0),IF(MAX(0,Inputs!$B$44-B1303)&lt;=0,0,(INT(MAX(0,Inputs!$B$44-B1303)/IF(Inputs!$B$39="pvp",15,MAX(0.1,Skills!D7-IF(Skills!E7=TRUE,1.0,0))))+1)),0)</f>
        <v/>
      </c>
      <c r="S1274">
        <f>IFERROR(O1274/N1274,0)</f>
        <v/>
      </c>
      <c r="T1274">
        <f>IF(C1274,(H1274*N1274*IF(AND(Inputs!$B$39&lt;&gt;"pvp",Inputs!$B$44&gt;0),((Skills!G7*((R1274-1)*IF(Skills!H7&gt;0,Skills!I7/Skills!H7,1)+IF(Skills!H7&gt;0,MIN(Skills!I7,MAX(0,MAX(0,Inputs!$B$44-B1303)-((R1274-1)*IF(Inputs!$B$39="pvp",15,MAX(0.1,Skills!D7-IF(Skills!E7=TRUE,1.0,0))))))/Skills!H7,1)))/Inputs!$B$44),G1274*Q1274))*IF(Inputs!$B$39="pvp",1,1+(Inputs!$B$21+0+Skills!P7+((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0)</f>
        <v/>
      </c>
      <c r="V1274">
        <f>IF(C1274,(H1274*N1274*IF(AND(Inputs!$B$39&lt;&gt;"pvp",Inputs!$B$44&gt;0),((Skills!G7*((R1274-1)*IF(Skills!H7&gt;0,Skills!I7/Skills!H7,1)+IF(Skills!H7&gt;0,MIN(Skills!I7,MAX(0,MAX(0,Inputs!$B$44-B1303)-((R1274-1)*IF(Inputs!$B$39="pvp",15,MAX(0.1,Skills!D7-IF(Skills!E7=TRUE,1.0,0))))))/Skills!H7,1)))/Inputs!$B$44),G1274*Q1274))*IF(Inputs!$B$39="pvp",1,(1+(Inputs!$B$22+Skills!Q7+((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MIN(Skills!R7,Inputs!$B$38))),0)</f>
        <v/>
      </c>
    </row>
    <row r="1275">
      <c r="A1275">
        <f>Skills!A8</f>
        <v/>
      </c>
      <c r="B1275">
        <f>Skills!B8</f>
        <v/>
      </c>
      <c r="C1275">
        <f>Inputs!$B$3&gt;=75</f>
        <v/>
      </c>
      <c r="D1275">
        <f>IF(Skills!C8=1,60+Inputs!$B$26+Inputs!$B$30,IF(Skills!C8=2,90+Inputs!$B$27+Inputs!$B$30,IF(Skills!C8=3,120+Inputs!$B$28+Inputs!$B$30,MAX(0,(Inputs!$B$3-100)*3)+Inputs!$B$29+Inputs!$B$30)))</f>
        <v/>
      </c>
      <c r="E1275">
        <f>INDEX(FactorTable!$B$2:$Y$301, MATCH(ROUND(MIN(300,MAX(1,D1275)),0), FactorTable!$A$2:$A$301,0), Skills!M8+1)</f>
        <v/>
      </c>
      <c r="F1275">
        <f>IF(Skills!N8=TRUE,(Skills!L8/10)*(E1275/1000),Skills!L8/10)+Skills!O8</f>
        <v/>
      </c>
      <c r="G1275" t="inlineStr"/>
      <c r="H1275" t="inlineStr"/>
      <c r="I1275" t="inlineStr">
        <is>
          <t>1</t>
        </is>
      </c>
      <c r="J1275" t="inlineStr"/>
      <c r="K1275" t="inlineStr"/>
      <c r="L1275" t="inlineStr"/>
      <c r="M1275" t="inlineStr"/>
      <c r="N1275" t="inlineStr"/>
      <c r="O1275" t="inlineStr"/>
      <c r="P1275" t="inlineStr"/>
      <c r="Q1275" t="inlineStr"/>
      <c r="R1275" t="inlineStr"/>
      <c r="S1275" t="inlineStr"/>
    </row>
    <row r="1276">
      <c r="A1276">
        <f>Skills!A9</f>
        <v/>
      </c>
      <c r="B1276">
        <f>Skills!B9</f>
        <v/>
      </c>
      <c r="C1276">
        <f>Inputs!$B$3&gt;=60</f>
        <v/>
      </c>
      <c r="D1276">
        <f>IF(Skills!C9=1,60+Inputs!$B$26+Inputs!$B$30,IF(Skills!C9=2,90+Inputs!$B$27+Inputs!$B$30,IF(Skills!C9=3,120+Inputs!$B$28+Inputs!$B$30,MAX(0,(Inputs!$B$3-100)*3)+Inputs!$B$29+Inputs!$B$30)))</f>
        <v/>
      </c>
      <c r="E1276">
        <f>INDEX(FactorTable!$B$2:$Y$301, MATCH(ROUND(MIN(300,MAX(1,D1276)),0), FactorTable!$A$2:$A$301,0), Skills!M9+1)</f>
        <v/>
      </c>
      <c r="F1276">
        <f>IF(Skills!N9=TRUE,(Skills!L9/10)*(E1276/1000),Skills!L9/10)+Skills!O9</f>
        <v/>
      </c>
      <c r="G1276">
        <f>Skills!G9*IF(Skills!H9&gt;0,Skills!I9/Skills!H9,1)</f>
        <v/>
      </c>
      <c r="H1276">
        <f>1-(1-Skills!J9/100)^Skills!K9</f>
        <v/>
      </c>
      <c r="I1276" t="inlineStr">
        <is>
          <t>1</t>
        </is>
      </c>
      <c r="J1276">
        <f>((Inputs!$B$6*(1+Inputs!$B$7/100))+(((Inputs!$B$13*(1+Inputs!$B$14/100))-(Inputs!$B$13*(1+Inputs!$B$14/100)))+0.25*(Inputs!$B$15-Inputs!$B$15))*(1+Inputs!$B$7/100))*(F1276/100)</f>
        <v/>
      </c>
      <c r="K1276">
        <f>J1276*(1+(((Inputs!$B$13+IF(Inputs!$B$3&gt;=38,(10*INDEX(FactorTable!$B$2:$Y$301, MATCH(ROUND(MIN(300,MAX(1,Inputs!$B$3)),0), FactorTable!$A$2:$A$301,0), 23)/1000)/100*(Inputs!$B$8*(1+Inputs!$B$9/100)),0))*(1+Inputs!$B$14/100))*0.01+Inputs!$B$15*0.0025)/100)*(1+Inputs!$B$16/100)*(1+Inputs!$B$17/100)*(5000/(6000+Inputs!$B$43*(1-(Inputs!$B$20+0)/100)))*(1+(Inputs!$B$25+((C1292=TRUE)*(F1292-Calc!F25))+((C1293=TRUE)*(F1293-Calc!F26))+B1302)/100)*(1+1.0*IF(C1278=TRUE,F1278,0)/100)*(1+(IF(Skills!A9="DARK_IMPALE",Inputs!$B$18+0,Inputs!$B$19+((C1290=TRUE)*(F1290-Calc!F23))))/100)*((1+(((C1280=TRUE)*F1280*IF(AND(Inputs!$B$39&lt;&gt;"pvp",Inputs!$B$44&gt;0),(((R1280-1)*(Skills!T13*(1+Inputs!$B$35/100))+MIN((Skills!T13*(1+Inputs!$B$35/100)),MAX(0,Inputs!$B$44-((R1280-1)*Skills!D13))))/Inputs!$B$44),IF(Inputs!$B$39="pvp",MIN((Skills!T13*(1+Inputs!$B$35/100)),15)/15,(Skills!T13*(1+Inputs!$B$35/100))/Skills!D13)))+((C1281=TRUE)*F1281*IF(AND(Inputs!$B$39&lt;&gt;"pvp",Inputs!$B$44&gt;0),(((R1281-1)*(Skills!T14*(1+Inputs!$B$35/100))+MIN((Skills!T14*(1+Inputs!$B$35/100)),MAX(0,Inputs!$B$44-((R1281-1)*Skills!D14))))/Inputs!$B$44),IF(Inputs!$B$39="pvp",MIN((Skills!T14*(1+Inputs!$B$35/100)),15)/15,(Skills!T14*(1+Inputs!$B$35/100))/Skills!D14)))+((C1282=TRUE)*F1282*IF(AND(Inputs!$B$39&lt;&gt;"pvp",Inputs!$B$44&gt;0),(((R1282-1)*(Skills!T15*(1+Inputs!$B$35/100))+MIN((Skills!T15*(1+Inputs!$B$35/100)),MAX(0,Inputs!$B$44-((R1282-1)*Skills!D15))))/Inputs!$B$44),IF(Inputs!$B$39="pvp",MIN((Skills!T15*(1+Inputs!$B$35/100)),15)/15,(Skills!T15*(1+Inputs!$B$35/100))/Skills!D15)))+((C1283=TRUE)*F1283*IF(AND(Inputs!$B$39&lt;&gt;"pvp",Inputs!$B$44&gt;0),(((R1283-1)*(Skills!T16*(1+Inputs!$B$35/100))+MIN((Skills!T16*(1+Inputs!$B$35/100)),MAX(0,Inputs!$B$44-((R1283-1)*Skills!D16))))/Inputs!$B$44),IF(Inputs!$B$39="pvp",MIN((Skills!T16*(1+Inputs!$B$35/100)),15)/15,(Skills!T16*(1+Inputs!$B$35/100))/Skills!D16)))+0)/100)*I1276)</f>
        <v/>
      </c>
      <c r="L1276">
        <f>K1276*(MIN(Inputs!$B$23+((C1289=TRUE)*(F1289-Calc!F22)),Inputs!$B$24+((C1291=TRUE)*(F1291-Calc!F24)))/100+(Inputs!$B$24+((C1291=TRUE)*(F1291-Calc!F24)))/100)/2</f>
        <v/>
      </c>
      <c r="M1276">
        <f>L1276*(1+(Inputs!$B$11+0+B1301)/100)</f>
        <v/>
      </c>
      <c r="N1276">
        <f>L1276*(1-MIN((Inputs!$B$10+0+B1296),100)/100)+M1276*(MIN((Inputs!$B$10+0+B1296),100)/100)</f>
        <v/>
      </c>
      <c r="O1276">
        <f>(1-Summary!$B$55)*T1276+Summary!$B$55*V1276</f>
        <v/>
      </c>
      <c r="P1276">
        <f>IF(B1306=0,0,O1276/B1306)</f>
        <v/>
      </c>
      <c r="Q1276">
        <f>IFERROR(1/IF(Inputs!$B$39="pvp",15,MAX(0.1,Skills!D9-IF(Skills!E9=TRUE,1.0,0))),0)</f>
        <v/>
      </c>
      <c r="R1276">
        <f>IF(AND(Inputs!$B$39&lt;&gt;"pvp",Inputs!$B$44&gt;0),IF(MAX(0,Inputs!$B$44-B1303)&lt;=0,0,(INT(MAX(0,Inputs!$B$44-B1303)/IF(Inputs!$B$39="pvp",15,MAX(0.1,Skills!D9-IF(Skills!E9=TRUE,1.0,0))))+1)),0)</f>
        <v/>
      </c>
      <c r="S1276">
        <f>IFERROR(O1276/N1276,0)</f>
        <v/>
      </c>
      <c r="T1276">
        <f>IF(C1276,(H1276*N1276*IF(AND(Inputs!$B$39&lt;&gt;"pvp",Inputs!$B$44&gt;0),((Skills!G9*((R1276-1)*IF(Skills!H9&gt;0,Skills!I9/Skills!H9,1)+IF(Skills!H9&gt;0,MIN(Skills!I9,MAX(0,MAX(0,Inputs!$B$44-B1303)-((R1276-1)*IF(Inputs!$B$39="pvp",15,MAX(0.1,Skills!D9-IF(Skills!E9=TRUE,1.0,0))))))/Skills!H9,1)))/Inputs!$B$44),G1276*Q1276))*IF(Inputs!$B$39="pvp",1,1+(Inputs!$B$21+0+Skills!P9+((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0)</f>
        <v/>
      </c>
      <c r="V1276">
        <f>IF(C1276,(H1276*N1276*IF(AND(Inputs!$B$39&lt;&gt;"pvp",Inputs!$B$44&gt;0),((Skills!G9*((R1276-1)*IF(Skills!H9&gt;0,Skills!I9/Skills!H9,1)+IF(Skills!H9&gt;0,MIN(Skills!I9,MAX(0,MAX(0,Inputs!$B$44-B1303)-((R1276-1)*IF(Inputs!$B$39="pvp",15,MAX(0.1,Skills!D9-IF(Skills!E9=TRUE,1.0,0))))))/Skills!H9,1)))/Inputs!$B$44),G1276*Q1276))*IF(Inputs!$B$39="pvp",1,(1+(Inputs!$B$22+Skills!Q9+((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MIN(Skills!R9,Inputs!$B$38))),0)</f>
        <v/>
      </c>
    </row>
    <row r="1277">
      <c r="A1277">
        <f>Skills!A10</f>
        <v/>
      </c>
      <c r="B1277">
        <f>Skills!B10</f>
        <v/>
      </c>
      <c r="C1277">
        <f>Inputs!$B$3&gt;=110</f>
        <v/>
      </c>
      <c r="D1277">
        <f>IF(Skills!C10=1,60+Inputs!$B$26+Inputs!$B$30,IF(Skills!C10=2,90+Inputs!$B$27+Inputs!$B$30,IF(Skills!C10=3,120+Inputs!$B$28+Inputs!$B$30,MAX(0,(Inputs!$B$3-100)*3)+Inputs!$B$29+Inputs!$B$30)))</f>
        <v/>
      </c>
      <c r="E1277">
        <f>INDEX(FactorTable!$B$2:$Y$301, MATCH(ROUND(MIN(300,MAX(1,D1277)),0), FactorTable!$A$2:$A$301,0), Skills!M10+1)</f>
        <v/>
      </c>
      <c r="F1277">
        <f>IF(Skills!N10=TRUE,(Skills!L10/10)*(E1277/1000),Skills!L10/10)+Skills!O10</f>
        <v/>
      </c>
      <c r="G1277">
        <f>Skills!G10*IF(Skills!H10&gt;0,Skills!I10/Skills!H10,1)</f>
        <v/>
      </c>
      <c r="H1277">
        <f>1-(1-Skills!J10/100)^Skills!K10</f>
        <v/>
      </c>
      <c r="I1277" t="inlineStr">
        <is>
          <t>1</t>
        </is>
      </c>
      <c r="J1277">
        <f>((Inputs!$B$6*(1+Inputs!$B$7/100))+(((Inputs!$B$13*(1+Inputs!$B$14/100))-(Inputs!$B$13*(1+Inputs!$B$14/100)))+0.25*(Inputs!$B$15-Inputs!$B$15))*(1+Inputs!$B$7/100))*(F1277/100)</f>
        <v/>
      </c>
      <c r="K1277">
        <f>J1277*(1+(((Inputs!$B$13+IF(Inputs!$B$3&gt;=38,(10*INDEX(FactorTable!$B$2:$Y$301, MATCH(ROUND(MIN(300,MAX(1,Inputs!$B$3)),0), FactorTable!$A$2:$A$301,0), 23)/1000)/100*(Inputs!$B$8*(1+Inputs!$B$9/100)),0))*(1+Inputs!$B$14/100))*0.01+Inputs!$B$15*0.0025)/100)*(1+Inputs!$B$16/100)*(1+Inputs!$B$17/100)*(5000/(6000+Inputs!$B$43*(1-(Inputs!$B$20+0)/100)))*(1+(Inputs!$B$25+((C1292=TRUE)*(F1292-Calc!F25))+((C1293=TRUE)*(F1293-Calc!F26))+B1302)/100)*(1+(IF(Skills!A10="DARK_IMPALE",Inputs!$B$18+0,Inputs!$B$19+((C1290=TRUE)*(F1290-Calc!F23))))/100)*((1+(((C1280=TRUE)*F1280*IF(AND(Inputs!$B$39&lt;&gt;"pvp",Inputs!$B$44&gt;0),(((R1280-1)*(Skills!T13*(1+Inputs!$B$35/100))+MIN((Skills!T13*(1+Inputs!$B$35/100)),MAX(0,Inputs!$B$44-((R1280-1)*Skills!D13))))/Inputs!$B$44),IF(Inputs!$B$39="pvp",MIN((Skills!T13*(1+Inputs!$B$35/100)),15)/15,(Skills!T13*(1+Inputs!$B$35/100))/Skills!D13)))+((C1281=TRUE)*F1281*IF(AND(Inputs!$B$39&lt;&gt;"pvp",Inputs!$B$44&gt;0),(((R1281-1)*(Skills!T14*(1+Inputs!$B$35/100))+MIN((Skills!T14*(1+Inputs!$B$35/100)),MAX(0,Inputs!$B$44-((R1281-1)*Skills!D14))))/Inputs!$B$44),IF(Inputs!$B$39="pvp",MIN((Skills!T14*(1+Inputs!$B$35/100)),15)/15,(Skills!T14*(1+Inputs!$B$35/100))/Skills!D14)))+((C1282=TRUE)*F1282*IF(AND(Inputs!$B$39&lt;&gt;"pvp",Inputs!$B$44&gt;0),(((R1282-1)*(Skills!T15*(1+Inputs!$B$35/100))+MIN((Skills!T15*(1+Inputs!$B$35/100)),MAX(0,Inputs!$B$44-((R1282-1)*Skills!D15))))/Inputs!$B$44),IF(Inputs!$B$39="pvp",MIN((Skills!T15*(1+Inputs!$B$35/100)),15)/15,(Skills!T15*(1+Inputs!$B$35/100))/Skills!D15)))+((C1283=TRUE)*F1283*IF(AND(Inputs!$B$39&lt;&gt;"pvp",Inputs!$B$44&gt;0),(((R1283-1)*(Skills!T16*(1+Inputs!$B$35/100))+MIN((Skills!T16*(1+Inputs!$B$35/100)),MAX(0,Inputs!$B$44-((R1283-1)*Skills!D16))))/Inputs!$B$44),IF(Inputs!$B$39="pvp",MIN((Skills!T16*(1+Inputs!$B$35/100)),15)/15,(Skills!T16*(1+Inputs!$B$35/100))/Skills!D16)))+0)/100)*I1277)</f>
        <v/>
      </c>
      <c r="L1277">
        <f>K1277*(MIN(Inputs!$B$23+((C1289=TRUE)*(F1289-Calc!F22)),Inputs!$B$24+((C1291=TRUE)*(F1291-Calc!F24)))/100+(Inputs!$B$24+((C1291=TRUE)*(F1291-Calc!F24)))/100)/2</f>
        <v/>
      </c>
      <c r="M1277">
        <f>L1277*(1+(Inputs!$B$11+0+B1301)/100)</f>
        <v/>
      </c>
      <c r="N1277">
        <f>L1277*(1-MIN((Inputs!$B$10+0+B1296),100)/100)+M1277*(MIN((Inputs!$B$10+0+B1296),100)/100)</f>
        <v/>
      </c>
      <c r="O1277">
        <f>(1-Summary!$B$55)*T1277+Summary!$B$55*V1277</f>
        <v/>
      </c>
      <c r="P1277">
        <f>IF(B1306=0,0,O1277/B1306)</f>
        <v/>
      </c>
      <c r="Q1277">
        <f>IFERROR(1/IF(Inputs!$B$39="pvp",15,MAX(0.1,Skills!D10-IF(Skills!E10=TRUE,1.0,0))),0)</f>
        <v/>
      </c>
      <c r="R1277">
        <f>IF(AND(Inputs!$B$39&lt;&gt;"pvp",Inputs!$B$44&gt;0),IF(MAX(0,Inputs!$B$44-B1303)&lt;=0,0,(INT(MAX(0,Inputs!$B$44-B1303)/IF(Inputs!$B$39="pvp",15,MAX(0.1,Skills!D10-IF(Skills!E10=TRUE,1.0,0))))+1)),0)</f>
        <v/>
      </c>
      <c r="S1277">
        <f>IFERROR(O1277/N1277,0)</f>
        <v/>
      </c>
      <c r="T1277">
        <f>IF(C1277,(H1277*N1277*IF(AND(Inputs!$B$39&lt;&gt;"pvp",Inputs!$B$44&gt;0),((Skills!G10*((R1277-1)*IF(Skills!H10&gt;0,Skills!I10/Skills!H10,1)+IF(Skills!H10&gt;0,MIN(Skills!I10,MAX(0,MAX(0,Inputs!$B$44-B1303)-((R1277-1)*IF(Inputs!$B$39="pvp",15,MAX(0.1,Skills!D10-IF(Skills!E10=TRUE,1.0,0))))))/Skills!H10,1)))/Inputs!$B$44),G1277*Q1277))*IF(Inputs!$B$39="pvp",1,1+(Inputs!$B$21+0+Skills!P10+((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0)</f>
        <v/>
      </c>
      <c r="V1277">
        <f>IF(C1277,(H1277*N1277*IF(AND(Inputs!$B$39&lt;&gt;"pvp",Inputs!$B$44&gt;0),((Skills!G10*((R1277-1)*IF(Skills!H10&gt;0,Skills!I10/Skills!H10,1)+IF(Skills!H10&gt;0,MIN(Skills!I10,MAX(0,MAX(0,Inputs!$B$44-B1303)-((R1277-1)*IF(Inputs!$B$39="pvp",15,MAX(0.1,Skills!D10-IF(Skills!E10=TRUE,1.0,0))))))/Skills!H10,1)))/Inputs!$B$44),G1277*Q1277))*IF(Inputs!$B$39="pvp",1,(1+(Inputs!$B$22+Skills!Q10+((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MIN(Skills!R10,Inputs!$B$38))),0)</f>
        <v/>
      </c>
    </row>
    <row r="1278">
      <c r="A1278">
        <f>Skills!A11</f>
        <v/>
      </c>
      <c r="B1278">
        <f>Skills!B11</f>
        <v/>
      </c>
      <c r="C1278">
        <f>Inputs!$B$3&gt;=100</f>
        <v/>
      </c>
      <c r="D1278">
        <f>IF(Skills!C11=1,60+Inputs!$B$26+Inputs!$B$30,IF(Skills!C11=2,90+Inputs!$B$27+Inputs!$B$30,IF(Skills!C11=3,120+Inputs!$B$28+Inputs!$B$30,MAX(0,(Inputs!$B$3-100)*3)+Inputs!$B$29+Inputs!$B$30)))</f>
        <v/>
      </c>
      <c r="E1278">
        <f>INDEX(FactorTable!$B$2:$Y$301, MATCH(ROUND(MIN(300,MAX(1,D1278)),0), FactorTable!$A$2:$A$301,0), Skills!M11+1)</f>
        <v/>
      </c>
      <c r="F1278">
        <f>IF(Skills!N11=TRUE,(Skills!L11/10)*(E1278/1000),Skills!L11/10)+Skills!O11</f>
        <v/>
      </c>
      <c r="G1278" t="inlineStr"/>
      <c r="H1278" t="inlineStr"/>
      <c r="I1278" t="inlineStr">
        <is>
          <t>1</t>
        </is>
      </c>
      <c r="J1278" t="inlineStr"/>
      <c r="K1278" t="inlineStr"/>
      <c r="L1278" t="inlineStr"/>
      <c r="M1278" t="inlineStr"/>
      <c r="N1278" t="inlineStr"/>
      <c r="O1278" t="inlineStr"/>
      <c r="P1278" t="inlineStr"/>
      <c r="Q1278" t="inlineStr"/>
      <c r="R1278" t="inlineStr"/>
      <c r="S1278" t="inlineStr"/>
    </row>
    <row r="1279">
      <c r="A1279">
        <f>Skills!A12</f>
        <v/>
      </c>
      <c r="B1279">
        <f>Skills!B12</f>
        <v/>
      </c>
      <c r="C1279">
        <f>Inputs!$B$3&gt;=63</f>
        <v/>
      </c>
      <c r="D1279">
        <f>IF(Skills!C12=1,60+Inputs!$B$26+Inputs!$B$30,IF(Skills!C12=2,90+Inputs!$B$27+Inputs!$B$30,IF(Skills!C12=3,120+Inputs!$B$28+Inputs!$B$30,MAX(0,(Inputs!$B$3-100)*3)+Inputs!$B$29+Inputs!$B$30)))</f>
        <v/>
      </c>
      <c r="E1279">
        <f>INDEX(FactorTable!$B$2:$Y$301, MATCH(ROUND(MIN(300,MAX(1,D1279)),0), FactorTable!$A$2:$A$301,0), Skills!M12+1)</f>
        <v/>
      </c>
      <c r="F1279">
        <f>IF(Skills!N12=TRUE,(Skills!L12/10)*(E1279/1000),Skills!L12/10)+Skills!O12</f>
        <v/>
      </c>
      <c r="G1279">
        <f>Skills!G12*IF(Skills!H12&gt;0,Skills!I12/Skills!H12,1)</f>
        <v/>
      </c>
      <c r="H1279">
        <f>1-(1-Skills!J12/100)^Skills!K12</f>
        <v/>
      </c>
      <c r="I1279" t="inlineStr">
        <is>
          <t>1</t>
        </is>
      </c>
      <c r="J1279">
        <f>((Inputs!$B$6*(1+Inputs!$B$7/100))+(((Inputs!$B$13*(1+Inputs!$B$14/100))-(Inputs!$B$13*(1+Inputs!$B$14/100)))+0.25*(Inputs!$B$15-Inputs!$B$15))*(1+Inputs!$B$7/100))*(F1279/100)</f>
        <v/>
      </c>
      <c r="K1279">
        <f>J1279*(1+(((Inputs!$B$13+IF(Inputs!$B$3&gt;=38,(10*INDEX(FactorTable!$B$2:$Y$301, MATCH(ROUND(MIN(300,MAX(1,Inputs!$B$3)),0), FactorTable!$A$2:$A$301,0), 23)/1000)/100*(Inputs!$B$8*(1+Inputs!$B$9/100)),0))*(1+Inputs!$B$14/100))*0.01+Inputs!$B$15*0.0025)/100)*(1+Inputs!$B$16/100)*(1+Inputs!$B$17/100)*(5000/(6000+Inputs!$B$43*(1-(Inputs!$B$20+0)/100)))*(1+(Inputs!$B$25+((C1292=TRUE)*(F1292-Calc!F25))+((C1293=TRUE)*(F1293-Calc!F26))+B1302)/100)*(1+0.75*IF(C1278=TRUE,F1278,0)/100)*(1+(IF(Skills!A12="DARK_IMPALE",Inputs!$B$18+0,Inputs!$B$19+((C1290=TRUE)*(F1290-Calc!F23))))/100)*((1+(((C1280=TRUE)*F1280*IF(AND(Inputs!$B$39&lt;&gt;"pvp",Inputs!$B$44&gt;0),(((R1280-1)*(Skills!T13*(1+Inputs!$B$35/100))+MIN((Skills!T13*(1+Inputs!$B$35/100)),MAX(0,Inputs!$B$44-((R1280-1)*Skills!D13))))/Inputs!$B$44),IF(Inputs!$B$39="pvp",MIN((Skills!T13*(1+Inputs!$B$35/100)),15)/15,(Skills!T13*(1+Inputs!$B$35/100))/Skills!D13)))+((C1281=TRUE)*F1281*IF(AND(Inputs!$B$39&lt;&gt;"pvp",Inputs!$B$44&gt;0),(((R1281-1)*(Skills!T14*(1+Inputs!$B$35/100))+MIN((Skills!T14*(1+Inputs!$B$35/100)),MAX(0,Inputs!$B$44-((R1281-1)*Skills!D14))))/Inputs!$B$44),IF(Inputs!$B$39="pvp",MIN((Skills!T14*(1+Inputs!$B$35/100)),15)/15,(Skills!T14*(1+Inputs!$B$35/100))/Skills!D14)))+((C1282=TRUE)*F1282*IF(AND(Inputs!$B$39&lt;&gt;"pvp",Inputs!$B$44&gt;0),(((R1282-1)*(Skills!T15*(1+Inputs!$B$35/100))+MIN((Skills!T15*(1+Inputs!$B$35/100)),MAX(0,Inputs!$B$44-((R1282-1)*Skills!D15))))/Inputs!$B$44),IF(Inputs!$B$39="pvp",MIN((Skills!T15*(1+Inputs!$B$35/100)),15)/15,(Skills!T15*(1+Inputs!$B$35/100))/Skills!D15)))+((C1283=TRUE)*F1283*IF(AND(Inputs!$B$39&lt;&gt;"pvp",Inputs!$B$44&gt;0),(((R1283-1)*(Skills!T16*(1+Inputs!$B$35/100))+MIN((Skills!T16*(1+Inputs!$B$35/100)),MAX(0,Inputs!$B$44-((R1283-1)*Skills!D16))))/Inputs!$B$44),IF(Inputs!$B$39="pvp",MIN((Skills!T16*(1+Inputs!$B$35/100)),15)/15,(Skills!T16*(1+Inputs!$B$35/100))/Skills!D16)))+0)/100)*I1279)</f>
        <v/>
      </c>
      <c r="L1279">
        <f>K1279*(MIN(Inputs!$B$23+((C1289=TRUE)*(F1289-Calc!F22)),Inputs!$B$24+((C1291=TRUE)*(F1291-Calc!F24)))/100+(Inputs!$B$24+((C1291=TRUE)*(F1291-Calc!F24)))/100)/2</f>
        <v/>
      </c>
      <c r="M1279">
        <f>L1279*(1+(Inputs!$B$11+0+B1301)/100)</f>
        <v/>
      </c>
      <c r="N1279">
        <f>L1279*(1-MIN((Inputs!$B$10+0+B1296),100)/100)+M1279*(MIN((Inputs!$B$10+0+B1296),100)/100)</f>
        <v/>
      </c>
      <c r="O1279">
        <f>(1-Summary!$B$55)*T1279+Summary!$B$55*V1279</f>
        <v/>
      </c>
      <c r="P1279">
        <f>IF(B1306=0,0,O1279/B1306)</f>
        <v/>
      </c>
      <c r="Q1279">
        <f>IFERROR(1/IF(Inputs!$B$39="pvp",15,MAX(0.1,Skills!D12-IF(Skills!E12=TRUE,1.0,0))),0)</f>
        <v/>
      </c>
      <c r="R1279">
        <f>IF(AND(Inputs!$B$39&lt;&gt;"pvp",Inputs!$B$44&gt;0),IF(MAX(0,Inputs!$B$44-B1303)&lt;=0,0,(INT(MAX(0,Inputs!$B$44-B1303)/IF(Inputs!$B$39="pvp",15,MAX(0.1,Skills!D12-IF(Skills!E12=TRUE,1.0,0))))+1)),0)</f>
        <v/>
      </c>
      <c r="S1279">
        <f>IFERROR(O1279/N1279,0)</f>
        <v/>
      </c>
      <c r="T1279">
        <f>IF(C1279,(H1279*N1279*IF(AND(Inputs!$B$39&lt;&gt;"pvp",Inputs!$B$44&gt;0),((Skills!G12*((R1279-1)*IF(Skills!H12&gt;0,Skills!I12/Skills!H12,1)+IF(Skills!H12&gt;0,MIN(Skills!I12,MAX(0,MAX(0,Inputs!$B$44-B1303)-((R1279-1)*IF(Inputs!$B$39="pvp",15,MAX(0.1,Skills!D12-IF(Skills!E12=TRUE,1.0,0))))))/Skills!H12,1)))/Inputs!$B$44),G1279*Q1279))*IF(Inputs!$B$39="pvp",1,1+(Inputs!$B$21+0+Skills!P12+((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0)</f>
        <v/>
      </c>
      <c r="V1279">
        <f>IF(C1279,(H1279*N1279*IF(AND(Inputs!$B$39&lt;&gt;"pvp",Inputs!$B$44&gt;0),((Skills!G12*((R1279-1)*IF(Skills!H12&gt;0,Skills!I12/Skills!H12,1)+IF(Skills!H12&gt;0,MIN(Skills!I12,MAX(0,MAX(0,Inputs!$B$44-B1303)-((R1279-1)*IF(Inputs!$B$39="pvp",15,MAX(0.1,Skills!D12-IF(Skills!E12=TRUE,1.0,0))))))/Skills!H12,1)))/Inputs!$B$44),G1279*Q1279))*IF(Inputs!$B$39="pvp",1,(1+(Inputs!$B$22+Skills!Q12+((C1284=TRUE)*F1284*IF(AND(Inputs!$B$39&lt;&gt;"pvp",Inputs!$B$44&gt;0),(((R1284-1)*(Skills!T17*(1+Inputs!$B$35/100))+MIN((Skills!T17*(1+Inputs!$B$35/100)),MAX(0,Inputs!$B$44-((R1284-1)*Skills!D17))))/Inputs!$B$44),IF(Inputs!$B$39="pvp",MIN((Skills!T17*(1+Inputs!$B$35/100)),15)/15,(Skills!T17*(1+Inputs!$B$35/100))/Skills!D17)))+((C1281=TRUE)*IF(Inputs!$B$39="pvp",20,(1-Summary!$B$55)*(20)+Summary!$B$55*(0))*IF(AND(Inputs!$B$39&lt;&gt;"pvp",Inputs!$B$44&gt;0),(((R1281-1)*(Skills!T14*(1+Inputs!$B$35/100))+MIN((Skills!T14*(1+Inputs!$B$35/100)),MAX(0,Inputs!$B$44-((R1281-1)*Skills!D14))))/Inputs!$B$44),IF(Inputs!$B$39="pvp",MIN((Skills!T14*(1+Inputs!$B$35/100)),15)/15,(Skills!T14*(1+Inputs!$B$35/100))/Skills!D14))))/100)*(MIN(Skills!R12,Inputs!$B$38))),0)</f>
        <v/>
      </c>
    </row>
    <row r="1280">
      <c r="A1280">
        <f>Skills!A13</f>
        <v/>
      </c>
      <c r="B1280">
        <f>Skills!B13</f>
        <v/>
      </c>
      <c r="C1280">
        <f>Inputs!$B$3&gt;=69</f>
        <v/>
      </c>
      <c r="D1280">
        <f>IF(Skills!C13=1,60+Inputs!$B$26+Inputs!$B$30,IF(Skills!C13=2,90+Inputs!$B$27+Inputs!$B$30,IF(Skills!C13=3,120+Inputs!$B$28+Inputs!$B$30,MAX(0,(Inputs!$B$3-100)*3)+Inputs!$B$29+Inputs!$B$30)))</f>
        <v/>
      </c>
      <c r="E1280">
        <f>INDEX(FactorTable!$B$2:$Y$301, MATCH(ROUND(MIN(300,MAX(1,D1280)),0), FactorTable!$A$2:$A$301,0), Skills!M13+1)</f>
        <v/>
      </c>
      <c r="F1280">
        <f>IF(Skills!N13=TRUE,(Skills!L13/10)*(E1280/1000),Skills!L13/10)+Skills!O13</f>
        <v/>
      </c>
      <c r="G1280">
        <f>Skills!G13*IF(Skills!H13&gt;0,Skills!I13/Skills!H13,1)</f>
        <v/>
      </c>
      <c r="H1280">
        <f>1-(1-Skills!J13/100)^Skills!K13</f>
        <v/>
      </c>
      <c r="I1280" t="inlineStr">
        <is>
          <t>1</t>
        </is>
      </c>
      <c r="J1280" t="inlineStr"/>
      <c r="K1280" t="inlineStr"/>
      <c r="L1280" t="inlineStr"/>
      <c r="M1280" t="inlineStr"/>
      <c r="N1280" t="inlineStr"/>
      <c r="O1280">
        <f>(1-Summary!$B$55)*T1280+Summary!$B$55*V1280</f>
        <v/>
      </c>
      <c r="P1280">
        <f>IF(B1306=0,0,O1280/B1306)</f>
        <v/>
      </c>
      <c r="Q1280">
        <f>IFERROR(1/IF(Inputs!$B$39="pvp",15,MAX(0.1,Skills!D13-IF(Skills!E13=TRUE,1.0,0))),0)</f>
        <v/>
      </c>
      <c r="R1280">
        <f>IF(AND(Inputs!$B$39&lt;&gt;"pvp",Inputs!$B$44&gt;0),IF(Inputs!$B$44&lt;=0,0,(INT(Inputs!$B$44/IF(Inputs!$B$39="pvp",15,MAX(0.1,Skills!D13-IF(Skills!E13=TRUE,1.0,0))))+1)),0)</f>
        <v/>
      </c>
      <c r="S1280">
        <f>IFERROR(O1280/N1280,0)</f>
        <v/>
      </c>
      <c r="T1280" t="n">
        <v>0</v>
      </c>
      <c r="V1280" t="n">
        <v>0</v>
      </c>
    </row>
    <row r="1281">
      <c r="A1281">
        <f>Skills!A14</f>
        <v/>
      </c>
      <c r="B1281">
        <f>Skills!B14</f>
        <v/>
      </c>
      <c r="C1281">
        <f>Inputs!$B$3&gt;=115</f>
        <v/>
      </c>
      <c r="D1281">
        <f>IF(Skills!C14=1,60+Inputs!$B$26+Inputs!$B$30,IF(Skills!C14=2,90+Inputs!$B$27+Inputs!$B$30,IF(Skills!C14=3,120+Inputs!$B$28+Inputs!$B$30,MAX(0,(Inputs!$B$3-100)*3)+Inputs!$B$29+Inputs!$B$30)))</f>
        <v/>
      </c>
      <c r="E1281">
        <f>INDEX(FactorTable!$B$2:$Y$301, MATCH(ROUND(MIN(300,MAX(1,D1281)),0), FactorTable!$A$2:$A$301,0), Skills!M14+1)</f>
        <v/>
      </c>
      <c r="F1281">
        <f>IF(Skills!N14=TRUE,(Skills!L14/10)*(E1281/1000),Skills!L14/10)+Skills!O14</f>
        <v/>
      </c>
      <c r="G1281">
        <f>Skills!G14*IF(Skills!H14&gt;0,Skills!I14/Skills!H14,1)</f>
        <v/>
      </c>
      <c r="H1281">
        <f>1-(1-Skills!J14/100)^Skills!K14</f>
        <v/>
      </c>
      <c r="I1281" t="inlineStr">
        <is>
          <t>1</t>
        </is>
      </c>
      <c r="J1281" t="inlineStr"/>
      <c r="K1281" t="inlineStr"/>
      <c r="L1281" t="inlineStr"/>
      <c r="M1281" t="inlineStr"/>
      <c r="N1281" t="inlineStr"/>
      <c r="O1281">
        <f>(1-Summary!$B$55)*T1281+Summary!$B$55*V1281</f>
        <v/>
      </c>
      <c r="P1281">
        <f>IF(B1306=0,0,O1281/B1306)</f>
        <v/>
      </c>
      <c r="Q1281">
        <f>IFERROR(1/IF(Inputs!$B$39="pvp",15,MAX(0.1,Skills!D14-IF(Skills!E14=TRUE,1.0,0))),0)</f>
        <v/>
      </c>
      <c r="R1281">
        <f>IF(AND(Inputs!$B$39&lt;&gt;"pvp",Inputs!$B$44&gt;0),IF(Inputs!$B$44&lt;=0,0,(INT(Inputs!$B$44/IF(Inputs!$B$39="pvp",15,MAX(0.1,Skills!D14-IF(Skills!E14=TRUE,1.0,0))))+1)),0)</f>
        <v/>
      </c>
      <c r="S1281">
        <f>IFERROR(O1281/N1281,0)</f>
        <v/>
      </c>
      <c r="T1281" t="n">
        <v>0</v>
      </c>
      <c r="V1281" t="n">
        <v>0</v>
      </c>
    </row>
    <row r="1282">
      <c r="A1282">
        <f>Skills!A15</f>
        <v/>
      </c>
      <c r="B1282">
        <f>Skills!B15</f>
        <v/>
      </c>
      <c r="C1282">
        <f>Inputs!$B$3&gt;=66</f>
        <v/>
      </c>
      <c r="D1282">
        <f>IF(Skills!C15=1,60+Inputs!$B$26+Inputs!$B$30,IF(Skills!C15=2,90+Inputs!$B$27+Inputs!$B$30,IF(Skills!C15=3,120+Inputs!$B$28+Inputs!$B$30,MAX(0,(Inputs!$B$3-100)*3)+Inputs!$B$29+Inputs!$B$30)))</f>
        <v/>
      </c>
      <c r="E1282">
        <f>INDEX(FactorTable!$B$2:$Y$301, MATCH(ROUND(MIN(300,MAX(1,D1282)),0), FactorTable!$A$2:$A$301,0), Skills!M15+1)</f>
        <v/>
      </c>
      <c r="F1282">
        <f>IF(Skills!N15=TRUE,(Skills!L15/10)*(E1282/1000),Skills!L15/10)+Skills!O15</f>
        <v/>
      </c>
      <c r="G1282">
        <f>Skills!G15*IF(Skills!H15&gt;0,Skills!I15/Skills!H15,1)</f>
        <v/>
      </c>
      <c r="H1282">
        <f>1-(1-Skills!J15/100)^Skills!K15</f>
        <v/>
      </c>
      <c r="I1282" t="inlineStr">
        <is>
          <t>1</t>
        </is>
      </c>
      <c r="J1282" t="inlineStr"/>
      <c r="K1282" t="inlineStr"/>
      <c r="L1282" t="inlineStr"/>
      <c r="M1282" t="inlineStr"/>
      <c r="N1282" t="inlineStr"/>
      <c r="O1282">
        <f>(1-Summary!$B$55)*T1282+Summary!$B$55*V1282</f>
        <v/>
      </c>
      <c r="P1282">
        <f>IF(B1306=0,0,O1282/B1306)</f>
        <v/>
      </c>
      <c r="Q1282">
        <f>IFERROR(1/IF(Inputs!$B$39="pvp",15,MAX(0.1,Skills!D15-IF(Skills!E15=TRUE,1.0,0))),0)</f>
        <v/>
      </c>
      <c r="R1282">
        <f>IF(AND(Inputs!$B$39&lt;&gt;"pvp",Inputs!$B$44&gt;0),IF(Inputs!$B$44&lt;=0,0,(INT(Inputs!$B$44/IF(Inputs!$B$39="pvp",15,MAX(0.1,Skills!D15-IF(Skills!E15=TRUE,1.0,0))))+1)),0)</f>
        <v/>
      </c>
      <c r="S1282">
        <f>IFERROR(O1282/N1282,0)</f>
        <v/>
      </c>
      <c r="T1282" t="n">
        <v>0</v>
      </c>
      <c r="V1282" t="n">
        <v>0</v>
      </c>
    </row>
    <row r="1283">
      <c r="A1283">
        <f>Skills!A16</f>
        <v/>
      </c>
      <c r="B1283">
        <f>Skills!B16</f>
        <v/>
      </c>
      <c r="C1283">
        <f>Inputs!$B$3&gt;=45</f>
        <v/>
      </c>
      <c r="D1283">
        <f>IF(Skills!C16=1,60+Inputs!$B$26+Inputs!$B$30,IF(Skills!C16=2,90+Inputs!$B$27+Inputs!$B$30,IF(Skills!C16=3,120+Inputs!$B$28+Inputs!$B$30,MAX(0,(Inputs!$B$3-100)*3)+Inputs!$B$29+Inputs!$B$30)))</f>
        <v/>
      </c>
      <c r="E1283">
        <f>INDEX(FactorTable!$B$2:$Y$301, MATCH(ROUND(MIN(300,MAX(1,D1283)),0), FactorTable!$A$2:$A$301,0), Skills!M16+1)</f>
        <v/>
      </c>
      <c r="F1283">
        <f>IF(Skills!N16=TRUE,(Skills!L16/10)*(E1283/1000),Skills!L16/10)+Skills!O16</f>
        <v/>
      </c>
      <c r="G1283">
        <f>Skills!G16*IF(Skills!H16&gt;0,Skills!I16/Skills!H16,1)</f>
        <v/>
      </c>
      <c r="H1283">
        <f>1-(1-Skills!J16/100)^Skills!K16</f>
        <v/>
      </c>
      <c r="I1283" t="inlineStr">
        <is>
          <t>1</t>
        </is>
      </c>
      <c r="J1283" t="inlineStr"/>
      <c r="K1283" t="inlineStr"/>
      <c r="L1283" t="inlineStr"/>
      <c r="M1283" t="inlineStr"/>
      <c r="N1283" t="inlineStr"/>
      <c r="O1283">
        <f>(1-Summary!$B$55)*T1283+Summary!$B$55*V1283</f>
        <v/>
      </c>
      <c r="P1283">
        <f>IF(B1306=0,0,O1283/B1306)</f>
        <v/>
      </c>
      <c r="Q1283">
        <f>IFERROR(1/IF(Inputs!$B$39="pvp",15,MAX(0.1,Skills!D16-IF(Skills!E16=TRUE,1.0,0))),0)</f>
        <v/>
      </c>
      <c r="R1283">
        <f>IF(AND(Inputs!$B$39&lt;&gt;"pvp",Inputs!$B$44&gt;0),IF(Inputs!$B$44&lt;=0,0,(INT(Inputs!$B$44/IF(Inputs!$B$39="pvp",15,MAX(0.1,Skills!D16-IF(Skills!E16=TRUE,1.0,0))))+1)),0)</f>
        <v/>
      </c>
      <c r="S1283">
        <f>IFERROR(O1283/N1283,0)</f>
        <v/>
      </c>
      <c r="T1283" t="n">
        <v>0</v>
      </c>
      <c r="V1283" t="n">
        <v>0</v>
      </c>
    </row>
    <row r="1284">
      <c r="A1284">
        <f>Skills!A17</f>
        <v/>
      </c>
      <c r="B1284">
        <f>Skills!B17</f>
        <v/>
      </c>
      <c r="C1284">
        <f>Inputs!$B$3&gt;=35</f>
        <v/>
      </c>
      <c r="D1284">
        <f>IF(Skills!C17=1,60+Inputs!$B$26+Inputs!$B$30,IF(Skills!C17=2,90+Inputs!$B$27+Inputs!$B$30,IF(Skills!C17=3,120+Inputs!$B$28+Inputs!$B$30,MAX(0,(Inputs!$B$3-100)*3)+Inputs!$B$29+Inputs!$B$30)))</f>
        <v/>
      </c>
      <c r="E1284">
        <f>INDEX(FactorTable!$B$2:$Y$301, MATCH(ROUND(MIN(300,MAX(1,D1284)),0), FactorTable!$A$2:$A$301,0), Skills!M17+1)</f>
        <v/>
      </c>
      <c r="F1284">
        <f>IF(Skills!N17=TRUE,(Skills!L17/10)*(E1284/1000),Skills!L17/10)+Skills!O17</f>
        <v/>
      </c>
      <c r="G1284">
        <f>Skills!G17*IF(Skills!H17&gt;0,Skills!I17/Skills!H17,1)</f>
        <v/>
      </c>
      <c r="H1284">
        <f>1-(1-Skills!J17/100)^Skills!K17</f>
        <v/>
      </c>
      <c r="I1284" t="inlineStr">
        <is>
          <t>1</t>
        </is>
      </c>
      <c r="J1284" t="inlineStr"/>
      <c r="K1284" t="inlineStr"/>
      <c r="L1284" t="inlineStr"/>
      <c r="M1284" t="inlineStr"/>
      <c r="N1284" t="inlineStr"/>
      <c r="O1284">
        <f>(1-Summary!$B$55)*T1284+Summary!$B$55*V1284</f>
        <v/>
      </c>
      <c r="P1284">
        <f>IF(B1306=0,0,O1284/B1306)</f>
        <v/>
      </c>
      <c r="Q1284">
        <f>IFERROR(1/IF(Inputs!$B$39="pvp",15,MAX(0.1,Skills!D17-IF(Skills!E17=TRUE,1.0,0))),0)</f>
        <v/>
      </c>
      <c r="R1284">
        <f>IF(AND(Inputs!$B$39&lt;&gt;"pvp",Inputs!$B$44&gt;0),IF(Inputs!$B$44&lt;=0,0,(INT(Inputs!$B$44/IF(Inputs!$B$39="pvp",15,MAX(0.1,Skills!D17-IF(Skills!E17=TRUE,1.0,0))))+1)),0)</f>
        <v/>
      </c>
      <c r="S1284">
        <f>IFERROR(O1284/N1284,0)</f>
        <v/>
      </c>
      <c r="T1284" t="n">
        <v>0</v>
      </c>
      <c r="V1284" t="n">
        <v>0</v>
      </c>
    </row>
    <row r="1285">
      <c r="A1285">
        <f>Skills!A18</f>
        <v/>
      </c>
      <c r="B1285">
        <f>Skills!B18</f>
        <v/>
      </c>
      <c r="C1285">
        <f>Inputs!$B$3&gt;=72</f>
        <v/>
      </c>
      <c r="D1285">
        <f>IF(Skills!C18=1,60+Inputs!$B$26+Inputs!$B$30,IF(Skills!C18=2,90+Inputs!$B$27+Inputs!$B$30,IF(Skills!C18=3,120+Inputs!$B$28+Inputs!$B$30,MAX(0,(Inputs!$B$3-100)*3)+Inputs!$B$29+Inputs!$B$30)))</f>
        <v/>
      </c>
      <c r="E1285">
        <f>INDEX(FactorTable!$B$2:$Y$301, MATCH(ROUND(MIN(300,MAX(1,D1285)),0), FactorTable!$A$2:$A$301,0), Skills!M18+1)</f>
        <v/>
      </c>
      <c r="F1285">
        <f>IF(Skills!N18=TRUE,(Skills!L18/10)*(E1285/1000),Skills!L18/10)+Skills!O18</f>
        <v/>
      </c>
      <c r="G1285">
        <f>Skills!G18*IF(Skills!H18&gt;0,Skills!I18/Skills!H18,1)</f>
        <v/>
      </c>
      <c r="H1285">
        <f>1-(1-Skills!J18/100)^Skills!K18</f>
        <v/>
      </c>
      <c r="I1285" t="inlineStr">
        <is>
          <t>1</t>
        </is>
      </c>
      <c r="J1285" t="inlineStr"/>
      <c r="K1285" t="inlineStr"/>
      <c r="L1285" t="inlineStr"/>
      <c r="M1285" t="inlineStr"/>
      <c r="N1285" t="inlineStr"/>
      <c r="O1285">
        <f>(1-Summary!$B$55)*T1285+Summary!$B$55*V1285</f>
        <v/>
      </c>
      <c r="P1285">
        <f>IF(B1306=0,0,O1285/B1306)</f>
        <v/>
      </c>
      <c r="Q1285">
        <f>IFERROR(1/IF(Inputs!$B$39="pvp",15,MAX(0.1,Skills!D18-IF(Skills!E18=TRUE,1.0,0))),0)</f>
        <v/>
      </c>
      <c r="R1285">
        <f>IF(AND(Inputs!$B$39&lt;&gt;"pvp",Inputs!$B$44&gt;0),IF(Inputs!$B$44&lt;=0,0,(INT(Inputs!$B$44/IF(Inputs!$B$39="pvp",15,MAX(0.1,Skills!D18-IF(Skills!E18=TRUE,1.0,0))))+1)),0)</f>
        <v/>
      </c>
      <c r="S1285">
        <f>IFERROR(O1285/N1285,0)</f>
        <v/>
      </c>
      <c r="T1285" t="n">
        <v>0</v>
      </c>
      <c r="V1285" t="n">
        <v>0</v>
      </c>
    </row>
    <row r="1286">
      <c r="A1286">
        <f>Skills!A19</f>
        <v/>
      </c>
      <c r="B1286">
        <f>Skills!B19</f>
        <v/>
      </c>
      <c r="C1286">
        <f>Inputs!$B$3&gt;=72</f>
        <v/>
      </c>
      <c r="D1286">
        <f>IF(Skills!C19=1,60+Inputs!$B$26+Inputs!$B$30,IF(Skills!C19=2,90+Inputs!$B$27+Inputs!$B$30,IF(Skills!C19=3,120+Inputs!$B$28+Inputs!$B$30,MAX(0,(Inputs!$B$3-100)*3)+Inputs!$B$29+Inputs!$B$30)))</f>
        <v/>
      </c>
      <c r="E1286">
        <f>INDEX(FactorTable!$B$2:$Y$301, MATCH(ROUND(MIN(300,MAX(1,D1286)),0), FactorTable!$A$2:$A$301,0), Skills!M19+1)</f>
        <v/>
      </c>
      <c r="F1286">
        <f>IF(Skills!N19=TRUE,(Skills!L19/10)*(E1286/1000),Skills!L19/10)+Skills!O19</f>
        <v/>
      </c>
      <c r="G1286">
        <f>Skills!G19*IF(Skills!H19&gt;0,Skills!I19/Skills!H19,1)</f>
        <v/>
      </c>
      <c r="H1286">
        <f>1-(1-Skills!J19/100)^Skills!K19</f>
        <v/>
      </c>
      <c r="I1286" t="inlineStr">
        <is>
          <t>1</t>
        </is>
      </c>
      <c r="J1286" t="inlineStr"/>
      <c r="K1286" t="inlineStr"/>
      <c r="L1286" t="inlineStr"/>
      <c r="M1286" t="inlineStr"/>
      <c r="N1286" t="inlineStr"/>
      <c r="O1286">
        <f>(1-Summary!$B$55)*T1286+Summary!$B$55*V1286</f>
        <v/>
      </c>
      <c r="P1286">
        <f>IF(B1306=0,0,O1286/B1306)</f>
        <v/>
      </c>
      <c r="Q1286">
        <f>IFERROR(1/IF(Inputs!$B$39="pvp",15,MAX(0.1,Skills!D19-IF(Skills!E19=TRUE,1.0,0))),0)</f>
        <v/>
      </c>
      <c r="R1286">
        <f>IF(AND(Inputs!$B$39&lt;&gt;"pvp",Inputs!$B$44&gt;0),IF(Inputs!$B$44&lt;=0,0,(INT(Inputs!$B$44/IF(Inputs!$B$39="pvp",15,MAX(0.1,Skills!D19-IF(Skills!E19=TRUE,1.0,0))))+1)),0)</f>
        <v/>
      </c>
      <c r="S1286">
        <f>IFERROR(O1286/N1286,0)</f>
        <v/>
      </c>
      <c r="T1286" t="n">
        <v>0</v>
      </c>
      <c r="V1286" t="n">
        <v>0</v>
      </c>
    </row>
    <row r="1287">
      <c r="A1287">
        <f>Skills!A20</f>
        <v/>
      </c>
      <c r="B1287">
        <f>Skills!B20</f>
        <v/>
      </c>
      <c r="C1287">
        <f>TRUE</f>
        <v/>
      </c>
      <c r="D1287">
        <f>IF(Skills!C20=1,60+Inputs!$B$26+Inputs!$B$30,IF(Skills!C20=2,90+Inputs!$B$27+Inputs!$B$30,IF(Skills!C20=3,120+Inputs!$B$28+Inputs!$B$30,MAX(0,(Inputs!$B$3-100)*3)+Inputs!$B$29+Inputs!$B$30)))</f>
        <v/>
      </c>
      <c r="E1287">
        <f>INDEX(FactorTable!$B$2:$Y$301, MATCH(ROUND(MIN(300,MAX(1,D1287)),0), FactorTable!$A$2:$A$301,0), Skills!M20+1)</f>
        <v/>
      </c>
      <c r="F1287">
        <f>IF(Skills!N20=TRUE,(Skills!L20/10)*(E1287/1000),Skills!L20/10)+Skills!O20</f>
        <v/>
      </c>
      <c r="G1287">
        <f>Skills!G20*IF(Skills!H20&gt;0,Skills!I20/Skills!H20,1)</f>
        <v/>
      </c>
      <c r="H1287">
        <f>1-(1-Skills!J20/100)^Skills!K20</f>
        <v/>
      </c>
      <c r="I1287" t="inlineStr">
        <is>
          <t>1</t>
        </is>
      </c>
      <c r="J1287" t="inlineStr"/>
      <c r="K1287" t="inlineStr"/>
      <c r="L1287" t="inlineStr"/>
      <c r="M1287" t="inlineStr"/>
      <c r="N1287" t="inlineStr"/>
      <c r="O1287">
        <f>(1-Summary!$B$55)*T1287+Summary!$B$55*V1287</f>
        <v/>
      </c>
      <c r="P1287">
        <f>IF(B1306=0,0,O1287/B1306)</f>
        <v/>
      </c>
      <c r="Q1287">
        <f>IFERROR(1/IF(Inputs!$B$39="pvp",15,MAX(0.1,Skills!D20-IF(Skills!E20=TRUE,1.0,0))),0)</f>
        <v/>
      </c>
      <c r="R1287">
        <f>IF(AND(Inputs!$B$39&lt;&gt;"pvp",Inputs!$B$44&gt;0),IF(Inputs!$B$44&lt;=0,0,(INT(Inputs!$B$44/IF(Inputs!$B$39="pvp",15,MAX(0.1,Skills!D20-IF(Skills!E20=TRUE,1.0,0))))+1)),0)</f>
        <v/>
      </c>
      <c r="S1287">
        <f>IFERROR(O1287/N1287,0)</f>
        <v/>
      </c>
      <c r="T1287" t="n">
        <v>0</v>
      </c>
      <c r="V1287" t="n">
        <v>0</v>
      </c>
    </row>
    <row r="1288">
      <c r="A1288">
        <f>Skills!A21</f>
        <v/>
      </c>
      <c r="B1288">
        <f>Skills!B21</f>
        <v/>
      </c>
      <c r="C1288">
        <f>Inputs!$B$3&gt;=33</f>
        <v/>
      </c>
      <c r="D1288">
        <f>IF(Skills!C21=1,60+Inputs!$B$26+Inputs!$B$30,IF(Skills!C21=2,90+Inputs!$B$27+Inputs!$B$30,IF(Skills!C21=3,120+Inputs!$B$28+Inputs!$B$30,MAX(0,(Inputs!$B$3-100)*3)+Inputs!$B$29+Inputs!$B$30)))</f>
        <v/>
      </c>
      <c r="E1288">
        <f>INDEX(FactorTable!$B$2:$Y$301, MATCH(ROUND(MIN(300,MAX(1,D1288)),0), FactorTable!$A$2:$A$301,0), Skills!M21+1)</f>
        <v/>
      </c>
      <c r="F1288">
        <f>IF(Skills!N21=TRUE,(Skills!L21/10)*(E1288/1000),Skills!L21/10)+Skills!O21</f>
        <v/>
      </c>
      <c r="G1288">
        <f>Skills!G21*IF(Skills!H21&gt;0,Skills!I21/Skills!H21,1)</f>
        <v/>
      </c>
      <c r="H1288">
        <f>1-(1-Skills!J21/100)^Skills!K21</f>
        <v/>
      </c>
      <c r="I1288" t="inlineStr">
        <is>
          <t>1</t>
        </is>
      </c>
      <c r="J1288" t="inlineStr"/>
      <c r="K1288" t="inlineStr"/>
      <c r="L1288" t="inlineStr"/>
      <c r="M1288" t="inlineStr"/>
      <c r="N1288" t="inlineStr"/>
      <c r="O1288">
        <f>(1-Summary!$B$55)*T1288+Summary!$B$55*V1288</f>
        <v/>
      </c>
      <c r="P1288">
        <f>IF(B1306=0,0,O1288/B1306)</f>
        <v/>
      </c>
      <c r="Q1288" t="n">
        <v>0</v>
      </c>
      <c r="R1288" t="n">
        <v>0</v>
      </c>
      <c r="S1288">
        <f>IFERROR(O1288/N1288,0)</f>
        <v/>
      </c>
      <c r="T1288" t="n">
        <v>0</v>
      </c>
      <c r="V1288" t="n">
        <v>0</v>
      </c>
    </row>
    <row r="1289">
      <c r="A1289">
        <f>Skills!A22</f>
        <v/>
      </c>
      <c r="B1289">
        <f>Skills!B22</f>
        <v/>
      </c>
      <c r="C1289">
        <f>Inputs!$B$3&gt;=43</f>
        <v/>
      </c>
      <c r="D1289">
        <f>IF(Skills!C22=1,60+Inputs!$B$26+Inputs!$B$30,IF(Skills!C22=2,90+Inputs!$B$27+Inputs!$B$30,IF(Skills!C22=3,120+Inputs!$B$28+Inputs!$B$30,MAX(0,(Inputs!$B$3-100)*3)+Inputs!$B$29+Inputs!$B$30)))</f>
        <v/>
      </c>
      <c r="E1289">
        <f>INDEX(FactorTable!$B$2:$Y$301, MATCH(ROUND(MIN(300,MAX(1,D1289)),0), FactorTable!$A$2:$A$301,0), Skills!M22+1)</f>
        <v/>
      </c>
      <c r="F1289">
        <f>IF(Skills!N22=TRUE,(Skills!L22/10)*(E1289/1000),Skills!L22/10)+Skills!O22</f>
        <v/>
      </c>
      <c r="G1289">
        <f>Skills!G22*IF(Skills!H22&gt;0,Skills!I22/Skills!H22,1)</f>
        <v/>
      </c>
      <c r="H1289">
        <f>1-(1-Skills!J22/100)^Skills!K22</f>
        <v/>
      </c>
      <c r="I1289" t="inlineStr">
        <is>
          <t>1</t>
        </is>
      </c>
      <c r="J1289" t="inlineStr"/>
      <c r="K1289" t="inlineStr"/>
      <c r="L1289" t="inlineStr"/>
      <c r="M1289" t="inlineStr"/>
      <c r="N1289" t="inlineStr"/>
      <c r="O1289">
        <f>(1-Summary!$B$55)*T1289+Summary!$B$55*V1289</f>
        <v/>
      </c>
      <c r="P1289">
        <f>IF(B1306=0,0,O1289/B1306)</f>
        <v/>
      </c>
      <c r="Q1289" t="n">
        <v>0</v>
      </c>
      <c r="R1289" t="n">
        <v>0</v>
      </c>
      <c r="S1289">
        <f>IFERROR(O1289/N1289,0)</f>
        <v/>
      </c>
      <c r="T1289" t="n">
        <v>0</v>
      </c>
      <c r="V1289" t="n">
        <v>0</v>
      </c>
    </row>
    <row r="1290">
      <c r="A1290">
        <f>Skills!A23</f>
        <v/>
      </c>
      <c r="B1290">
        <f>Skills!B23</f>
        <v/>
      </c>
      <c r="C1290">
        <f>Inputs!$B$3&gt;=120</f>
        <v/>
      </c>
      <c r="D1290">
        <f>IF(Skills!C23=1,60+Inputs!$B$26+Inputs!$B$30,IF(Skills!C23=2,90+Inputs!$B$27+Inputs!$B$30,IF(Skills!C23=3,120+Inputs!$B$28+Inputs!$B$30,MAX(0,(Inputs!$B$3-100)*3)+Inputs!$B$29+Inputs!$B$30)))</f>
        <v/>
      </c>
      <c r="E1290">
        <f>INDEX(FactorTable!$B$2:$Y$301, MATCH(ROUND(MIN(300,MAX(1,D1290)),0), FactorTable!$A$2:$A$301,0), Skills!M23+1)</f>
        <v/>
      </c>
      <c r="F1290">
        <f>IF(Skills!N23=TRUE,(Skills!L23/10)*(E1290/1000),Skills!L23/10)+Skills!O23</f>
        <v/>
      </c>
      <c r="G1290">
        <f>Skills!G23*IF(Skills!H23&gt;0,Skills!I23/Skills!H23,1)</f>
        <v/>
      </c>
      <c r="H1290">
        <f>1-(1-Skills!J23/100)^Skills!K23</f>
        <v/>
      </c>
      <c r="I1290" t="inlineStr">
        <is>
          <t>1</t>
        </is>
      </c>
      <c r="J1290" t="inlineStr"/>
      <c r="K1290" t="inlineStr"/>
      <c r="L1290" t="inlineStr"/>
      <c r="M1290" t="inlineStr"/>
      <c r="N1290" t="inlineStr"/>
      <c r="O1290">
        <f>(1-Summary!$B$55)*T1290+Summary!$B$55*V1290</f>
        <v/>
      </c>
      <c r="P1290">
        <f>IF(B1306=0,0,O1290/B1306)</f>
        <v/>
      </c>
      <c r="Q1290" t="n">
        <v>0</v>
      </c>
      <c r="R1290" t="n">
        <v>0</v>
      </c>
      <c r="S1290">
        <f>IFERROR(O1290/N1290,0)</f>
        <v/>
      </c>
      <c r="T1290" t="n">
        <v>0</v>
      </c>
      <c r="V1290" t="n">
        <v>0</v>
      </c>
    </row>
    <row r="1291">
      <c r="A1291">
        <f>Skills!A24</f>
        <v/>
      </c>
      <c r="B1291">
        <f>Skills!B24</f>
        <v/>
      </c>
      <c r="C1291">
        <f>Inputs!$B$3&gt;=120</f>
        <v/>
      </c>
      <c r="D1291">
        <f>IF(Skills!C24=1,60+Inputs!$B$26+Inputs!$B$30,IF(Skills!C24=2,90+Inputs!$B$27+Inputs!$B$30,IF(Skills!C24=3,120+Inputs!$B$28+Inputs!$B$30,MAX(0,(Inputs!$B$3-100)*3)+Inputs!$B$29+Inputs!$B$30)))</f>
        <v/>
      </c>
      <c r="E1291">
        <f>INDEX(FactorTable!$B$2:$Y$301, MATCH(ROUND(MIN(300,MAX(1,D1291)),0), FactorTable!$A$2:$A$301,0), Skills!M24+1)</f>
        <v/>
      </c>
      <c r="F1291">
        <f>IF(Skills!N24=TRUE,(Skills!L24/10)*(E1291/1000),Skills!L24/10)+Skills!O24</f>
        <v/>
      </c>
      <c r="G1291">
        <f>Skills!G24*IF(Skills!H24&gt;0,Skills!I24/Skills!H24,1)</f>
        <v/>
      </c>
      <c r="H1291">
        <f>1-(1-Skills!J24/100)^Skills!K24</f>
        <v/>
      </c>
      <c r="I1291" t="inlineStr">
        <is>
          <t>1</t>
        </is>
      </c>
      <c r="J1291" t="inlineStr"/>
      <c r="K1291" t="inlineStr"/>
      <c r="L1291" t="inlineStr"/>
      <c r="M1291" t="inlineStr"/>
      <c r="N1291" t="inlineStr"/>
      <c r="O1291">
        <f>(1-Summary!$B$55)*T1291+Summary!$B$55*V1291</f>
        <v/>
      </c>
      <c r="P1291">
        <f>IF(B1306=0,0,O1291/B1306)</f>
        <v/>
      </c>
      <c r="Q1291" t="n">
        <v>0</v>
      </c>
      <c r="R1291" t="n">
        <v>0</v>
      </c>
      <c r="S1291">
        <f>IFERROR(O1291/N1291,0)</f>
        <v/>
      </c>
      <c r="T1291" t="n">
        <v>0</v>
      </c>
      <c r="V1291" t="n">
        <v>0</v>
      </c>
    </row>
    <row r="1292">
      <c r="A1292">
        <f>Skills!A25</f>
        <v/>
      </c>
      <c r="B1292">
        <f>Skills!B25</f>
        <v/>
      </c>
      <c r="C1292">
        <f>Inputs!$B$3&gt;=125</f>
        <v/>
      </c>
      <c r="D1292">
        <f>IF(Skills!C25=1,60+Inputs!$B$26+Inputs!$B$30,IF(Skills!C25=2,90+Inputs!$B$27+Inputs!$B$30,IF(Skills!C25=3,120+Inputs!$B$28+Inputs!$B$30,MAX(0,(Inputs!$B$3-100)*3)+Inputs!$B$29+Inputs!$B$30)))</f>
        <v/>
      </c>
      <c r="E1292">
        <f>INDEX(FactorTable!$B$2:$Y$301, MATCH(ROUND(MIN(300,MAX(1,D1292)),0), FactorTable!$A$2:$A$301,0), Skills!M25+1)</f>
        <v/>
      </c>
      <c r="F1292">
        <f>IF(Skills!N25=TRUE,(Skills!L25/10)*(E1292/1000),Skills!L25/10)+Skills!O25</f>
        <v/>
      </c>
      <c r="G1292">
        <f>Skills!G25*IF(Skills!H25&gt;0,Skills!I25/Skills!H25,1)</f>
        <v/>
      </c>
      <c r="H1292">
        <f>1-(1-Skills!J25/100)^Skills!K25</f>
        <v/>
      </c>
      <c r="I1292" t="inlineStr">
        <is>
          <t>1</t>
        </is>
      </c>
      <c r="J1292" t="inlineStr"/>
      <c r="K1292" t="inlineStr"/>
      <c r="L1292" t="inlineStr"/>
      <c r="M1292" t="inlineStr"/>
      <c r="N1292" t="inlineStr"/>
      <c r="O1292">
        <f>(1-Summary!$B$55)*T1292+Summary!$B$55*V1292</f>
        <v/>
      </c>
      <c r="P1292">
        <f>IF(B1306=0,0,O1292/B1306)</f>
        <v/>
      </c>
      <c r="Q1292" t="n">
        <v>0</v>
      </c>
      <c r="R1292" t="n">
        <v>0</v>
      </c>
      <c r="S1292">
        <f>IFERROR(O1292/N1292,0)</f>
        <v/>
      </c>
      <c r="T1292" t="n">
        <v>0</v>
      </c>
      <c r="V1292" t="n">
        <v>0</v>
      </c>
    </row>
    <row r="1293">
      <c r="A1293">
        <f>Skills!A26</f>
        <v/>
      </c>
      <c r="B1293">
        <f>Skills!B26</f>
        <v/>
      </c>
      <c r="C1293">
        <f>Inputs!$B$3&gt;=107</f>
        <v/>
      </c>
      <c r="D1293">
        <f>IF(Skills!C26=1,60+Inputs!$B$26+Inputs!$B$30,IF(Skills!C26=2,90+Inputs!$B$27+Inputs!$B$30,IF(Skills!C26=3,120+Inputs!$B$28+Inputs!$B$30,MAX(0,(Inputs!$B$3-100)*3)+Inputs!$B$29+Inputs!$B$30)))</f>
        <v/>
      </c>
      <c r="E1293">
        <f>INDEX(FactorTable!$B$2:$Y$301, MATCH(ROUND(MIN(300,MAX(1,D1293)),0), FactorTable!$A$2:$A$301,0), Skills!M26+1)</f>
        <v/>
      </c>
      <c r="F1293">
        <f>IF(Skills!N26=TRUE,(Skills!L26/10)*(E1293/1000),Skills!L26/10)+Skills!O26</f>
        <v/>
      </c>
      <c r="G1293">
        <f>Skills!G26*IF(Skills!H26&gt;0,Skills!I26/Skills!H26,1)</f>
        <v/>
      </c>
      <c r="H1293">
        <f>1-(1-Skills!J26/100)^Skills!K26</f>
        <v/>
      </c>
      <c r="I1293" t="inlineStr">
        <is>
          <t>1</t>
        </is>
      </c>
      <c r="J1293" t="inlineStr"/>
      <c r="K1293" t="inlineStr"/>
      <c r="L1293" t="inlineStr"/>
      <c r="M1293" t="inlineStr"/>
      <c r="N1293" t="inlineStr"/>
      <c r="O1293">
        <f>(1-Summary!$B$55)*T1293+Summary!$B$55*V1293</f>
        <v/>
      </c>
      <c r="P1293">
        <f>IF(B1306=0,0,O1293/B1306)</f>
        <v/>
      </c>
      <c r="Q1293" t="n">
        <v>0</v>
      </c>
      <c r="R1293" t="n">
        <v>0</v>
      </c>
      <c r="S1293">
        <f>IFERROR(O1293/N1293,0)</f>
        <v/>
      </c>
      <c r="T1293" t="n">
        <v>0</v>
      </c>
      <c r="V1293" t="n">
        <v>0</v>
      </c>
    </row>
    <row r="1295">
      <c r="A1295" t="inlineStr">
        <is>
          <t>Attack% Bucket Multiplier</t>
        </is>
      </c>
      <c r="B1295">
        <f>(1+(((C1280=TRUE)*F1280*IF(AND(Inputs!$B$39&lt;&gt;"pvp",Inputs!$B$44&gt;0),(((R1280-1)*(Skills!T13*(1+Inputs!$B$35/100))+MIN((Skills!T13*(1+Inputs!$B$35/100)),MAX(0,Inputs!$B$44-((R1280-1)*Skills!D13))))/Inputs!$B$44),IF(Inputs!$B$39="pvp",MIN((Skills!T13*(1+Inputs!$B$35/100)),15)/15,(Skills!T13*(1+Inputs!$B$35/100))/Skills!D13)))+((C1281=TRUE)*F1281*IF(AND(Inputs!$B$39&lt;&gt;"pvp",Inputs!$B$44&gt;0),(((R1281-1)*(Skills!T14*(1+Inputs!$B$35/100))+MIN((Skills!T14*(1+Inputs!$B$35/100)),MAX(0,Inputs!$B$44-((R1281-1)*Skills!D14))))/Inputs!$B$44),IF(Inputs!$B$39="pvp",MIN((Skills!T14*(1+Inputs!$B$35/100)),15)/15,(Skills!T14*(1+Inputs!$B$35/100))/Skills!D14)))+((C1282=TRUE)*F1282*IF(AND(Inputs!$B$39&lt;&gt;"pvp",Inputs!$B$44&gt;0),(((R1282-1)*(Skills!T15*(1+Inputs!$B$35/100))+MIN((Skills!T15*(1+Inputs!$B$35/100)),MAX(0,Inputs!$B$44-((R1282-1)*Skills!D15))))/Inputs!$B$44),IF(Inputs!$B$39="pvp",MIN((Skills!T15*(1+Inputs!$B$35/100)),15)/15,(Skills!T15*(1+Inputs!$B$35/100))/Skills!D15)))+((C1283=TRUE)*F1283*IF(AND(Inputs!$B$39&lt;&gt;"pvp",Inputs!$B$44&gt;0),(((R1283-1)*(Skills!T16*(1+Inputs!$B$35/100))+MIN((Skills!T16*(1+Inputs!$B$35/100)),MAX(0,Inputs!$B$44-((R1283-1)*Skills!D16))))/Inputs!$B$44),IF(Inputs!$B$39="pvp",MIN((Skills!T16*(1+Inputs!$B$35/100)),15)/15,(Skills!T16*(1+Inputs!$B$35/100))/Skills!D16)))+0)/100)</f>
        <v/>
      </c>
    </row>
    <row r="1296">
      <c r="A1296" t="inlineStr">
        <is>
          <t>Global Crit Rate Bonus % (Lord of Darkness)</t>
        </is>
      </c>
      <c r="B1296">
        <f>((C1285=TRUE)*F1285*(Skills!J18/100)*IF(AND(Inputs!$B$39&lt;&gt;"pvp",Inputs!$B$44&gt;0),(((R1285-1)*(Skills!T18*(1+Inputs!$B$35/100))+MIN((Skills!T18*(1+Inputs!$B$35/100)),MAX(0,Inputs!$B$44-((R1285-1)*Skills!D18))))/Inputs!$B$44),IF(Inputs!$B$39="pvp",MIN((Skills!T18*(1+Inputs!$B$35/100)),15)/15,(Skills!T18*(1+Inputs!$B$35/100))/Skills!D18)))</f>
        <v/>
      </c>
    </row>
    <row r="1297">
      <c r="A1297" t="inlineStr">
        <is>
          <t>Attack Speed Buff Bonus %</t>
        </is>
      </c>
      <c r="B1297">
        <f>((C1287=TRUE)*F1287*IF(AND(Inputs!$B$39&lt;&gt;"pvp",Inputs!$B$44&gt;0),(((R1287-1)*(Skills!T20*(1+Inputs!$B$35/100))+MIN((Skills!T20*(1+Inputs!$B$35/100)),MAX(0,Inputs!$B$44-((R1287-1)*Skills!D20))))/Inputs!$B$44),IF(Inputs!$B$39="pvp",MIN((Skills!T20*(1+Inputs!$B$35/100)),15)/15,(Skills!T20*(1+Inputs!$B$35/100))/Skills!D20)))</f>
        <v/>
      </c>
    </row>
    <row r="1298">
      <c r="A1298" t="inlineStr">
        <is>
          <t>Actions Per Second</t>
        </is>
      </c>
      <c r="B1298">
        <f>1+MIN(150,150*(1-(1-(Inputs!$B$12+((C1288=TRUE)*(F1288-Calc!F21)))/150)*(1-B1297/150)))/100</f>
        <v/>
      </c>
    </row>
    <row r="1299">
      <c r="A1299" t="inlineStr">
        <is>
          <t>Skill + Buff Cast Rate</t>
        </is>
      </c>
      <c r="B1299">
        <f>IF(AND(Inputs!$B$39&lt;&gt;"pvp",Inputs!$B$44&gt;0),SUMPRODUCT((Skills!E2:E26=TRUE)*(C1269:C1293=TRUE)*R1269:R1293*Skills!F2:F26)/Inputs!$B$44,SUMPRODUCT((Skills!E2:E26=TRUE)*(C1269:C1293=TRUE)*Q1269:Q1293*Skills!F2:F26))</f>
        <v/>
      </c>
    </row>
    <row r="1300">
      <c r="A1300" t="inlineStr">
        <is>
          <t>Dark Impale Casts Per Second</t>
        </is>
      </c>
      <c r="B1300">
        <f>MAX(0,B1298-B1299)</f>
        <v/>
      </c>
    </row>
    <row r="1301">
      <c r="A1301" t="inlineStr">
        <is>
          <t>Global Critical Damage Bonus % (Lord of Darkness)</t>
        </is>
      </c>
      <c r="B1301">
        <f>((C1286=TRUE)*F1286*(Skills!J19/100)*IF(AND(Inputs!$B$39&lt;&gt;"pvp",Inputs!$B$44&gt;0),(((R1286-1)*(Skills!T19*(1+Inputs!$B$35/100))+MIN((Skills!T19*(1+Inputs!$B$35/100)),MAX(0,Inputs!$B$44-((R1286-1)*Skills!D19))))/Inputs!$B$44),IF(Inputs!$B$39="pvp",MIN((Skills!T19*(1+Inputs!$B$35/100)),15)/15,(Skills!T19*(1+Inputs!$B$35/100))/Skills!D19)))</f>
        <v/>
      </c>
    </row>
    <row r="1302">
      <c r="A1302" t="inlineStr">
        <is>
          <t>Global Final Damage Bonus % (unused)</t>
        </is>
      </c>
      <c r="B1302" t="n">
        <v>0</v>
      </c>
    </row>
    <row r="1303">
      <c r="A1303" t="inlineStr">
        <is>
          <t>Buff-Casting Startup Delay (s, fixed-duration only)</t>
        </is>
      </c>
      <c r="B1303">
        <f>IF(AND(Inputs!$B$39&lt;&gt;"pvp",Inputs!$B$44&gt;0),SUMPRODUCT((Skills!T2:T26&gt;0)*(Skills!E2:E26=TRUE)*(C1269:C1293=TRUE))/B1298,0)</f>
        <v/>
      </c>
    </row>
    <row r="1304">
      <c r="A1304" t="inlineStr">
        <is>
          <t>Boss-Only Total DPS (this block's swept value)</t>
        </is>
      </c>
      <c r="B1304">
        <f>SUM(T1269:T1293)</f>
        <v/>
      </c>
    </row>
    <row r="1305">
      <c r="A1305" t="inlineStr">
        <is>
          <t>Normal-Only Total DPS (this block's swept value)</t>
        </is>
      </c>
      <c r="B1305">
        <f>SUM(V1269:V1293)</f>
        <v/>
      </c>
    </row>
    <row r="1306">
      <c r="A1306" s="5" t="inlineStr">
        <is>
          <t>TOTAL DPS</t>
        </is>
      </c>
      <c r="B1306" s="5">
        <f>SUM(O1269:O1293)</f>
        <v/>
      </c>
    </row>
    <row r="1309">
      <c r="A1309" s="5" t="inlineStr">
        <is>
          <t>Stat: CDR = 1.5s</t>
        </is>
      </c>
    </row>
    <row r="1310">
      <c r="A1310" s="9" t="inlineStr">
        <is>
          <t>Key</t>
        </is>
      </c>
      <c r="B1310" s="9" t="inlineStr">
        <is>
          <t>Name</t>
        </is>
      </c>
      <c r="C1310" s="9" t="inlineStr">
        <is>
          <t>Unlocked</t>
        </is>
      </c>
      <c r="D1310" s="9" t="inlineStr">
        <is>
          <t>InputLevel</t>
        </is>
      </c>
      <c r="E1310" s="9" t="inlineStr">
        <is>
          <t>Factor</t>
        </is>
      </c>
      <c r="F1310" s="9" t="inlineStr">
        <is>
          <t>CoefficientPercent</t>
        </is>
      </c>
      <c r="G1310" s="9" t="inlineStr">
        <is>
          <t>EffectiveHits</t>
        </is>
      </c>
      <c r="H1310" s="9" t="inlineStr">
        <is>
          <t>ProcProbability</t>
        </is>
      </c>
      <c r="I1310" s="9" t="inlineStr">
        <is>
          <t>MapleHeroMultiplier</t>
        </is>
      </c>
      <c r="J1310" s="9" t="inlineStr">
        <is>
          <t>BaseDamage</t>
        </is>
      </c>
      <c r="K1310" s="9" t="inlineStr">
        <is>
          <t>BaseHitDamage</t>
        </is>
      </c>
      <c r="L1310" s="9" t="inlineStr">
        <is>
          <t>NonCritAvg</t>
        </is>
      </c>
      <c r="M1310" s="9" t="inlineStr">
        <is>
          <t>CritAvg</t>
        </is>
      </c>
      <c r="N1310" s="9" t="inlineStr">
        <is>
          <t>ExpectedDamage(perHit)</t>
        </is>
      </c>
      <c r="O1310" s="9" t="inlineStr">
        <is>
          <t>DPS</t>
        </is>
      </c>
      <c r="P1310" s="9" t="inlineStr">
        <is>
          <t>% of Total</t>
        </is>
      </c>
      <c r="Q1310" s="9" t="inlineStr">
        <is>
          <t>InvCooldown</t>
        </is>
      </c>
      <c r="R1310" s="9" t="inlineStr">
        <is>
          <t>CastsInFight</t>
        </is>
      </c>
      <c r="S1310" s="9" t="inlineStr">
        <is>
          <t>HitRate(perSec)</t>
        </is>
      </c>
      <c r="U1310" t="inlineStr">
        <is>
          <t>helpers</t>
        </is>
      </c>
    </row>
    <row r="1311">
      <c r="A1311">
        <f>Skills!A2</f>
        <v/>
      </c>
      <c r="B1311">
        <f>Skills!B2</f>
        <v/>
      </c>
      <c r="C1311">
        <f>Inputs!$B$3&gt;=100</f>
        <v/>
      </c>
      <c r="D1311" t="inlineStr"/>
      <c r="E1311" t="inlineStr"/>
      <c r="F1311">
        <f>U1313+Skills!O2</f>
        <v/>
      </c>
      <c r="G1311">
        <f>Skills!G2*IF(Skills!H2&gt;0,Skills!I2/Skills!H2,1)</f>
        <v/>
      </c>
      <c r="H1311">
        <f>1-(1-Skills!J2/100)^Skills!K2</f>
        <v/>
      </c>
      <c r="I1311" t="inlineStr">
        <is>
          <t>1</t>
        </is>
      </c>
      <c r="J1311">
        <f>((Inputs!$B$6*(1+Inputs!$B$7/100))+(((Inputs!$B$13*(1+Inputs!$B$14/100))-(Inputs!$B$13*(1+Inputs!$B$14/100)))+0.25*(Inputs!$B$15-Inputs!$B$15))*(1+Inputs!$B$7/100))*(F1311/100)</f>
        <v/>
      </c>
      <c r="K1311">
        <f>J1311*(1+(((Inputs!$B$13+IF(Inputs!$B$3&gt;=38,(10*INDEX(FactorTable!$B$2:$Y$301, MATCH(ROUND(MIN(300,MAX(1,Inputs!$B$3)),0), FactorTable!$A$2:$A$301,0), 23)/1000)/100*(Inputs!$B$8*(1+Inputs!$B$9/100)),0))*(1+Inputs!$B$14/100))*0.01+Inputs!$B$15*0.0025)/100)*(1+Inputs!$B$16/100)*(1+Inputs!$B$17/100)*(5000/(6000+Inputs!$B$43*(1-(Inputs!$B$20+0)/100)))*(1+(Inputs!$B$25+((C1334=TRUE)*(F1334-Calc!F25))+((C1335=TRUE)*(F1335-Calc!F26))+B1344)/100)*(1+(IF(Skills!A2="DARK_IMPALE",Inputs!$B$18+0,Inputs!$B$19+((C1332=TRUE)*(F1332-Calc!F23))))/100)*((1+(((C1322=TRUE)*F1322*IF(AND(Inputs!$B$39&lt;&gt;"pvp",Inputs!$B$44&gt;0),(((R1322-1)*(Skills!T13*(1+Inputs!$B$35/100))+MIN((Skills!T13*(1+Inputs!$B$35/100)),MAX(0,Inputs!$B$44-((R1322-1)*Skills!D13))))/Inputs!$B$44),IF(Inputs!$B$39="pvp",MIN((Skills!T13*(1+Inputs!$B$35/100)),15)/15,(Skills!T13*(1+Inputs!$B$35/100))/Skills!D13)))+((C1323=TRUE)*F1323*IF(AND(Inputs!$B$39&lt;&gt;"pvp",Inputs!$B$44&gt;0),(((R1323-1)*(Skills!T14*(1+Inputs!$B$35/100))+MIN((Skills!T14*(1+Inputs!$B$35/100)),MAX(0,Inputs!$B$44-((R1323-1)*Skills!D14))))/Inputs!$B$44),IF(Inputs!$B$39="pvp",MIN((Skills!T14*(1+Inputs!$B$35/100)),15)/15,(Skills!T14*(1+Inputs!$B$35/100))/Skills!D14)))+((C1324=TRUE)*F1324*IF(AND(Inputs!$B$39&lt;&gt;"pvp",Inputs!$B$44&gt;0),(((R1324-1)*(Skills!T15*(1+Inputs!$B$35/100))+MIN((Skills!T15*(1+Inputs!$B$35/100)),MAX(0,Inputs!$B$44-((R1324-1)*Skills!D15))))/Inputs!$B$44),IF(Inputs!$B$39="pvp",MIN((Skills!T15*(1+Inputs!$B$35/100)),15)/15,(Skills!T15*(1+Inputs!$B$35/100))/Skills!D15)))+((C1325=TRUE)*F1325*IF(AND(Inputs!$B$39&lt;&gt;"pvp",Inputs!$B$44&gt;0),(((R1325-1)*(Skills!T16*(1+Inputs!$B$35/100))+MIN((Skills!T16*(1+Inputs!$B$35/100)),MAX(0,Inputs!$B$44-((R1325-1)*Skills!D16))))/Inputs!$B$44),IF(Inputs!$B$39="pvp",MIN((Skills!T16*(1+Inputs!$B$35/100)),15)/15,(Skills!T16*(1+Inputs!$B$35/100))/Skills!D16)))+0)/100)*I1311)</f>
        <v/>
      </c>
      <c r="L1311">
        <f>K1311*(MIN(Inputs!$B$23+((C1331=TRUE)*(F1331-Calc!F22)),Inputs!$B$24+((C1333=TRUE)*(F1333-Calc!F24)))/100+(Inputs!$B$24+((C1333=TRUE)*(F1333-Calc!F24)))/100)/2</f>
        <v/>
      </c>
      <c r="M1311">
        <f>L1311*(1+(Inputs!$B$11+0+B1343)/100)</f>
        <v/>
      </c>
      <c r="N1311">
        <f>L1311*(1-MIN((Inputs!$B$10+0+B1338),100)/100)+M1311*(MIN((Inputs!$B$10+0+B1338),100)/100)</f>
        <v/>
      </c>
      <c r="O1311">
        <f>(1-Summary!$B$55)*T1311+Summary!$B$55*V1311</f>
        <v/>
      </c>
      <c r="P1311">
        <f>IF(B1348=0,0,O1311/B1348)</f>
        <v/>
      </c>
      <c r="Q1311" t="n">
        <v>0</v>
      </c>
      <c r="R1311" t="n">
        <v>0</v>
      </c>
      <c r="S1311">
        <f>IFERROR(O1311/N1311,0)</f>
        <v/>
      </c>
      <c r="T1311">
        <f>IF(C1311,(Skills!G2*N1311*B1342)*IF(Inputs!$B$39="pvp",1,1+(Inputs!$B$21+0+Skills!P2+((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0)</f>
        <v/>
      </c>
      <c r="U1311">
        <f>MAX(0,(Inputs!$B$3-100)*3)+Inputs!$B$29+Inputs!$B$30</f>
        <v/>
      </c>
      <c r="V1311">
        <f>IF(C1311,(Skills!G2*N1311*B1342)*IF(Inputs!$B$39="pvp",1,(1+(Inputs!$B$22+Skills!Q2+((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MIN((6+Inputs!$B$34),Inputs!$B$38))),0)</f>
        <v/>
      </c>
    </row>
    <row r="1312">
      <c r="A1312">
        <f>Skills!A3</f>
        <v/>
      </c>
      <c r="B1312">
        <f>Skills!B3</f>
        <v/>
      </c>
      <c r="C1312">
        <f>Inputs!$B$3&gt;=50</f>
        <v/>
      </c>
      <c r="D1312">
        <f>IF(Skills!C3=1,60+Inputs!$B$26+Inputs!$B$30,IF(Skills!C3=2,90+Inputs!$B$27+Inputs!$B$30,IF(Skills!C3=3,120+Inputs!$B$28+Inputs!$B$30,MAX(0,(Inputs!$B$3-100)*3)+Inputs!$B$29+Inputs!$B$30)))</f>
        <v/>
      </c>
      <c r="E1312">
        <f>INDEX(FactorTable!$B$2:$Y$301, MATCH(ROUND(MIN(300,MAX(1,D1312)),0), FactorTable!$A$2:$A$301,0), Skills!M3+1)</f>
        <v/>
      </c>
      <c r="F1312">
        <f>IF(Skills!N3=TRUE,(Skills!L3/10)*(E1312/1000),Skills!L3/10)+Skills!O3</f>
        <v/>
      </c>
      <c r="G1312" t="inlineStr"/>
      <c r="H1312" t="inlineStr"/>
      <c r="I1312" t="inlineStr">
        <is>
          <t>1</t>
        </is>
      </c>
      <c r="J1312" t="inlineStr"/>
      <c r="K1312" t="inlineStr"/>
      <c r="L1312" t="inlineStr"/>
      <c r="M1312" t="inlineStr"/>
      <c r="N1312" t="inlineStr"/>
      <c r="O1312" t="inlineStr"/>
      <c r="P1312" t="inlineStr"/>
      <c r="Q1312" t="inlineStr"/>
      <c r="R1312" t="inlineStr"/>
      <c r="S1312" t="inlineStr"/>
      <c r="U1312">
        <f>INDEX(FactorTable!$B$2:$Y$301, MATCH(ROUND(MIN(300,MAX(1,U1311)),0), FactorTable!$A$2:$A$301,0), 22)</f>
        <v/>
      </c>
    </row>
    <row r="1313">
      <c r="A1313">
        <f>Skills!A4</f>
        <v/>
      </c>
      <c r="B1313">
        <f>Skills!B4</f>
        <v/>
      </c>
      <c r="C1313">
        <f>Inputs!$B$3&gt;=105</f>
        <v/>
      </c>
      <c r="D1313">
        <f>IF(Skills!C4=1,60+Inputs!$B$26+Inputs!$B$30,IF(Skills!C4=2,90+Inputs!$B$27+Inputs!$B$30,IF(Skills!C4=3,120+Inputs!$B$28+Inputs!$B$30,MAX(0,(Inputs!$B$3-100)*3)+Inputs!$B$29+Inputs!$B$30)))</f>
        <v/>
      </c>
      <c r="E1313">
        <f>INDEX(FactorTable!$B$2:$Y$301, MATCH(ROUND(MIN(300,MAX(1,D1313)),0), FactorTable!$A$2:$A$301,0), Skills!M4+1)</f>
        <v/>
      </c>
      <c r="F1313">
        <f>IF(Skills!N4=TRUE,(Skills!L4/10)*(E1313/1000),Skills!L4/10)+Skills!O4</f>
        <v/>
      </c>
      <c r="G1313" t="inlineStr"/>
      <c r="H1313" t="inlineStr"/>
      <c r="I1313" t="inlineStr">
        <is>
          <t>1</t>
        </is>
      </c>
      <c r="J1313" t="inlineStr"/>
      <c r="K1313" t="inlineStr"/>
      <c r="L1313" t="inlineStr"/>
      <c r="M1313" t="inlineStr"/>
      <c r="N1313" t="inlineStr"/>
      <c r="O1313" t="inlineStr"/>
      <c r="P1313" t="inlineStr"/>
      <c r="Q1313" t="inlineStr"/>
      <c r="R1313" t="inlineStr"/>
      <c r="S1313" t="inlineStr"/>
      <c r="U1313">
        <f>290*U1312/1000</f>
        <v/>
      </c>
    </row>
    <row r="1314">
      <c r="A1314">
        <f>Skills!A5</f>
        <v/>
      </c>
      <c r="B1314">
        <f>Skills!B5</f>
        <v/>
      </c>
      <c r="C1314">
        <f>Inputs!$B$3&gt;=117</f>
        <v/>
      </c>
      <c r="D1314">
        <f>IF(Skills!C5=1,60+Inputs!$B$26+Inputs!$B$30,IF(Skills!C5=2,90+Inputs!$B$27+Inputs!$B$30,IF(Skills!C5=3,120+Inputs!$B$28+Inputs!$B$30,MAX(0,(Inputs!$B$3-100)*3)+Inputs!$B$29+Inputs!$B$30)))</f>
        <v/>
      </c>
      <c r="E1314">
        <f>INDEX(FactorTable!$B$2:$Y$301, MATCH(ROUND(MIN(300,MAX(1,D1314)),0), FactorTable!$A$2:$A$301,0), Skills!M5+1)</f>
        <v/>
      </c>
      <c r="F1314">
        <f>IF(Skills!N5=TRUE,(Skills!L5/10)*(E1314/1000),Skills!L5/10)+Skills!O5</f>
        <v/>
      </c>
      <c r="G1314">
        <f>Skills!G5*IF(Skills!H5&gt;0,Skills!I5/Skills!H5,1)</f>
        <v/>
      </c>
      <c r="H1314">
        <f>1-(1-Skills!J5/100)^Skills!K5</f>
        <v/>
      </c>
      <c r="I1314" t="inlineStr">
        <is>
          <t>1</t>
        </is>
      </c>
      <c r="J1314">
        <f>((Inputs!$B$6*(1+Inputs!$B$7/100))+(((Inputs!$B$13*(1+Inputs!$B$14/100))-(Inputs!$B$13*(1+Inputs!$B$14/100)))+0.25*(Inputs!$B$15-Inputs!$B$15))*(1+Inputs!$B$7/100))*(F1314/100)</f>
        <v/>
      </c>
      <c r="K1314">
        <f>J1314*(1+(((Inputs!$B$13+IF(Inputs!$B$3&gt;=38,(10*INDEX(FactorTable!$B$2:$Y$301, MATCH(ROUND(MIN(300,MAX(1,Inputs!$B$3)),0), FactorTable!$A$2:$A$301,0), 23)/1000)/100*(Inputs!$B$8*(1+Inputs!$B$9/100)),0))*(1+Inputs!$B$14/100))*0.01+Inputs!$B$15*0.0025)/100)*(1+Inputs!$B$16/100)*(1+Inputs!$B$17/100)*(5000/(6000+Inputs!$B$43*(1-(Inputs!$B$20+0)/100)))*(1+(Inputs!$B$25+((C1334=TRUE)*(F1334-Calc!F25))+((C1335=TRUE)*(F1335-Calc!F26))+B1344)/100)*(1+(IF(Skills!A5="DARK_IMPALE",Inputs!$B$18+0,Inputs!$B$19+((C1332=TRUE)*(F1332-Calc!F23))))/100)*((1+(((C1322=TRUE)*F1322*IF(AND(Inputs!$B$39&lt;&gt;"pvp",Inputs!$B$44&gt;0),(((R1322-1)*(Skills!T13*(1+Inputs!$B$35/100))+MIN((Skills!T13*(1+Inputs!$B$35/100)),MAX(0,Inputs!$B$44-((R1322-1)*Skills!D13))))/Inputs!$B$44),IF(Inputs!$B$39="pvp",MIN((Skills!T13*(1+Inputs!$B$35/100)),15)/15,(Skills!T13*(1+Inputs!$B$35/100))/Skills!D13)))+((C1323=TRUE)*F1323*IF(AND(Inputs!$B$39&lt;&gt;"pvp",Inputs!$B$44&gt;0),(((R1323-1)*(Skills!T14*(1+Inputs!$B$35/100))+MIN((Skills!T14*(1+Inputs!$B$35/100)),MAX(0,Inputs!$B$44-((R1323-1)*Skills!D14))))/Inputs!$B$44),IF(Inputs!$B$39="pvp",MIN((Skills!T14*(1+Inputs!$B$35/100)),15)/15,(Skills!T14*(1+Inputs!$B$35/100))/Skills!D14)))+((C1324=TRUE)*F1324*IF(AND(Inputs!$B$39&lt;&gt;"pvp",Inputs!$B$44&gt;0),(((R1324-1)*(Skills!T15*(1+Inputs!$B$35/100))+MIN((Skills!T15*(1+Inputs!$B$35/100)),MAX(0,Inputs!$B$44-((R1324-1)*Skills!D15))))/Inputs!$B$44),IF(Inputs!$B$39="pvp",MIN((Skills!T15*(1+Inputs!$B$35/100)),15)/15,(Skills!T15*(1+Inputs!$B$35/100))/Skills!D15)))+((C1325=TRUE)*F1325*IF(AND(Inputs!$B$39&lt;&gt;"pvp",Inputs!$B$44&gt;0),(((R1325-1)*(Skills!T16*(1+Inputs!$B$35/100))+MIN((Skills!T16*(1+Inputs!$B$35/100)),MAX(0,Inputs!$B$44-((R1325-1)*Skills!D16))))/Inputs!$B$44),IF(Inputs!$B$39="pvp",MIN((Skills!T16*(1+Inputs!$B$35/100)),15)/15,(Skills!T16*(1+Inputs!$B$35/100))/Skills!D16)))+0)/100)*I1314)</f>
        <v/>
      </c>
      <c r="L1314">
        <f>K1314*(MIN(Inputs!$B$23+((C1331=TRUE)*(F1331-Calc!F22)),Inputs!$B$24+((C1333=TRUE)*(F1333-Calc!F24)))/100+(Inputs!$B$24+((C1333=TRUE)*(F1333-Calc!F24)))/100)/2</f>
        <v/>
      </c>
      <c r="M1314">
        <f>L1314*(1+(Inputs!$B$11+0+B1343)/100)</f>
        <v/>
      </c>
      <c r="N1314">
        <f>L1314*(1-MIN((Inputs!$B$10+0+B1338),100)/100)+M1314*(MIN((Inputs!$B$10+0+B1338),100)/100)</f>
        <v/>
      </c>
      <c r="O1314">
        <f>(1-Summary!$B$55)*T1314+Summary!$B$55*V1314</f>
        <v/>
      </c>
      <c r="P1314">
        <f>IF(B1348=0,0,O1314/B1348)</f>
        <v/>
      </c>
      <c r="Q1314">
        <f>IFERROR(1/IF(Inputs!$B$39="pvp",15,MAX(0.1,Skills!D5-IF(Skills!E5=TRUE,1.5,0))),0)</f>
        <v/>
      </c>
      <c r="R1314">
        <f>IF(AND(Inputs!$B$39&lt;&gt;"pvp",Inputs!$B$44&gt;0),IF(MAX(0,Inputs!$B$44-B1345)&lt;=0,0,(INT(MAX(0,Inputs!$B$44-B1345)/IF(Inputs!$B$39="pvp",15,MAX(0.1,Skills!D5-IF(Skills!E5=TRUE,1.5,0))))+1)),0)</f>
        <v/>
      </c>
      <c r="S1314">
        <f>IFERROR(O1314/N1314,0)</f>
        <v/>
      </c>
      <c r="T1314">
        <f>IF(C1314,(H1314*N1314*IF(AND(Inputs!$B$39&lt;&gt;"pvp",Inputs!$B$44&gt;0),((Skills!G5*((R1314-1)*IF(Skills!H5&gt;0,Skills!I5/Skills!H5,1)+IF(Skills!H5&gt;0,MIN(Skills!I5,MAX(0,MAX(0,Inputs!$B$44-B1345)-((R1314-1)*IF(Inputs!$B$39="pvp",15,MAX(0.1,Skills!D5-IF(Skills!E5=TRUE,1.5,0))))))/Skills!H5,1)))/Inputs!$B$44),G1314*Q1314))*IF(Inputs!$B$39="pvp",1,1+(Inputs!$B$21+0+Skills!P5+((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0)</f>
        <v/>
      </c>
      <c r="V1314">
        <f>IF(C1314,(H1314*N1314*IF(AND(Inputs!$B$39&lt;&gt;"pvp",Inputs!$B$44&gt;0),((Skills!G5*((R1314-1)*IF(Skills!H5&gt;0,Skills!I5/Skills!H5,1)+IF(Skills!H5&gt;0,MIN(Skills!I5,MAX(0,MAX(0,Inputs!$B$44-B1345)-((R1314-1)*IF(Inputs!$B$39="pvp",15,MAX(0.1,Skills!D5-IF(Skills!E5=TRUE,1.5,0))))))/Skills!H5,1)))/Inputs!$B$44),G1314*Q1314))*IF(Inputs!$B$39="pvp",1,(1+(Inputs!$B$22+Skills!Q5+((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MIN(Skills!R5,Inputs!$B$38))),0)</f>
        <v/>
      </c>
    </row>
    <row r="1315">
      <c r="A1315">
        <f>Skills!A6</f>
        <v/>
      </c>
      <c r="B1315">
        <f>Skills!B6</f>
        <v/>
      </c>
      <c r="C1315">
        <f>Inputs!$B$3&gt;=103</f>
        <v/>
      </c>
      <c r="D1315">
        <f>IF(Skills!C6=1,60+Inputs!$B$26+Inputs!$B$30,IF(Skills!C6=2,90+Inputs!$B$27+Inputs!$B$30,IF(Skills!C6=3,120+Inputs!$B$28+Inputs!$B$30,MAX(0,(Inputs!$B$3-100)*3)+Inputs!$B$29+Inputs!$B$30)))</f>
        <v/>
      </c>
      <c r="E1315">
        <f>INDEX(FactorTable!$B$2:$Y$301, MATCH(ROUND(MIN(300,MAX(1,D1315)),0), FactorTable!$A$2:$A$301,0), Skills!M6+1)</f>
        <v/>
      </c>
      <c r="F1315">
        <f>IF(Skills!N6=TRUE,(Skills!L6/10)*(E1315/1000),Skills!L6/10)+Skills!O6</f>
        <v/>
      </c>
      <c r="G1315">
        <f>Skills!G6*IF(Skills!H6&gt;0,Skills!I6/Skills!H6,1)</f>
        <v/>
      </c>
      <c r="H1315">
        <f>1-(1-Skills!J6/100)^Skills!K6</f>
        <v/>
      </c>
      <c r="I1315" t="inlineStr">
        <is>
          <t>1</t>
        </is>
      </c>
      <c r="J1315">
        <f>((Inputs!$B$6*(1+Inputs!$B$7/100))+(((Inputs!$B$13*(1+Inputs!$B$14/100))-(Inputs!$B$13*(1+Inputs!$B$14/100)))+0.25*(Inputs!$B$15-Inputs!$B$15))*(1+Inputs!$B$7/100))*(F1315/100)</f>
        <v/>
      </c>
      <c r="K1315">
        <f>J1315*(1+(((Inputs!$B$13+IF(Inputs!$B$3&gt;=38,(10*INDEX(FactorTable!$B$2:$Y$301, MATCH(ROUND(MIN(300,MAX(1,Inputs!$B$3)),0), FactorTable!$A$2:$A$301,0), 23)/1000)/100*(Inputs!$B$8*(1+Inputs!$B$9/100)),0))*(1+Inputs!$B$14/100))*0.01+Inputs!$B$15*0.0025)/100)*(1+Inputs!$B$16/100)*(1+Inputs!$B$17/100)*(5000/(6000+Inputs!$B$43*(1-(Inputs!$B$20+0)/100)))*(1+(Inputs!$B$25+((C1334=TRUE)*(F1334-Calc!F25))+((C1335=TRUE)*(F1335-Calc!F26))+B1344)/100)*(1+(IF(Skills!A6="DARK_IMPALE",Inputs!$B$18+0,Inputs!$B$19+((C1332=TRUE)*(F1332-Calc!F23))))/100)*((1+(((C1322=TRUE)*F1322*IF(AND(Inputs!$B$39&lt;&gt;"pvp",Inputs!$B$44&gt;0),(((R1322-1)*(Skills!T13*(1+Inputs!$B$35/100))+MIN((Skills!T13*(1+Inputs!$B$35/100)),MAX(0,Inputs!$B$44-((R1322-1)*Skills!D13))))/Inputs!$B$44),IF(Inputs!$B$39="pvp",MIN((Skills!T13*(1+Inputs!$B$35/100)),15)/15,(Skills!T13*(1+Inputs!$B$35/100))/Skills!D13)))+((C1323=TRUE)*F1323*IF(AND(Inputs!$B$39&lt;&gt;"pvp",Inputs!$B$44&gt;0),(((R1323-1)*(Skills!T14*(1+Inputs!$B$35/100))+MIN((Skills!T14*(1+Inputs!$B$35/100)),MAX(0,Inputs!$B$44-((R1323-1)*Skills!D14))))/Inputs!$B$44),IF(Inputs!$B$39="pvp",MIN((Skills!T14*(1+Inputs!$B$35/100)),15)/15,(Skills!T14*(1+Inputs!$B$35/100))/Skills!D14)))+((C1324=TRUE)*F1324*IF(AND(Inputs!$B$39&lt;&gt;"pvp",Inputs!$B$44&gt;0),(((R1324-1)*(Skills!T15*(1+Inputs!$B$35/100))+MIN((Skills!T15*(1+Inputs!$B$35/100)),MAX(0,Inputs!$B$44-((R1324-1)*Skills!D15))))/Inputs!$B$44),IF(Inputs!$B$39="pvp",MIN((Skills!T15*(1+Inputs!$B$35/100)),15)/15,(Skills!T15*(1+Inputs!$B$35/100))/Skills!D15)))+((C1325=TRUE)*F1325*IF(AND(Inputs!$B$39&lt;&gt;"pvp",Inputs!$B$44&gt;0),(((R1325-1)*(Skills!T16*(1+Inputs!$B$35/100))+MIN((Skills!T16*(1+Inputs!$B$35/100)),MAX(0,Inputs!$B$44-((R1325-1)*Skills!D16))))/Inputs!$B$44),IF(Inputs!$B$39="pvp",MIN((Skills!T16*(1+Inputs!$B$35/100)),15)/15,(Skills!T16*(1+Inputs!$B$35/100))/Skills!D16)))+0)/100)*I1315)</f>
        <v/>
      </c>
      <c r="L1315">
        <f>K1315*(MIN(Inputs!$B$23+((C1331=TRUE)*(F1331-Calc!F22)),Inputs!$B$24+((C1333=TRUE)*(F1333-Calc!F24)))/100+(Inputs!$B$24+((C1333=TRUE)*(F1333-Calc!F24)))/100)/2</f>
        <v/>
      </c>
      <c r="M1315">
        <f>L1315*(1+(Inputs!$B$11+0+B1343)/100)</f>
        <v/>
      </c>
      <c r="N1315">
        <f>L1315*(1-MIN((Inputs!$B$10+0+B1338),100)/100)+M1315*(MIN((Inputs!$B$10+0+B1338),100)/100)</f>
        <v/>
      </c>
      <c r="O1315">
        <f>(1-Summary!$B$55)*T1315+Summary!$B$55*V1315</f>
        <v/>
      </c>
      <c r="P1315">
        <f>IF(B1348=0,0,O1315/B1348)</f>
        <v/>
      </c>
      <c r="Q1315">
        <f>IFERROR(1/IF(Inputs!$B$39="pvp",15,MAX(0.1,Skills!D6-IF(Skills!E6=TRUE,1.5,0))),0)</f>
        <v/>
      </c>
      <c r="R1315">
        <f>IF(AND(Inputs!$B$39&lt;&gt;"pvp",Inputs!$B$44&gt;0),IF(MAX(0,Inputs!$B$44-B1345)&lt;=0,0,(INT(MAX(0,Inputs!$B$44-B1345)/IF(Inputs!$B$39="pvp",15,MAX(0.1,Skills!D6-IF(Skills!E6=TRUE,1.5,0))))+1)),0)</f>
        <v/>
      </c>
      <c r="S1315">
        <f>IFERROR(O1315/N1315,0)</f>
        <v/>
      </c>
      <c r="T1315">
        <f>IF(C1315,(H1315*N1315*IF(AND(Inputs!$B$39&lt;&gt;"pvp",Inputs!$B$44&gt;0),((Skills!G6*((R1315-1)*IF(Skills!H6&gt;0,Skills!I6/Skills!H6,1)+IF(Skills!H6&gt;0,MIN(Skills!I6,MAX(0,MAX(0,Inputs!$B$44-B1345)-((R1315-1)*IF(Inputs!$B$39="pvp",15,MAX(0.1,Skills!D6-IF(Skills!E6=TRUE,1.5,0))))))/Skills!H6,1)))/Inputs!$B$44),G1315*Q1315))*IF(Inputs!$B$39="pvp",1,1+(Inputs!$B$21+0+Skills!P6+((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0)</f>
        <v/>
      </c>
      <c r="V1315">
        <f>IF(C1315,(H1315*N1315*IF(AND(Inputs!$B$39&lt;&gt;"pvp",Inputs!$B$44&gt;0),((Skills!G6*((R1315-1)*IF(Skills!H6&gt;0,Skills!I6/Skills!H6,1)+IF(Skills!H6&gt;0,MIN(Skills!I6,MAX(0,MAX(0,Inputs!$B$44-B1345)-((R1315-1)*IF(Inputs!$B$39="pvp",15,MAX(0.1,Skills!D6-IF(Skills!E6=TRUE,1.5,0))))))/Skills!H6,1)))/Inputs!$B$44),G1315*Q1315))*IF(Inputs!$B$39="pvp",1,(1+(Inputs!$B$22+Skills!Q6+((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MIN(Skills!R6,Inputs!$B$38))),0)</f>
        <v/>
      </c>
    </row>
    <row r="1316">
      <c r="A1316">
        <f>Skills!A7</f>
        <v/>
      </c>
      <c r="B1316">
        <f>Skills!B7</f>
        <v/>
      </c>
      <c r="C1316">
        <f>Inputs!$B$3&gt;=40</f>
        <v/>
      </c>
      <c r="D1316">
        <f>IF(Skills!C7=1,60+Inputs!$B$26+Inputs!$B$30,IF(Skills!C7=2,90+Inputs!$B$27+Inputs!$B$30,IF(Skills!C7=3,120+Inputs!$B$28+Inputs!$B$30,MAX(0,(Inputs!$B$3-100)*3)+Inputs!$B$29+Inputs!$B$30)))</f>
        <v/>
      </c>
      <c r="E1316">
        <f>INDEX(FactorTable!$B$2:$Y$301, MATCH(ROUND(MIN(300,MAX(1,D1316)),0), FactorTable!$A$2:$A$301,0), Skills!M7+1)</f>
        <v/>
      </c>
      <c r="F1316">
        <f>IF(Skills!N7=TRUE,(Skills!L7/10)*(E1316/1000),Skills!L7/10)+Skills!O7</f>
        <v/>
      </c>
      <c r="G1316">
        <f>Skills!G7*IF(Skills!H7&gt;0,Skills!I7/Skills!H7,1)</f>
        <v/>
      </c>
      <c r="H1316">
        <f>1-(1-Skills!J7/100)^Skills!K7</f>
        <v/>
      </c>
      <c r="I1316" t="inlineStr">
        <is>
          <t>1</t>
        </is>
      </c>
      <c r="J1316">
        <f>((Inputs!$B$6*(1+Inputs!$B$7/100))+(((Inputs!$B$13*(1+Inputs!$B$14/100))-(Inputs!$B$13*(1+Inputs!$B$14/100)))+0.25*(Inputs!$B$15-Inputs!$B$15))*(1+Inputs!$B$7/100))*(F1316/100)</f>
        <v/>
      </c>
      <c r="K1316">
        <f>J1316*(1+(((Inputs!$B$13+IF(Inputs!$B$3&gt;=38,(10*INDEX(FactorTable!$B$2:$Y$301, MATCH(ROUND(MIN(300,MAX(1,Inputs!$B$3)),0), FactorTable!$A$2:$A$301,0), 23)/1000)/100*(Inputs!$B$8*(1+Inputs!$B$9/100)),0))*(1+Inputs!$B$14/100))*0.01+Inputs!$B$15*0.0025)/100)*(1+Inputs!$B$16/100)*(1+Inputs!$B$17/100)*(5000/(6000+Inputs!$B$43*(1-(Inputs!$B$20+0)/100)))*(1+(Inputs!$B$25+((C1334=TRUE)*(F1334-Calc!F25))+((C1335=TRUE)*(F1335-Calc!F26))+B1344)/100)*(1+0.75*IF(C1320=TRUE,F1320,0)/100)*(1+(IF(Skills!A7="DARK_IMPALE",Inputs!$B$18+0,Inputs!$B$19+((C1332=TRUE)*(F1332-Calc!F23))))/100)*((1+(((C1322=TRUE)*F1322*IF(AND(Inputs!$B$39&lt;&gt;"pvp",Inputs!$B$44&gt;0),(((R1322-1)*(Skills!T13*(1+Inputs!$B$35/100))+MIN((Skills!T13*(1+Inputs!$B$35/100)),MAX(0,Inputs!$B$44-((R1322-1)*Skills!D13))))/Inputs!$B$44),IF(Inputs!$B$39="pvp",MIN((Skills!T13*(1+Inputs!$B$35/100)),15)/15,(Skills!T13*(1+Inputs!$B$35/100))/Skills!D13)))+((C1323=TRUE)*F1323*IF(AND(Inputs!$B$39&lt;&gt;"pvp",Inputs!$B$44&gt;0),(((R1323-1)*(Skills!T14*(1+Inputs!$B$35/100))+MIN((Skills!T14*(1+Inputs!$B$35/100)),MAX(0,Inputs!$B$44-((R1323-1)*Skills!D14))))/Inputs!$B$44),IF(Inputs!$B$39="pvp",MIN((Skills!T14*(1+Inputs!$B$35/100)),15)/15,(Skills!T14*(1+Inputs!$B$35/100))/Skills!D14)))+((C1324=TRUE)*F1324*IF(AND(Inputs!$B$39&lt;&gt;"pvp",Inputs!$B$44&gt;0),(((R1324-1)*(Skills!T15*(1+Inputs!$B$35/100))+MIN((Skills!T15*(1+Inputs!$B$35/100)),MAX(0,Inputs!$B$44-((R1324-1)*Skills!D15))))/Inputs!$B$44),IF(Inputs!$B$39="pvp",MIN((Skills!T15*(1+Inputs!$B$35/100)),15)/15,(Skills!T15*(1+Inputs!$B$35/100))/Skills!D15)))+((C1325=TRUE)*F1325*IF(AND(Inputs!$B$39&lt;&gt;"pvp",Inputs!$B$44&gt;0),(((R1325-1)*(Skills!T16*(1+Inputs!$B$35/100))+MIN((Skills!T16*(1+Inputs!$B$35/100)),MAX(0,Inputs!$B$44-((R1325-1)*Skills!D16))))/Inputs!$B$44),IF(Inputs!$B$39="pvp",MIN((Skills!T16*(1+Inputs!$B$35/100)),15)/15,(Skills!T16*(1+Inputs!$B$35/100))/Skills!D16)))+0)/100)*I1316)</f>
        <v/>
      </c>
      <c r="L1316">
        <f>K1316*(MIN(Inputs!$B$23+((C1331=TRUE)*(F1331-Calc!F22)),Inputs!$B$24+((C1333=TRUE)*(F1333-Calc!F24)))/100+(Inputs!$B$24+((C1333=TRUE)*(F1333-Calc!F24)))/100)/2</f>
        <v/>
      </c>
      <c r="M1316">
        <f>L1316*(1+(Inputs!$B$11+0+B1343)/100)</f>
        <v/>
      </c>
      <c r="N1316">
        <f>L1316*(1-MIN((Inputs!$B$10+0+B1338),100)/100)+M1316*(MIN((Inputs!$B$10+0+B1338),100)/100)</f>
        <v/>
      </c>
      <c r="O1316">
        <f>(1-Summary!$B$55)*T1316+Summary!$B$55*V1316</f>
        <v/>
      </c>
      <c r="P1316">
        <f>IF(B1348=0,0,O1316/B1348)</f>
        <v/>
      </c>
      <c r="Q1316">
        <f>IFERROR(1/IF(Inputs!$B$39="pvp",15,MAX(0.1,Skills!D7-IF(Skills!E7=TRUE,1.5,0))),0)</f>
        <v/>
      </c>
      <c r="R1316">
        <f>IF(AND(Inputs!$B$39&lt;&gt;"pvp",Inputs!$B$44&gt;0),IF(MAX(0,Inputs!$B$44-B1345)&lt;=0,0,(INT(MAX(0,Inputs!$B$44-B1345)/IF(Inputs!$B$39="pvp",15,MAX(0.1,Skills!D7-IF(Skills!E7=TRUE,1.5,0))))+1)),0)</f>
        <v/>
      </c>
      <c r="S1316">
        <f>IFERROR(O1316/N1316,0)</f>
        <v/>
      </c>
      <c r="T1316">
        <f>IF(C1316,(H1316*N1316*IF(AND(Inputs!$B$39&lt;&gt;"pvp",Inputs!$B$44&gt;0),((Skills!G7*((R1316-1)*IF(Skills!H7&gt;0,Skills!I7/Skills!H7,1)+IF(Skills!H7&gt;0,MIN(Skills!I7,MAX(0,MAX(0,Inputs!$B$44-B1345)-((R1316-1)*IF(Inputs!$B$39="pvp",15,MAX(0.1,Skills!D7-IF(Skills!E7=TRUE,1.5,0))))))/Skills!H7,1)))/Inputs!$B$44),G1316*Q1316))*IF(Inputs!$B$39="pvp",1,1+(Inputs!$B$21+0+Skills!P7+((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0)</f>
        <v/>
      </c>
      <c r="V1316">
        <f>IF(C1316,(H1316*N1316*IF(AND(Inputs!$B$39&lt;&gt;"pvp",Inputs!$B$44&gt;0),((Skills!G7*((R1316-1)*IF(Skills!H7&gt;0,Skills!I7/Skills!H7,1)+IF(Skills!H7&gt;0,MIN(Skills!I7,MAX(0,MAX(0,Inputs!$B$44-B1345)-((R1316-1)*IF(Inputs!$B$39="pvp",15,MAX(0.1,Skills!D7-IF(Skills!E7=TRUE,1.5,0))))))/Skills!H7,1)))/Inputs!$B$44),G1316*Q1316))*IF(Inputs!$B$39="pvp",1,(1+(Inputs!$B$22+Skills!Q7+((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MIN(Skills!R7,Inputs!$B$38))),0)</f>
        <v/>
      </c>
    </row>
    <row r="1317">
      <c r="A1317">
        <f>Skills!A8</f>
        <v/>
      </c>
      <c r="B1317">
        <f>Skills!B8</f>
        <v/>
      </c>
      <c r="C1317">
        <f>Inputs!$B$3&gt;=75</f>
        <v/>
      </c>
      <c r="D1317">
        <f>IF(Skills!C8=1,60+Inputs!$B$26+Inputs!$B$30,IF(Skills!C8=2,90+Inputs!$B$27+Inputs!$B$30,IF(Skills!C8=3,120+Inputs!$B$28+Inputs!$B$30,MAX(0,(Inputs!$B$3-100)*3)+Inputs!$B$29+Inputs!$B$30)))</f>
        <v/>
      </c>
      <c r="E1317">
        <f>INDEX(FactorTable!$B$2:$Y$301, MATCH(ROUND(MIN(300,MAX(1,D1317)),0), FactorTable!$A$2:$A$301,0), Skills!M8+1)</f>
        <v/>
      </c>
      <c r="F1317">
        <f>IF(Skills!N8=TRUE,(Skills!L8/10)*(E1317/1000),Skills!L8/10)+Skills!O8</f>
        <v/>
      </c>
      <c r="G1317" t="inlineStr"/>
      <c r="H1317" t="inlineStr"/>
      <c r="I1317" t="inlineStr">
        <is>
          <t>1</t>
        </is>
      </c>
      <c r="J1317" t="inlineStr"/>
      <c r="K1317" t="inlineStr"/>
      <c r="L1317" t="inlineStr"/>
      <c r="M1317" t="inlineStr"/>
      <c r="N1317" t="inlineStr"/>
      <c r="O1317" t="inlineStr"/>
      <c r="P1317" t="inlineStr"/>
      <c r="Q1317" t="inlineStr"/>
      <c r="R1317" t="inlineStr"/>
      <c r="S1317" t="inlineStr"/>
    </row>
    <row r="1318">
      <c r="A1318">
        <f>Skills!A9</f>
        <v/>
      </c>
      <c r="B1318">
        <f>Skills!B9</f>
        <v/>
      </c>
      <c r="C1318">
        <f>Inputs!$B$3&gt;=60</f>
        <v/>
      </c>
      <c r="D1318">
        <f>IF(Skills!C9=1,60+Inputs!$B$26+Inputs!$B$30,IF(Skills!C9=2,90+Inputs!$B$27+Inputs!$B$30,IF(Skills!C9=3,120+Inputs!$B$28+Inputs!$B$30,MAX(0,(Inputs!$B$3-100)*3)+Inputs!$B$29+Inputs!$B$30)))</f>
        <v/>
      </c>
      <c r="E1318">
        <f>INDEX(FactorTable!$B$2:$Y$301, MATCH(ROUND(MIN(300,MAX(1,D1318)),0), FactorTable!$A$2:$A$301,0), Skills!M9+1)</f>
        <v/>
      </c>
      <c r="F1318">
        <f>IF(Skills!N9=TRUE,(Skills!L9/10)*(E1318/1000),Skills!L9/10)+Skills!O9</f>
        <v/>
      </c>
      <c r="G1318">
        <f>Skills!G9*IF(Skills!H9&gt;0,Skills!I9/Skills!H9,1)</f>
        <v/>
      </c>
      <c r="H1318">
        <f>1-(1-Skills!J9/100)^Skills!K9</f>
        <v/>
      </c>
      <c r="I1318" t="inlineStr">
        <is>
          <t>1</t>
        </is>
      </c>
      <c r="J1318">
        <f>((Inputs!$B$6*(1+Inputs!$B$7/100))+(((Inputs!$B$13*(1+Inputs!$B$14/100))-(Inputs!$B$13*(1+Inputs!$B$14/100)))+0.25*(Inputs!$B$15-Inputs!$B$15))*(1+Inputs!$B$7/100))*(F1318/100)</f>
        <v/>
      </c>
      <c r="K1318">
        <f>J1318*(1+(((Inputs!$B$13+IF(Inputs!$B$3&gt;=38,(10*INDEX(FactorTable!$B$2:$Y$301, MATCH(ROUND(MIN(300,MAX(1,Inputs!$B$3)),0), FactorTable!$A$2:$A$301,0), 23)/1000)/100*(Inputs!$B$8*(1+Inputs!$B$9/100)),0))*(1+Inputs!$B$14/100))*0.01+Inputs!$B$15*0.0025)/100)*(1+Inputs!$B$16/100)*(1+Inputs!$B$17/100)*(5000/(6000+Inputs!$B$43*(1-(Inputs!$B$20+0)/100)))*(1+(Inputs!$B$25+((C1334=TRUE)*(F1334-Calc!F25))+((C1335=TRUE)*(F1335-Calc!F26))+B1344)/100)*(1+1.0*IF(C1320=TRUE,F1320,0)/100)*(1+(IF(Skills!A9="DARK_IMPALE",Inputs!$B$18+0,Inputs!$B$19+((C1332=TRUE)*(F1332-Calc!F23))))/100)*((1+(((C1322=TRUE)*F1322*IF(AND(Inputs!$B$39&lt;&gt;"pvp",Inputs!$B$44&gt;0),(((R1322-1)*(Skills!T13*(1+Inputs!$B$35/100))+MIN((Skills!T13*(1+Inputs!$B$35/100)),MAX(0,Inputs!$B$44-((R1322-1)*Skills!D13))))/Inputs!$B$44),IF(Inputs!$B$39="pvp",MIN((Skills!T13*(1+Inputs!$B$35/100)),15)/15,(Skills!T13*(1+Inputs!$B$35/100))/Skills!D13)))+((C1323=TRUE)*F1323*IF(AND(Inputs!$B$39&lt;&gt;"pvp",Inputs!$B$44&gt;0),(((R1323-1)*(Skills!T14*(1+Inputs!$B$35/100))+MIN((Skills!T14*(1+Inputs!$B$35/100)),MAX(0,Inputs!$B$44-((R1323-1)*Skills!D14))))/Inputs!$B$44),IF(Inputs!$B$39="pvp",MIN((Skills!T14*(1+Inputs!$B$35/100)),15)/15,(Skills!T14*(1+Inputs!$B$35/100))/Skills!D14)))+((C1324=TRUE)*F1324*IF(AND(Inputs!$B$39&lt;&gt;"pvp",Inputs!$B$44&gt;0),(((R1324-1)*(Skills!T15*(1+Inputs!$B$35/100))+MIN((Skills!T15*(1+Inputs!$B$35/100)),MAX(0,Inputs!$B$44-((R1324-1)*Skills!D15))))/Inputs!$B$44),IF(Inputs!$B$39="pvp",MIN((Skills!T15*(1+Inputs!$B$35/100)),15)/15,(Skills!T15*(1+Inputs!$B$35/100))/Skills!D15)))+((C1325=TRUE)*F1325*IF(AND(Inputs!$B$39&lt;&gt;"pvp",Inputs!$B$44&gt;0),(((R1325-1)*(Skills!T16*(1+Inputs!$B$35/100))+MIN((Skills!T16*(1+Inputs!$B$35/100)),MAX(0,Inputs!$B$44-((R1325-1)*Skills!D16))))/Inputs!$B$44),IF(Inputs!$B$39="pvp",MIN((Skills!T16*(1+Inputs!$B$35/100)),15)/15,(Skills!T16*(1+Inputs!$B$35/100))/Skills!D16)))+0)/100)*I1318)</f>
        <v/>
      </c>
      <c r="L1318">
        <f>K1318*(MIN(Inputs!$B$23+((C1331=TRUE)*(F1331-Calc!F22)),Inputs!$B$24+((C1333=TRUE)*(F1333-Calc!F24)))/100+(Inputs!$B$24+((C1333=TRUE)*(F1333-Calc!F24)))/100)/2</f>
        <v/>
      </c>
      <c r="M1318">
        <f>L1318*(1+(Inputs!$B$11+0+B1343)/100)</f>
        <v/>
      </c>
      <c r="N1318">
        <f>L1318*(1-MIN((Inputs!$B$10+0+B1338),100)/100)+M1318*(MIN((Inputs!$B$10+0+B1338),100)/100)</f>
        <v/>
      </c>
      <c r="O1318">
        <f>(1-Summary!$B$55)*T1318+Summary!$B$55*V1318</f>
        <v/>
      </c>
      <c r="P1318">
        <f>IF(B1348=0,0,O1318/B1348)</f>
        <v/>
      </c>
      <c r="Q1318">
        <f>IFERROR(1/IF(Inputs!$B$39="pvp",15,MAX(0.1,Skills!D9-IF(Skills!E9=TRUE,1.5,0))),0)</f>
        <v/>
      </c>
      <c r="R1318">
        <f>IF(AND(Inputs!$B$39&lt;&gt;"pvp",Inputs!$B$44&gt;0),IF(MAX(0,Inputs!$B$44-B1345)&lt;=0,0,(INT(MAX(0,Inputs!$B$44-B1345)/IF(Inputs!$B$39="pvp",15,MAX(0.1,Skills!D9-IF(Skills!E9=TRUE,1.5,0))))+1)),0)</f>
        <v/>
      </c>
      <c r="S1318">
        <f>IFERROR(O1318/N1318,0)</f>
        <v/>
      </c>
      <c r="T1318">
        <f>IF(C1318,(H1318*N1318*IF(AND(Inputs!$B$39&lt;&gt;"pvp",Inputs!$B$44&gt;0),((Skills!G9*((R1318-1)*IF(Skills!H9&gt;0,Skills!I9/Skills!H9,1)+IF(Skills!H9&gt;0,MIN(Skills!I9,MAX(0,MAX(0,Inputs!$B$44-B1345)-((R1318-1)*IF(Inputs!$B$39="pvp",15,MAX(0.1,Skills!D9-IF(Skills!E9=TRUE,1.5,0))))))/Skills!H9,1)))/Inputs!$B$44),G1318*Q1318))*IF(Inputs!$B$39="pvp",1,1+(Inputs!$B$21+0+Skills!P9+((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0)</f>
        <v/>
      </c>
      <c r="V1318">
        <f>IF(C1318,(H1318*N1318*IF(AND(Inputs!$B$39&lt;&gt;"pvp",Inputs!$B$44&gt;0),((Skills!G9*((R1318-1)*IF(Skills!H9&gt;0,Skills!I9/Skills!H9,1)+IF(Skills!H9&gt;0,MIN(Skills!I9,MAX(0,MAX(0,Inputs!$B$44-B1345)-((R1318-1)*IF(Inputs!$B$39="pvp",15,MAX(0.1,Skills!D9-IF(Skills!E9=TRUE,1.5,0))))))/Skills!H9,1)))/Inputs!$B$44),G1318*Q1318))*IF(Inputs!$B$39="pvp",1,(1+(Inputs!$B$22+Skills!Q9+((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MIN(Skills!R9,Inputs!$B$38))),0)</f>
        <v/>
      </c>
    </row>
    <row r="1319">
      <c r="A1319">
        <f>Skills!A10</f>
        <v/>
      </c>
      <c r="B1319">
        <f>Skills!B10</f>
        <v/>
      </c>
      <c r="C1319">
        <f>Inputs!$B$3&gt;=110</f>
        <v/>
      </c>
      <c r="D1319">
        <f>IF(Skills!C10=1,60+Inputs!$B$26+Inputs!$B$30,IF(Skills!C10=2,90+Inputs!$B$27+Inputs!$B$30,IF(Skills!C10=3,120+Inputs!$B$28+Inputs!$B$30,MAX(0,(Inputs!$B$3-100)*3)+Inputs!$B$29+Inputs!$B$30)))</f>
        <v/>
      </c>
      <c r="E1319">
        <f>INDEX(FactorTable!$B$2:$Y$301, MATCH(ROUND(MIN(300,MAX(1,D1319)),0), FactorTable!$A$2:$A$301,0), Skills!M10+1)</f>
        <v/>
      </c>
      <c r="F1319">
        <f>IF(Skills!N10=TRUE,(Skills!L10/10)*(E1319/1000),Skills!L10/10)+Skills!O10</f>
        <v/>
      </c>
      <c r="G1319">
        <f>Skills!G10*IF(Skills!H10&gt;0,Skills!I10/Skills!H10,1)</f>
        <v/>
      </c>
      <c r="H1319">
        <f>1-(1-Skills!J10/100)^Skills!K10</f>
        <v/>
      </c>
      <c r="I1319" t="inlineStr">
        <is>
          <t>1</t>
        </is>
      </c>
      <c r="J1319">
        <f>((Inputs!$B$6*(1+Inputs!$B$7/100))+(((Inputs!$B$13*(1+Inputs!$B$14/100))-(Inputs!$B$13*(1+Inputs!$B$14/100)))+0.25*(Inputs!$B$15-Inputs!$B$15))*(1+Inputs!$B$7/100))*(F1319/100)</f>
        <v/>
      </c>
      <c r="K1319">
        <f>J1319*(1+(((Inputs!$B$13+IF(Inputs!$B$3&gt;=38,(10*INDEX(FactorTable!$B$2:$Y$301, MATCH(ROUND(MIN(300,MAX(1,Inputs!$B$3)),0), FactorTable!$A$2:$A$301,0), 23)/1000)/100*(Inputs!$B$8*(1+Inputs!$B$9/100)),0))*(1+Inputs!$B$14/100))*0.01+Inputs!$B$15*0.0025)/100)*(1+Inputs!$B$16/100)*(1+Inputs!$B$17/100)*(5000/(6000+Inputs!$B$43*(1-(Inputs!$B$20+0)/100)))*(1+(Inputs!$B$25+((C1334=TRUE)*(F1334-Calc!F25))+((C1335=TRUE)*(F1335-Calc!F26))+B1344)/100)*(1+(IF(Skills!A10="DARK_IMPALE",Inputs!$B$18+0,Inputs!$B$19+((C1332=TRUE)*(F1332-Calc!F23))))/100)*((1+(((C1322=TRUE)*F1322*IF(AND(Inputs!$B$39&lt;&gt;"pvp",Inputs!$B$44&gt;0),(((R1322-1)*(Skills!T13*(1+Inputs!$B$35/100))+MIN((Skills!T13*(1+Inputs!$B$35/100)),MAX(0,Inputs!$B$44-((R1322-1)*Skills!D13))))/Inputs!$B$44),IF(Inputs!$B$39="pvp",MIN((Skills!T13*(1+Inputs!$B$35/100)),15)/15,(Skills!T13*(1+Inputs!$B$35/100))/Skills!D13)))+((C1323=TRUE)*F1323*IF(AND(Inputs!$B$39&lt;&gt;"pvp",Inputs!$B$44&gt;0),(((R1323-1)*(Skills!T14*(1+Inputs!$B$35/100))+MIN((Skills!T14*(1+Inputs!$B$35/100)),MAX(0,Inputs!$B$44-((R1323-1)*Skills!D14))))/Inputs!$B$44),IF(Inputs!$B$39="pvp",MIN((Skills!T14*(1+Inputs!$B$35/100)),15)/15,(Skills!T14*(1+Inputs!$B$35/100))/Skills!D14)))+((C1324=TRUE)*F1324*IF(AND(Inputs!$B$39&lt;&gt;"pvp",Inputs!$B$44&gt;0),(((R1324-1)*(Skills!T15*(1+Inputs!$B$35/100))+MIN((Skills!T15*(1+Inputs!$B$35/100)),MAX(0,Inputs!$B$44-((R1324-1)*Skills!D15))))/Inputs!$B$44),IF(Inputs!$B$39="pvp",MIN((Skills!T15*(1+Inputs!$B$35/100)),15)/15,(Skills!T15*(1+Inputs!$B$35/100))/Skills!D15)))+((C1325=TRUE)*F1325*IF(AND(Inputs!$B$39&lt;&gt;"pvp",Inputs!$B$44&gt;0),(((R1325-1)*(Skills!T16*(1+Inputs!$B$35/100))+MIN((Skills!T16*(1+Inputs!$B$35/100)),MAX(0,Inputs!$B$44-((R1325-1)*Skills!D16))))/Inputs!$B$44),IF(Inputs!$B$39="pvp",MIN((Skills!T16*(1+Inputs!$B$35/100)),15)/15,(Skills!T16*(1+Inputs!$B$35/100))/Skills!D16)))+0)/100)*I1319)</f>
        <v/>
      </c>
      <c r="L1319">
        <f>K1319*(MIN(Inputs!$B$23+((C1331=TRUE)*(F1331-Calc!F22)),Inputs!$B$24+((C1333=TRUE)*(F1333-Calc!F24)))/100+(Inputs!$B$24+((C1333=TRUE)*(F1333-Calc!F24)))/100)/2</f>
        <v/>
      </c>
      <c r="M1319">
        <f>L1319*(1+(Inputs!$B$11+0+B1343)/100)</f>
        <v/>
      </c>
      <c r="N1319">
        <f>L1319*(1-MIN((Inputs!$B$10+0+B1338),100)/100)+M1319*(MIN((Inputs!$B$10+0+B1338),100)/100)</f>
        <v/>
      </c>
      <c r="O1319">
        <f>(1-Summary!$B$55)*T1319+Summary!$B$55*V1319</f>
        <v/>
      </c>
      <c r="P1319">
        <f>IF(B1348=0,0,O1319/B1348)</f>
        <v/>
      </c>
      <c r="Q1319">
        <f>IFERROR(1/IF(Inputs!$B$39="pvp",15,MAX(0.1,Skills!D10-IF(Skills!E10=TRUE,1.5,0))),0)</f>
        <v/>
      </c>
      <c r="R1319">
        <f>IF(AND(Inputs!$B$39&lt;&gt;"pvp",Inputs!$B$44&gt;0),IF(MAX(0,Inputs!$B$44-B1345)&lt;=0,0,(INT(MAX(0,Inputs!$B$44-B1345)/IF(Inputs!$B$39="pvp",15,MAX(0.1,Skills!D10-IF(Skills!E10=TRUE,1.5,0))))+1)),0)</f>
        <v/>
      </c>
      <c r="S1319">
        <f>IFERROR(O1319/N1319,0)</f>
        <v/>
      </c>
      <c r="T1319">
        <f>IF(C1319,(H1319*N1319*IF(AND(Inputs!$B$39&lt;&gt;"pvp",Inputs!$B$44&gt;0),((Skills!G10*((R1319-1)*IF(Skills!H10&gt;0,Skills!I10/Skills!H10,1)+IF(Skills!H10&gt;0,MIN(Skills!I10,MAX(0,MAX(0,Inputs!$B$44-B1345)-((R1319-1)*IF(Inputs!$B$39="pvp",15,MAX(0.1,Skills!D10-IF(Skills!E10=TRUE,1.5,0))))))/Skills!H10,1)))/Inputs!$B$44),G1319*Q1319))*IF(Inputs!$B$39="pvp",1,1+(Inputs!$B$21+0+Skills!P10+((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0)</f>
        <v/>
      </c>
      <c r="V1319">
        <f>IF(C1319,(H1319*N1319*IF(AND(Inputs!$B$39&lt;&gt;"pvp",Inputs!$B$44&gt;0),((Skills!G10*((R1319-1)*IF(Skills!H10&gt;0,Skills!I10/Skills!H10,1)+IF(Skills!H10&gt;0,MIN(Skills!I10,MAX(0,MAX(0,Inputs!$B$44-B1345)-((R1319-1)*IF(Inputs!$B$39="pvp",15,MAX(0.1,Skills!D10-IF(Skills!E10=TRUE,1.5,0))))))/Skills!H10,1)))/Inputs!$B$44),G1319*Q1319))*IF(Inputs!$B$39="pvp",1,(1+(Inputs!$B$22+Skills!Q10+((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MIN(Skills!R10,Inputs!$B$38))),0)</f>
        <v/>
      </c>
    </row>
    <row r="1320">
      <c r="A1320">
        <f>Skills!A11</f>
        <v/>
      </c>
      <c r="B1320">
        <f>Skills!B11</f>
        <v/>
      </c>
      <c r="C1320">
        <f>Inputs!$B$3&gt;=100</f>
        <v/>
      </c>
      <c r="D1320">
        <f>IF(Skills!C11=1,60+Inputs!$B$26+Inputs!$B$30,IF(Skills!C11=2,90+Inputs!$B$27+Inputs!$B$30,IF(Skills!C11=3,120+Inputs!$B$28+Inputs!$B$30,MAX(0,(Inputs!$B$3-100)*3)+Inputs!$B$29+Inputs!$B$30)))</f>
        <v/>
      </c>
      <c r="E1320">
        <f>INDEX(FactorTable!$B$2:$Y$301, MATCH(ROUND(MIN(300,MAX(1,D1320)),0), FactorTable!$A$2:$A$301,0), Skills!M11+1)</f>
        <v/>
      </c>
      <c r="F1320">
        <f>IF(Skills!N11=TRUE,(Skills!L11/10)*(E1320/1000),Skills!L11/10)+Skills!O11</f>
        <v/>
      </c>
      <c r="G1320" t="inlineStr"/>
      <c r="H1320" t="inlineStr"/>
      <c r="I1320" t="inlineStr">
        <is>
          <t>1</t>
        </is>
      </c>
      <c r="J1320" t="inlineStr"/>
      <c r="K1320" t="inlineStr"/>
      <c r="L1320" t="inlineStr"/>
      <c r="M1320" t="inlineStr"/>
      <c r="N1320" t="inlineStr"/>
      <c r="O1320" t="inlineStr"/>
      <c r="P1320" t="inlineStr"/>
      <c r="Q1320" t="inlineStr"/>
      <c r="R1320" t="inlineStr"/>
      <c r="S1320" t="inlineStr"/>
    </row>
    <row r="1321">
      <c r="A1321">
        <f>Skills!A12</f>
        <v/>
      </c>
      <c r="B1321">
        <f>Skills!B12</f>
        <v/>
      </c>
      <c r="C1321">
        <f>Inputs!$B$3&gt;=63</f>
        <v/>
      </c>
      <c r="D1321">
        <f>IF(Skills!C12=1,60+Inputs!$B$26+Inputs!$B$30,IF(Skills!C12=2,90+Inputs!$B$27+Inputs!$B$30,IF(Skills!C12=3,120+Inputs!$B$28+Inputs!$B$30,MAX(0,(Inputs!$B$3-100)*3)+Inputs!$B$29+Inputs!$B$30)))</f>
        <v/>
      </c>
      <c r="E1321">
        <f>INDEX(FactorTable!$B$2:$Y$301, MATCH(ROUND(MIN(300,MAX(1,D1321)),0), FactorTable!$A$2:$A$301,0), Skills!M12+1)</f>
        <v/>
      </c>
      <c r="F1321">
        <f>IF(Skills!N12=TRUE,(Skills!L12/10)*(E1321/1000),Skills!L12/10)+Skills!O12</f>
        <v/>
      </c>
      <c r="G1321">
        <f>Skills!G12*IF(Skills!H12&gt;0,Skills!I12/Skills!H12,1)</f>
        <v/>
      </c>
      <c r="H1321">
        <f>1-(1-Skills!J12/100)^Skills!K12</f>
        <v/>
      </c>
      <c r="I1321" t="inlineStr">
        <is>
          <t>1</t>
        </is>
      </c>
      <c r="J1321">
        <f>((Inputs!$B$6*(1+Inputs!$B$7/100))+(((Inputs!$B$13*(1+Inputs!$B$14/100))-(Inputs!$B$13*(1+Inputs!$B$14/100)))+0.25*(Inputs!$B$15-Inputs!$B$15))*(1+Inputs!$B$7/100))*(F1321/100)</f>
        <v/>
      </c>
      <c r="K1321">
        <f>J1321*(1+(((Inputs!$B$13+IF(Inputs!$B$3&gt;=38,(10*INDEX(FactorTable!$B$2:$Y$301, MATCH(ROUND(MIN(300,MAX(1,Inputs!$B$3)),0), FactorTable!$A$2:$A$301,0), 23)/1000)/100*(Inputs!$B$8*(1+Inputs!$B$9/100)),0))*(1+Inputs!$B$14/100))*0.01+Inputs!$B$15*0.0025)/100)*(1+Inputs!$B$16/100)*(1+Inputs!$B$17/100)*(5000/(6000+Inputs!$B$43*(1-(Inputs!$B$20+0)/100)))*(1+(Inputs!$B$25+((C1334=TRUE)*(F1334-Calc!F25))+((C1335=TRUE)*(F1335-Calc!F26))+B1344)/100)*(1+0.75*IF(C1320=TRUE,F1320,0)/100)*(1+(IF(Skills!A12="DARK_IMPALE",Inputs!$B$18+0,Inputs!$B$19+((C1332=TRUE)*(F1332-Calc!F23))))/100)*((1+(((C1322=TRUE)*F1322*IF(AND(Inputs!$B$39&lt;&gt;"pvp",Inputs!$B$44&gt;0),(((R1322-1)*(Skills!T13*(1+Inputs!$B$35/100))+MIN((Skills!T13*(1+Inputs!$B$35/100)),MAX(0,Inputs!$B$44-((R1322-1)*Skills!D13))))/Inputs!$B$44),IF(Inputs!$B$39="pvp",MIN((Skills!T13*(1+Inputs!$B$35/100)),15)/15,(Skills!T13*(1+Inputs!$B$35/100))/Skills!D13)))+((C1323=TRUE)*F1323*IF(AND(Inputs!$B$39&lt;&gt;"pvp",Inputs!$B$44&gt;0),(((R1323-1)*(Skills!T14*(1+Inputs!$B$35/100))+MIN((Skills!T14*(1+Inputs!$B$35/100)),MAX(0,Inputs!$B$44-((R1323-1)*Skills!D14))))/Inputs!$B$44),IF(Inputs!$B$39="pvp",MIN((Skills!T14*(1+Inputs!$B$35/100)),15)/15,(Skills!T14*(1+Inputs!$B$35/100))/Skills!D14)))+((C1324=TRUE)*F1324*IF(AND(Inputs!$B$39&lt;&gt;"pvp",Inputs!$B$44&gt;0),(((R1324-1)*(Skills!T15*(1+Inputs!$B$35/100))+MIN((Skills!T15*(1+Inputs!$B$35/100)),MAX(0,Inputs!$B$44-((R1324-1)*Skills!D15))))/Inputs!$B$44),IF(Inputs!$B$39="pvp",MIN((Skills!T15*(1+Inputs!$B$35/100)),15)/15,(Skills!T15*(1+Inputs!$B$35/100))/Skills!D15)))+((C1325=TRUE)*F1325*IF(AND(Inputs!$B$39&lt;&gt;"pvp",Inputs!$B$44&gt;0),(((R1325-1)*(Skills!T16*(1+Inputs!$B$35/100))+MIN((Skills!T16*(1+Inputs!$B$35/100)),MAX(0,Inputs!$B$44-((R1325-1)*Skills!D16))))/Inputs!$B$44),IF(Inputs!$B$39="pvp",MIN((Skills!T16*(1+Inputs!$B$35/100)),15)/15,(Skills!T16*(1+Inputs!$B$35/100))/Skills!D16)))+0)/100)*I1321)</f>
        <v/>
      </c>
      <c r="L1321">
        <f>K1321*(MIN(Inputs!$B$23+((C1331=TRUE)*(F1331-Calc!F22)),Inputs!$B$24+((C1333=TRUE)*(F1333-Calc!F24)))/100+(Inputs!$B$24+((C1333=TRUE)*(F1333-Calc!F24)))/100)/2</f>
        <v/>
      </c>
      <c r="M1321">
        <f>L1321*(1+(Inputs!$B$11+0+B1343)/100)</f>
        <v/>
      </c>
      <c r="N1321">
        <f>L1321*(1-MIN((Inputs!$B$10+0+B1338),100)/100)+M1321*(MIN((Inputs!$B$10+0+B1338),100)/100)</f>
        <v/>
      </c>
      <c r="O1321">
        <f>(1-Summary!$B$55)*T1321+Summary!$B$55*V1321</f>
        <v/>
      </c>
      <c r="P1321">
        <f>IF(B1348=0,0,O1321/B1348)</f>
        <v/>
      </c>
      <c r="Q1321">
        <f>IFERROR(1/IF(Inputs!$B$39="pvp",15,MAX(0.1,Skills!D12-IF(Skills!E12=TRUE,1.5,0))),0)</f>
        <v/>
      </c>
      <c r="R1321">
        <f>IF(AND(Inputs!$B$39&lt;&gt;"pvp",Inputs!$B$44&gt;0),IF(MAX(0,Inputs!$B$44-B1345)&lt;=0,0,(INT(MAX(0,Inputs!$B$44-B1345)/IF(Inputs!$B$39="pvp",15,MAX(0.1,Skills!D12-IF(Skills!E12=TRUE,1.5,0))))+1)),0)</f>
        <v/>
      </c>
      <c r="S1321">
        <f>IFERROR(O1321/N1321,0)</f>
        <v/>
      </c>
      <c r="T1321">
        <f>IF(C1321,(H1321*N1321*IF(AND(Inputs!$B$39&lt;&gt;"pvp",Inputs!$B$44&gt;0),((Skills!G12*((R1321-1)*IF(Skills!H12&gt;0,Skills!I12/Skills!H12,1)+IF(Skills!H12&gt;0,MIN(Skills!I12,MAX(0,MAX(0,Inputs!$B$44-B1345)-((R1321-1)*IF(Inputs!$B$39="pvp",15,MAX(0.1,Skills!D12-IF(Skills!E12=TRUE,1.5,0))))))/Skills!H12,1)))/Inputs!$B$44),G1321*Q1321))*IF(Inputs!$B$39="pvp",1,1+(Inputs!$B$21+0+Skills!P12+((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0)</f>
        <v/>
      </c>
      <c r="V1321">
        <f>IF(C1321,(H1321*N1321*IF(AND(Inputs!$B$39&lt;&gt;"pvp",Inputs!$B$44&gt;0),((Skills!G12*((R1321-1)*IF(Skills!H12&gt;0,Skills!I12/Skills!H12,1)+IF(Skills!H12&gt;0,MIN(Skills!I12,MAX(0,MAX(0,Inputs!$B$44-B1345)-((R1321-1)*IF(Inputs!$B$39="pvp",15,MAX(0.1,Skills!D12-IF(Skills!E12=TRUE,1.5,0))))))/Skills!H12,1)))/Inputs!$B$44),G1321*Q1321))*IF(Inputs!$B$39="pvp",1,(1+(Inputs!$B$22+Skills!Q12+((C1326=TRUE)*F1326*IF(AND(Inputs!$B$39&lt;&gt;"pvp",Inputs!$B$44&gt;0),(((R1326-1)*(Skills!T17*(1+Inputs!$B$35/100))+MIN((Skills!T17*(1+Inputs!$B$35/100)),MAX(0,Inputs!$B$44-((R1326-1)*Skills!D17))))/Inputs!$B$44),IF(Inputs!$B$39="pvp",MIN((Skills!T17*(1+Inputs!$B$35/100)),15)/15,(Skills!T17*(1+Inputs!$B$35/100))/Skills!D17)))+((C1323=TRUE)*IF(Inputs!$B$39="pvp",20,(1-Summary!$B$55)*(20)+Summary!$B$55*(0))*IF(AND(Inputs!$B$39&lt;&gt;"pvp",Inputs!$B$44&gt;0),(((R1323-1)*(Skills!T14*(1+Inputs!$B$35/100))+MIN((Skills!T14*(1+Inputs!$B$35/100)),MAX(0,Inputs!$B$44-((R1323-1)*Skills!D14))))/Inputs!$B$44),IF(Inputs!$B$39="pvp",MIN((Skills!T14*(1+Inputs!$B$35/100)),15)/15,(Skills!T14*(1+Inputs!$B$35/100))/Skills!D14))))/100)*(MIN(Skills!R12,Inputs!$B$38))),0)</f>
        <v/>
      </c>
    </row>
    <row r="1322">
      <c r="A1322">
        <f>Skills!A13</f>
        <v/>
      </c>
      <c r="B1322">
        <f>Skills!B13</f>
        <v/>
      </c>
      <c r="C1322">
        <f>Inputs!$B$3&gt;=69</f>
        <v/>
      </c>
      <c r="D1322">
        <f>IF(Skills!C13=1,60+Inputs!$B$26+Inputs!$B$30,IF(Skills!C13=2,90+Inputs!$B$27+Inputs!$B$30,IF(Skills!C13=3,120+Inputs!$B$28+Inputs!$B$30,MAX(0,(Inputs!$B$3-100)*3)+Inputs!$B$29+Inputs!$B$30)))</f>
        <v/>
      </c>
      <c r="E1322">
        <f>INDEX(FactorTable!$B$2:$Y$301, MATCH(ROUND(MIN(300,MAX(1,D1322)),0), FactorTable!$A$2:$A$301,0), Skills!M13+1)</f>
        <v/>
      </c>
      <c r="F1322">
        <f>IF(Skills!N13=TRUE,(Skills!L13/10)*(E1322/1000),Skills!L13/10)+Skills!O13</f>
        <v/>
      </c>
      <c r="G1322">
        <f>Skills!G13*IF(Skills!H13&gt;0,Skills!I13/Skills!H13,1)</f>
        <v/>
      </c>
      <c r="H1322">
        <f>1-(1-Skills!J13/100)^Skills!K13</f>
        <v/>
      </c>
      <c r="I1322" t="inlineStr">
        <is>
          <t>1</t>
        </is>
      </c>
      <c r="J1322" t="inlineStr"/>
      <c r="K1322" t="inlineStr"/>
      <c r="L1322" t="inlineStr"/>
      <c r="M1322" t="inlineStr"/>
      <c r="N1322" t="inlineStr"/>
      <c r="O1322">
        <f>(1-Summary!$B$55)*T1322+Summary!$B$55*V1322</f>
        <v/>
      </c>
      <c r="P1322">
        <f>IF(B1348=0,0,O1322/B1348)</f>
        <v/>
      </c>
      <c r="Q1322">
        <f>IFERROR(1/IF(Inputs!$B$39="pvp",15,MAX(0.1,Skills!D13-IF(Skills!E13=TRUE,1.5,0))),0)</f>
        <v/>
      </c>
      <c r="R1322">
        <f>IF(AND(Inputs!$B$39&lt;&gt;"pvp",Inputs!$B$44&gt;0),IF(Inputs!$B$44&lt;=0,0,(INT(Inputs!$B$44/IF(Inputs!$B$39="pvp",15,MAX(0.1,Skills!D13-IF(Skills!E13=TRUE,1.5,0))))+1)),0)</f>
        <v/>
      </c>
      <c r="S1322">
        <f>IFERROR(O1322/N1322,0)</f>
        <v/>
      </c>
      <c r="T1322" t="n">
        <v>0</v>
      </c>
      <c r="V1322" t="n">
        <v>0</v>
      </c>
    </row>
    <row r="1323">
      <c r="A1323">
        <f>Skills!A14</f>
        <v/>
      </c>
      <c r="B1323">
        <f>Skills!B14</f>
        <v/>
      </c>
      <c r="C1323">
        <f>Inputs!$B$3&gt;=115</f>
        <v/>
      </c>
      <c r="D1323">
        <f>IF(Skills!C14=1,60+Inputs!$B$26+Inputs!$B$30,IF(Skills!C14=2,90+Inputs!$B$27+Inputs!$B$30,IF(Skills!C14=3,120+Inputs!$B$28+Inputs!$B$30,MAX(0,(Inputs!$B$3-100)*3)+Inputs!$B$29+Inputs!$B$30)))</f>
        <v/>
      </c>
      <c r="E1323">
        <f>INDEX(FactorTable!$B$2:$Y$301, MATCH(ROUND(MIN(300,MAX(1,D1323)),0), FactorTable!$A$2:$A$301,0), Skills!M14+1)</f>
        <v/>
      </c>
      <c r="F1323">
        <f>IF(Skills!N14=TRUE,(Skills!L14/10)*(E1323/1000),Skills!L14/10)+Skills!O14</f>
        <v/>
      </c>
      <c r="G1323">
        <f>Skills!G14*IF(Skills!H14&gt;0,Skills!I14/Skills!H14,1)</f>
        <v/>
      </c>
      <c r="H1323">
        <f>1-(1-Skills!J14/100)^Skills!K14</f>
        <v/>
      </c>
      <c r="I1323" t="inlineStr">
        <is>
          <t>1</t>
        </is>
      </c>
      <c r="J1323" t="inlineStr"/>
      <c r="K1323" t="inlineStr"/>
      <c r="L1323" t="inlineStr"/>
      <c r="M1323" t="inlineStr"/>
      <c r="N1323" t="inlineStr"/>
      <c r="O1323">
        <f>(1-Summary!$B$55)*T1323+Summary!$B$55*V1323</f>
        <v/>
      </c>
      <c r="P1323">
        <f>IF(B1348=0,0,O1323/B1348)</f>
        <v/>
      </c>
      <c r="Q1323">
        <f>IFERROR(1/IF(Inputs!$B$39="pvp",15,MAX(0.1,Skills!D14-IF(Skills!E14=TRUE,1.5,0))),0)</f>
        <v/>
      </c>
      <c r="R1323">
        <f>IF(AND(Inputs!$B$39&lt;&gt;"pvp",Inputs!$B$44&gt;0),IF(Inputs!$B$44&lt;=0,0,(INT(Inputs!$B$44/IF(Inputs!$B$39="pvp",15,MAX(0.1,Skills!D14-IF(Skills!E14=TRUE,1.5,0))))+1)),0)</f>
        <v/>
      </c>
      <c r="S1323">
        <f>IFERROR(O1323/N1323,0)</f>
        <v/>
      </c>
      <c r="T1323" t="n">
        <v>0</v>
      </c>
      <c r="V1323" t="n">
        <v>0</v>
      </c>
    </row>
    <row r="1324">
      <c r="A1324">
        <f>Skills!A15</f>
        <v/>
      </c>
      <c r="B1324">
        <f>Skills!B15</f>
        <v/>
      </c>
      <c r="C1324">
        <f>Inputs!$B$3&gt;=66</f>
        <v/>
      </c>
      <c r="D1324">
        <f>IF(Skills!C15=1,60+Inputs!$B$26+Inputs!$B$30,IF(Skills!C15=2,90+Inputs!$B$27+Inputs!$B$30,IF(Skills!C15=3,120+Inputs!$B$28+Inputs!$B$30,MAX(0,(Inputs!$B$3-100)*3)+Inputs!$B$29+Inputs!$B$30)))</f>
        <v/>
      </c>
      <c r="E1324">
        <f>INDEX(FactorTable!$B$2:$Y$301, MATCH(ROUND(MIN(300,MAX(1,D1324)),0), FactorTable!$A$2:$A$301,0), Skills!M15+1)</f>
        <v/>
      </c>
      <c r="F1324">
        <f>IF(Skills!N15=TRUE,(Skills!L15/10)*(E1324/1000),Skills!L15/10)+Skills!O15</f>
        <v/>
      </c>
      <c r="G1324">
        <f>Skills!G15*IF(Skills!H15&gt;0,Skills!I15/Skills!H15,1)</f>
        <v/>
      </c>
      <c r="H1324">
        <f>1-(1-Skills!J15/100)^Skills!K15</f>
        <v/>
      </c>
      <c r="I1324" t="inlineStr">
        <is>
          <t>1</t>
        </is>
      </c>
      <c r="J1324" t="inlineStr"/>
      <c r="K1324" t="inlineStr"/>
      <c r="L1324" t="inlineStr"/>
      <c r="M1324" t="inlineStr"/>
      <c r="N1324" t="inlineStr"/>
      <c r="O1324">
        <f>(1-Summary!$B$55)*T1324+Summary!$B$55*V1324</f>
        <v/>
      </c>
      <c r="P1324">
        <f>IF(B1348=0,0,O1324/B1348)</f>
        <v/>
      </c>
      <c r="Q1324">
        <f>IFERROR(1/IF(Inputs!$B$39="pvp",15,MAX(0.1,Skills!D15-IF(Skills!E15=TRUE,1.5,0))),0)</f>
        <v/>
      </c>
      <c r="R1324">
        <f>IF(AND(Inputs!$B$39&lt;&gt;"pvp",Inputs!$B$44&gt;0),IF(Inputs!$B$44&lt;=0,0,(INT(Inputs!$B$44/IF(Inputs!$B$39="pvp",15,MAX(0.1,Skills!D15-IF(Skills!E15=TRUE,1.5,0))))+1)),0)</f>
        <v/>
      </c>
      <c r="S1324">
        <f>IFERROR(O1324/N1324,0)</f>
        <v/>
      </c>
      <c r="T1324" t="n">
        <v>0</v>
      </c>
      <c r="V1324" t="n">
        <v>0</v>
      </c>
    </row>
    <row r="1325">
      <c r="A1325">
        <f>Skills!A16</f>
        <v/>
      </c>
      <c r="B1325">
        <f>Skills!B16</f>
        <v/>
      </c>
      <c r="C1325">
        <f>Inputs!$B$3&gt;=45</f>
        <v/>
      </c>
      <c r="D1325">
        <f>IF(Skills!C16=1,60+Inputs!$B$26+Inputs!$B$30,IF(Skills!C16=2,90+Inputs!$B$27+Inputs!$B$30,IF(Skills!C16=3,120+Inputs!$B$28+Inputs!$B$30,MAX(0,(Inputs!$B$3-100)*3)+Inputs!$B$29+Inputs!$B$30)))</f>
        <v/>
      </c>
      <c r="E1325">
        <f>INDEX(FactorTable!$B$2:$Y$301, MATCH(ROUND(MIN(300,MAX(1,D1325)),0), FactorTable!$A$2:$A$301,0), Skills!M16+1)</f>
        <v/>
      </c>
      <c r="F1325">
        <f>IF(Skills!N16=TRUE,(Skills!L16/10)*(E1325/1000),Skills!L16/10)+Skills!O16</f>
        <v/>
      </c>
      <c r="G1325">
        <f>Skills!G16*IF(Skills!H16&gt;0,Skills!I16/Skills!H16,1)</f>
        <v/>
      </c>
      <c r="H1325">
        <f>1-(1-Skills!J16/100)^Skills!K16</f>
        <v/>
      </c>
      <c r="I1325" t="inlineStr">
        <is>
          <t>1</t>
        </is>
      </c>
      <c r="J1325" t="inlineStr"/>
      <c r="K1325" t="inlineStr"/>
      <c r="L1325" t="inlineStr"/>
      <c r="M1325" t="inlineStr"/>
      <c r="N1325" t="inlineStr"/>
      <c r="O1325">
        <f>(1-Summary!$B$55)*T1325+Summary!$B$55*V1325</f>
        <v/>
      </c>
      <c r="P1325">
        <f>IF(B1348=0,0,O1325/B1348)</f>
        <v/>
      </c>
      <c r="Q1325">
        <f>IFERROR(1/IF(Inputs!$B$39="pvp",15,MAX(0.1,Skills!D16-IF(Skills!E16=TRUE,1.5,0))),0)</f>
        <v/>
      </c>
      <c r="R1325">
        <f>IF(AND(Inputs!$B$39&lt;&gt;"pvp",Inputs!$B$44&gt;0),IF(Inputs!$B$44&lt;=0,0,(INT(Inputs!$B$44/IF(Inputs!$B$39="pvp",15,MAX(0.1,Skills!D16-IF(Skills!E16=TRUE,1.5,0))))+1)),0)</f>
        <v/>
      </c>
      <c r="S1325">
        <f>IFERROR(O1325/N1325,0)</f>
        <v/>
      </c>
      <c r="T1325" t="n">
        <v>0</v>
      </c>
      <c r="V1325" t="n">
        <v>0</v>
      </c>
    </row>
    <row r="1326">
      <c r="A1326">
        <f>Skills!A17</f>
        <v/>
      </c>
      <c r="B1326">
        <f>Skills!B17</f>
        <v/>
      </c>
      <c r="C1326">
        <f>Inputs!$B$3&gt;=35</f>
        <v/>
      </c>
      <c r="D1326">
        <f>IF(Skills!C17=1,60+Inputs!$B$26+Inputs!$B$30,IF(Skills!C17=2,90+Inputs!$B$27+Inputs!$B$30,IF(Skills!C17=3,120+Inputs!$B$28+Inputs!$B$30,MAX(0,(Inputs!$B$3-100)*3)+Inputs!$B$29+Inputs!$B$30)))</f>
        <v/>
      </c>
      <c r="E1326">
        <f>INDEX(FactorTable!$B$2:$Y$301, MATCH(ROUND(MIN(300,MAX(1,D1326)),0), FactorTable!$A$2:$A$301,0), Skills!M17+1)</f>
        <v/>
      </c>
      <c r="F1326">
        <f>IF(Skills!N17=TRUE,(Skills!L17/10)*(E1326/1000),Skills!L17/10)+Skills!O17</f>
        <v/>
      </c>
      <c r="G1326">
        <f>Skills!G17*IF(Skills!H17&gt;0,Skills!I17/Skills!H17,1)</f>
        <v/>
      </c>
      <c r="H1326">
        <f>1-(1-Skills!J17/100)^Skills!K17</f>
        <v/>
      </c>
      <c r="I1326" t="inlineStr">
        <is>
          <t>1</t>
        </is>
      </c>
      <c r="J1326" t="inlineStr"/>
      <c r="K1326" t="inlineStr"/>
      <c r="L1326" t="inlineStr"/>
      <c r="M1326" t="inlineStr"/>
      <c r="N1326" t="inlineStr"/>
      <c r="O1326">
        <f>(1-Summary!$B$55)*T1326+Summary!$B$55*V1326</f>
        <v/>
      </c>
      <c r="P1326">
        <f>IF(B1348=0,0,O1326/B1348)</f>
        <v/>
      </c>
      <c r="Q1326">
        <f>IFERROR(1/IF(Inputs!$B$39="pvp",15,MAX(0.1,Skills!D17-IF(Skills!E17=TRUE,1.5,0))),0)</f>
        <v/>
      </c>
      <c r="R1326">
        <f>IF(AND(Inputs!$B$39&lt;&gt;"pvp",Inputs!$B$44&gt;0),IF(Inputs!$B$44&lt;=0,0,(INT(Inputs!$B$44/IF(Inputs!$B$39="pvp",15,MAX(0.1,Skills!D17-IF(Skills!E17=TRUE,1.5,0))))+1)),0)</f>
        <v/>
      </c>
      <c r="S1326">
        <f>IFERROR(O1326/N1326,0)</f>
        <v/>
      </c>
      <c r="T1326" t="n">
        <v>0</v>
      </c>
      <c r="V1326" t="n">
        <v>0</v>
      </c>
    </row>
    <row r="1327">
      <c r="A1327">
        <f>Skills!A18</f>
        <v/>
      </c>
      <c r="B1327">
        <f>Skills!B18</f>
        <v/>
      </c>
      <c r="C1327">
        <f>Inputs!$B$3&gt;=72</f>
        <v/>
      </c>
      <c r="D1327">
        <f>IF(Skills!C18=1,60+Inputs!$B$26+Inputs!$B$30,IF(Skills!C18=2,90+Inputs!$B$27+Inputs!$B$30,IF(Skills!C18=3,120+Inputs!$B$28+Inputs!$B$30,MAX(0,(Inputs!$B$3-100)*3)+Inputs!$B$29+Inputs!$B$30)))</f>
        <v/>
      </c>
      <c r="E1327">
        <f>INDEX(FactorTable!$B$2:$Y$301, MATCH(ROUND(MIN(300,MAX(1,D1327)),0), FactorTable!$A$2:$A$301,0), Skills!M18+1)</f>
        <v/>
      </c>
      <c r="F1327">
        <f>IF(Skills!N18=TRUE,(Skills!L18/10)*(E1327/1000),Skills!L18/10)+Skills!O18</f>
        <v/>
      </c>
      <c r="G1327">
        <f>Skills!G18*IF(Skills!H18&gt;0,Skills!I18/Skills!H18,1)</f>
        <v/>
      </c>
      <c r="H1327">
        <f>1-(1-Skills!J18/100)^Skills!K18</f>
        <v/>
      </c>
      <c r="I1327" t="inlineStr">
        <is>
          <t>1</t>
        </is>
      </c>
      <c r="J1327" t="inlineStr"/>
      <c r="K1327" t="inlineStr"/>
      <c r="L1327" t="inlineStr"/>
      <c r="M1327" t="inlineStr"/>
      <c r="N1327" t="inlineStr"/>
      <c r="O1327">
        <f>(1-Summary!$B$55)*T1327+Summary!$B$55*V1327</f>
        <v/>
      </c>
      <c r="P1327">
        <f>IF(B1348=0,0,O1327/B1348)</f>
        <v/>
      </c>
      <c r="Q1327">
        <f>IFERROR(1/IF(Inputs!$B$39="pvp",15,MAX(0.1,Skills!D18-IF(Skills!E18=TRUE,1.5,0))),0)</f>
        <v/>
      </c>
      <c r="R1327">
        <f>IF(AND(Inputs!$B$39&lt;&gt;"pvp",Inputs!$B$44&gt;0),IF(Inputs!$B$44&lt;=0,0,(INT(Inputs!$B$44/IF(Inputs!$B$39="pvp",15,MAX(0.1,Skills!D18-IF(Skills!E18=TRUE,1.5,0))))+1)),0)</f>
        <v/>
      </c>
      <c r="S1327">
        <f>IFERROR(O1327/N1327,0)</f>
        <v/>
      </c>
      <c r="T1327" t="n">
        <v>0</v>
      </c>
      <c r="V1327" t="n">
        <v>0</v>
      </c>
    </row>
    <row r="1328">
      <c r="A1328">
        <f>Skills!A19</f>
        <v/>
      </c>
      <c r="B1328">
        <f>Skills!B19</f>
        <v/>
      </c>
      <c r="C1328">
        <f>Inputs!$B$3&gt;=72</f>
        <v/>
      </c>
      <c r="D1328">
        <f>IF(Skills!C19=1,60+Inputs!$B$26+Inputs!$B$30,IF(Skills!C19=2,90+Inputs!$B$27+Inputs!$B$30,IF(Skills!C19=3,120+Inputs!$B$28+Inputs!$B$30,MAX(0,(Inputs!$B$3-100)*3)+Inputs!$B$29+Inputs!$B$30)))</f>
        <v/>
      </c>
      <c r="E1328">
        <f>INDEX(FactorTable!$B$2:$Y$301, MATCH(ROUND(MIN(300,MAX(1,D1328)),0), FactorTable!$A$2:$A$301,0), Skills!M19+1)</f>
        <v/>
      </c>
      <c r="F1328">
        <f>IF(Skills!N19=TRUE,(Skills!L19/10)*(E1328/1000),Skills!L19/10)+Skills!O19</f>
        <v/>
      </c>
      <c r="G1328">
        <f>Skills!G19*IF(Skills!H19&gt;0,Skills!I19/Skills!H19,1)</f>
        <v/>
      </c>
      <c r="H1328">
        <f>1-(1-Skills!J19/100)^Skills!K19</f>
        <v/>
      </c>
      <c r="I1328" t="inlineStr">
        <is>
          <t>1</t>
        </is>
      </c>
      <c r="J1328" t="inlineStr"/>
      <c r="K1328" t="inlineStr"/>
      <c r="L1328" t="inlineStr"/>
      <c r="M1328" t="inlineStr"/>
      <c r="N1328" t="inlineStr"/>
      <c r="O1328">
        <f>(1-Summary!$B$55)*T1328+Summary!$B$55*V1328</f>
        <v/>
      </c>
      <c r="P1328">
        <f>IF(B1348=0,0,O1328/B1348)</f>
        <v/>
      </c>
      <c r="Q1328">
        <f>IFERROR(1/IF(Inputs!$B$39="pvp",15,MAX(0.1,Skills!D19-IF(Skills!E19=TRUE,1.5,0))),0)</f>
        <v/>
      </c>
      <c r="R1328">
        <f>IF(AND(Inputs!$B$39&lt;&gt;"pvp",Inputs!$B$44&gt;0),IF(Inputs!$B$44&lt;=0,0,(INT(Inputs!$B$44/IF(Inputs!$B$39="pvp",15,MAX(0.1,Skills!D19-IF(Skills!E19=TRUE,1.5,0))))+1)),0)</f>
        <v/>
      </c>
      <c r="S1328">
        <f>IFERROR(O1328/N1328,0)</f>
        <v/>
      </c>
      <c r="T1328" t="n">
        <v>0</v>
      </c>
      <c r="V1328" t="n">
        <v>0</v>
      </c>
    </row>
    <row r="1329">
      <c r="A1329">
        <f>Skills!A20</f>
        <v/>
      </c>
      <c r="B1329">
        <f>Skills!B20</f>
        <v/>
      </c>
      <c r="C1329">
        <f>TRUE</f>
        <v/>
      </c>
      <c r="D1329">
        <f>IF(Skills!C20=1,60+Inputs!$B$26+Inputs!$B$30,IF(Skills!C20=2,90+Inputs!$B$27+Inputs!$B$30,IF(Skills!C20=3,120+Inputs!$B$28+Inputs!$B$30,MAX(0,(Inputs!$B$3-100)*3)+Inputs!$B$29+Inputs!$B$30)))</f>
        <v/>
      </c>
      <c r="E1329">
        <f>INDEX(FactorTable!$B$2:$Y$301, MATCH(ROUND(MIN(300,MAX(1,D1329)),0), FactorTable!$A$2:$A$301,0), Skills!M20+1)</f>
        <v/>
      </c>
      <c r="F1329">
        <f>IF(Skills!N20=TRUE,(Skills!L20/10)*(E1329/1000),Skills!L20/10)+Skills!O20</f>
        <v/>
      </c>
      <c r="G1329">
        <f>Skills!G20*IF(Skills!H20&gt;0,Skills!I20/Skills!H20,1)</f>
        <v/>
      </c>
      <c r="H1329">
        <f>1-(1-Skills!J20/100)^Skills!K20</f>
        <v/>
      </c>
      <c r="I1329" t="inlineStr">
        <is>
          <t>1</t>
        </is>
      </c>
      <c r="J1329" t="inlineStr"/>
      <c r="K1329" t="inlineStr"/>
      <c r="L1329" t="inlineStr"/>
      <c r="M1329" t="inlineStr"/>
      <c r="N1329" t="inlineStr"/>
      <c r="O1329">
        <f>(1-Summary!$B$55)*T1329+Summary!$B$55*V1329</f>
        <v/>
      </c>
      <c r="P1329">
        <f>IF(B1348=0,0,O1329/B1348)</f>
        <v/>
      </c>
      <c r="Q1329">
        <f>IFERROR(1/IF(Inputs!$B$39="pvp",15,MAX(0.1,Skills!D20-IF(Skills!E20=TRUE,1.5,0))),0)</f>
        <v/>
      </c>
      <c r="R1329">
        <f>IF(AND(Inputs!$B$39&lt;&gt;"pvp",Inputs!$B$44&gt;0),IF(Inputs!$B$44&lt;=0,0,(INT(Inputs!$B$44/IF(Inputs!$B$39="pvp",15,MAX(0.1,Skills!D20-IF(Skills!E20=TRUE,1.5,0))))+1)),0)</f>
        <v/>
      </c>
      <c r="S1329">
        <f>IFERROR(O1329/N1329,0)</f>
        <v/>
      </c>
      <c r="T1329" t="n">
        <v>0</v>
      </c>
      <c r="V1329" t="n">
        <v>0</v>
      </c>
    </row>
    <row r="1330">
      <c r="A1330">
        <f>Skills!A21</f>
        <v/>
      </c>
      <c r="B1330">
        <f>Skills!B21</f>
        <v/>
      </c>
      <c r="C1330">
        <f>Inputs!$B$3&gt;=33</f>
        <v/>
      </c>
      <c r="D1330">
        <f>IF(Skills!C21=1,60+Inputs!$B$26+Inputs!$B$30,IF(Skills!C21=2,90+Inputs!$B$27+Inputs!$B$30,IF(Skills!C21=3,120+Inputs!$B$28+Inputs!$B$30,MAX(0,(Inputs!$B$3-100)*3)+Inputs!$B$29+Inputs!$B$30)))</f>
        <v/>
      </c>
      <c r="E1330">
        <f>INDEX(FactorTable!$B$2:$Y$301, MATCH(ROUND(MIN(300,MAX(1,D1330)),0), FactorTable!$A$2:$A$301,0), Skills!M21+1)</f>
        <v/>
      </c>
      <c r="F1330">
        <f>IF(Skills!N21=TRUE,(Skills!L21/10)*(E1330/1000),Skills!L21/10)+Skills!O21</f>
        <v/>
      </c>
      <c r="G1330">
        <f>Skills!G21*IF(Skills!H21&gt;0,Skills!I21/Skills!H21,1)</f>
        <v/>
      </c>
      <c r="H1330">
        <f>1-(1-Skills!J21/100)^Skills!K21</f>
        <v/>
      </c>
      <c r="I1330" t="inlineStr">
        <is>
          <t>1</t>
        </is>
      </c>
      <c r="J1330" t="inlineStr"/>
      <c r="K1330" t="inlineStr"/>
      <c r="L1330" t="inlineStr"/>
      <c r="M1330" t="inlineStr"/>
      <c r="N1330" t="inlineStr"/>
      <c r="O1330">
        <f>(1-Summary!$B$55)*T1330+Summary!$B$55*V1330</f>
        <v/>
      </c>
      <c r="P1330">
        <f>IF(B1348=0,0,O1330/B1348)</f>
        <v/>
      </c>
      <c r="Q1330" t="n">
        <v>0</v>
      </c>
      <c r="R1330" t="n">
        <v>0</v>
      </c>
      <c r="S1330">
        <f>IFERROR(O1330/N1330,0)</f>
        <v/>
      </c>
      <c r="T1330" t="n">
        <v>0</v>
      </c>
      <c r="V1330" t="n">
        <v>0</v>
      </c>
    </row>
    <row r="1331">
      <c r="A1331">
        <f>Skills!A22</f>
        <v/>
      </c>
      <c r="B1331">
        <f>Skills!B22</f>
        <v/>
      </c>
      <c r="C1331">
        <f>Inputs!$B$3&gt;=43</f>
        <v/>
      </c>
      <c r="D1331">
        <f>IF(Skills!C22=1,60+Inputs!$B$26+Inputs!$B$30,IF(Skills!C22=2,90+Inputs!$B$27+Inputs!$B$30,IF(Skills!C22=3,120+Inputs!$B$28+Inputs!$B$30,MAX(0,(Inputs!$B$3-100)*3)+Inputs!$B$29+Inputs!$B$30)))</f>
        <v/>
      </c>
      <c r="E1331">
        <f>INDEX(FactorTable!$B$2:$Y$301, MATCH(ROUND(MIN(300,MAX(1,D1331)),0), FactorTable!$A$2:$A$301,0), Skills!M22+1)</f>
        <v/>
      </c>
      <c r="F1331">
        <f>IF(Skills!N22=TRUE,(Skills!L22/10)*(E1331/1000),Skills!L22/10)+Skills!O22</f>
        <v/>
      </c>
      <c r="G1331">
        <f>Skills!G22*IF(Skills!H22&gt;0,Skills!I22/Skills!H22,1)</f>
        <v/>
      </c>
      <c r="H1331">
        <f>1-(1-Skills!J22/100)^Skills!K22</f>
        <v/>
      </c>
      <c r="I1331" t="inlineStr">
        <is>
          <t>1</t>
        </is>
      </c>
      <c r="J1331" t="inlineStr"/>
      <c r="K1331" t="inlineStr"/>
      <c r="L1331" t="inlineStr"/>
      <c r="M1331" t="inlineStr"/>
      <c r="N1331" t="inlineStr"/>
      <c r="O1331">
        <f>(1-Summary!$B$55)*T1331+Summary!$B$55*V1331</f>
        <v/>
      </c>
      <c r="P1331">
        <f>IF(B1348=0,0,O1331/B1348)</f>
        <v/>
      </c>
      <c r="Q1331" t="n">
        <v>0</v>
      </c>
      <c r="R1331" t="n">
        <v>0</v>
      </c>
      <c r="S1331">
        <f>IFERROR(O1331/N1331,0)</f>
        <v/>
      </c>
      <c r="T1331" t="n">
        <v>0</v>
      </c>
      <c r="V1331" t="n">
        <v>0</v>
      </c>
    </row>
    <row r="1332">
      <c r="A1332">
        <f>Skills!A23</f>
        <v/>
      </c>
      <c r="B1332">
        <f>Skills!B23</f>
        <v/>
      </c>
      <c r="C1332">
        <f>Inputs!$B$3&gt;=120</f>
        <v/>
      </c>
      <c r="D1332">
        <f>IF(Skills!C23=1,60+Inputs!$B$26+Inputs!$B$30,IF(Skills!C23=2,90+Inputs!$B$27+Inputs!$B$30,IF(Skills!C23=3,120+Inputs!$B$28+Inputs!$B$30,MAX(0,(Inputs!$B$3-100)*3)+Inputs!$B$29+Inputs!$B$30)))</f>
        <v/>
      </c>
      <c r="E1332">
        <f>INDEX(FactorTable!$B$2:$Y$301, MATCH(ROUND(MIN(300,MAX(1,D1332)),0), FactorTable!$A$2:$A$301,0), Skills!M23+1)</f>
        <v/>
      </c>
      <c r="F1332">
        <f>IF(Skills!N23=TRUE,(Skills!L23/10)*(E1332/1000),Skills!L23/10)+Skills!O23</f>
        <v/>
      </c>
      <c r="G1332">
        <f>Skills!G23*IF(Skills!H23&gt;0,Skills!I23/Skills!H23,1)</f>
        <v/>
      </c>
      <c r="H1332">
        <f>1-(1-Skills!J23/100)^Skills!K23</f>
        <v/>
      </c>
      <c r="I1332" t="inlineStr">
        <is>
          <t>1</t>
        </is>
      </c>
      <c r="J1332" t="inlineStr"/>
      <c r="K1332" t="inlineStr"/>
      <c r="L1332" t="inlineStr"/>
      <c r="M1332" t="inlineStr"/>
      <c r="N1332" t="inlineStr"/>
      <c r="O1332">
        <f>(1-Summary!$B$55)*T1332+Summary!$B$55*V1332</f>
        <v/>
      </c>
      <c r="P1332">
        <f>IF(B1348=0,0,O1332/B1348)</f>
        <v/>
      </c>
      <c r="Q1332" t="n">
        <v>0</v>
      </c>
      <c r="R1332" t="n">
        <v>0</v>
      </c>
      <c r="S1332">
        <f>IFERROR(O1332/N1332,0)</f>
        <v/>
      </c>
      <c r="T1332" t="n">
        <v>0</v>
      </c>
      <c r="V1332" t="n">
        <v>0</v>
      </c>
    </row>
    <row r="1333">
      <c r="A1333">
        <f>Skills!A24</f>
        <v/>
      </c>
      <c r="B1333">
        <f>Skills!B24</f>
        <v/>
      </c>
      <c r="C1333">
        <f>Inputs!$B$3&gt;=120</f>
        <v/>
      </c>
      <c r="D1333">
        <f>IF(Skills!C24=1,60+Inputs!$B$26+Inputs!$B$30,IF(Skills!C24=2,90+Inputs!$B$27+Inputs!$B$30,IF(Skills!C24=3,120+Inputs!$B$28+Inputs!$B$30,MAX(0,(Inputs!$B$3-100)*3)+Inputs!$B$29+Inputs!$B$30)))</f>
        <v/>
      </c>
      <c r="E1333">
        <f>INDEX(FactorTable!$B$2:$Y$301, MATCH(ROUND(MIN(300,MAX(1,D1333)),0), FactorTable!$A$2:$A$301,0), Skills!M24+1)</f>
        <v/>
      </c>
      <c r="F1333">
        <f>IF(Skills!N24=TRUE,(Skills!L24/10)*(E1333/1000),Skills!L24/10)+Skills!O24</f>
        <v/>
      </c>
      <c r="G1333">
        <f>Skills!G24*IF(Skills!H24&gt;0,Skills!I24/Skills!H24,1)</f>
        <v/>
      </c>
      <c r="H1333">
        <f>1-(1-Skills!J24/100)^Skills!K24</f>
        <v/>
      </c>
      <c r="I1333" t="inlineStr">
        <is>
          <t>1</t>
        </is>
      </c>
      <c r="J1333" t="inlineStr"/>
      <c r="K1333" t="inlineStr"/>
      <c r="L1333" t="inlineStr"/>
      <c r="M1333" t="inlineStr"/>
      <c r="N1333" t="inlineStr"/>
      <c r="O1333">
        <f>(1-Summary!$B$55)*T1333+Summary!$B$55*V1333</f>
        <v/>
      </c>
      <c r="P1333">
        <f>IF(B1348=0,0,O1333/B1348)</f>
        <v/>
      </c>
      <c r="Q1333" t="n">
        <v>0</v>
      </c>
      <c r="R1333" t="n">
        <v>0</v>
      </c>
      <c r="S1333">
        <f>IFERROR(O1333/N1333,0)</f>
        <v/>
      </c>
      <c r="T1333" t="n">
        <v>0</v>
      </c>
      <c r="V1333" t="n">
        <v>0</v>
      </c>
    </row>
    <row r="1334">
      <c r="A1334">
        <f>Skills!A25</f>
        <v/>
      </c>
      <c r="B1334">
        <f>Skills!B25</f>
        <v/>
      </c>
      <c r="C1334">
        <f>Inputs!$B$3&gt;=125</f>
        <v/>
      </c>
      <c r="D1334">
        <f>IF(Skills!C25=1,60+Inputs!$B$26+Inputs!$B$30,IF(Skills!C25=2,90+Inputs!$B$27+Inputs!$B$30,IF(Skills!C25=3,120+Inputs!$B$28+Inputs!$B$30,MAX(0,(Inputs!$B$3-100)*3)+Inputs!$B$29+Inputs!$B$30)))</f>
        <v/>
      </c>
      <c r="E1334">
        <f>INDEX(FactorTable!$B$2:$Y$301, MATCH(ROUND(MIN(300,MAX(1,D1334)),0), FactorTable!$A$2:$A$301,0), Skills!M25+1)</f>
        <v/>
      </c>
      <c r="F1334">
        <f>IF(Skills!N25=TRUE,(Skills!L25/10)*(E1334/1000),Skills!L25/10)+Skills!O25</f>
        <v/>
      </c>
      <c r="G1334">
        <f>Skills!G25*IF(Skills!H25&gt;0,Skills!I25/Skills!H25,1)</f>
        <v/>
      </c>
      <c r="H1334">
        <f>1-(1-Skills!J25/100)^Skills!K25</f>
        <v/>
      </c>
      <c r="I1334" t="inlineStr">
        <is>
          <t>1</t>
        </is>
      </c>
      <c r="J1334" t="inlineStr"/>
      <c r="K1334" t="inlineStr"/>
      <c r="L1334" t="inlineStr"/>
      <c r="M1334" t="inlineStr"/>
      <c r="N1334" t="inlineStr"/>
      <c r="O1334">
        <f>(1-Summary!$B$55)*T1334+Summary!$B$55*V1334</f>
        <v/>
      </c>
      <c r="P1334">
        <f>IF(B1348=0,0,O1334/B1348)</f>
        <v/>
      </c>
      <c r="Q1334" t="n">
        <v>0</v>
      </c>
      <c r="R1334" t="n">
        <v>0</v>
      </c>
      <c r="S1334">
        <f>IFERROR(O1334/N1334,0)</f>
        <v/>
      </c>
      <c r="T1334" t="n">
        <v>0</v>
      </c>
      <c r="V1334" t="n">
        <v>0</v>
      </c>
    </row>
    <row r="1335">
      <c r="A1335">
        <f>Skills!A26</f>
        <v/>
      </c>
      <c r="B1335">
        <f>Skills!B26</f>
        <v/>
      </c>
      <c r="C1335">
        <f>Inputs!$B$3&gt;=107</f>
        <v/>
      </c>
      <c r="D1335">
        <f>IF(Skills!C26=1,60+Inputs!$B$26+Inputs!$B$30,IF(Skills!C26=2,90+Inputs!$B$27+Inputs!$B$30,IF(Skills!C26=3,120+Inputs!$B$28+Inputs!$B$30,MAX(0,(Inputs!$B$3-100)*3)+Inputs!$B$29+Inputs!$B$30)))</f>
        <v/>
      </c>
      <c r="E1335">
        <f>INDEX(FactorTable!$B$2:$Y$301, MATCH(ROUND(MIN(300,MAX(1,D1335)),0), FactorTable!$A$2:$A$301,0), Skills!M26+1)</f>
        <v/>
      </c>
      <c r="F1335">
        <f>IF(Skills!N26=TRUE,(Skills!L26/10)*(E1335/1000),Skills!L26/10)+Skills!O26</f>
        <v/>
      </c>
      <c r="G1335">
        <f>Skills!G26*IF(Skills!H26&gt;0,Skills!I26/Skills!H26,1)</f>
        <v/>
      </c>
      <c r="H1335">
        <f>1-(1-Skills!J26/100)^Skills!K26</f>
        <v/>
      </c>
      <c r="I1335" t="inlineStr">
        <is>
          <t>1</t>
        </is>
      </c>
      <c r="J1335" t="inlineStr"/>
      <c r="K1335" t="inlineStr"/>
      <c r="L1335" t="inlineStr"/>
      <c r="M1335" t="inlineStr"/>
      <c r="N1335" t="inlineStr"/>
      <c r="O1335">
        <f>(1-Summary!$B$55)*T1335+Summary!$B$55*V1335</f>
        <v/>
      </c>
      <c r="P1335">
        <f>IF(B1348=0,0,O1335/B1348)</f>
        <v/>
      </c>
      <c r="Q1335" t="n">
        <v>0</v>
      </c>
      <c r="R1335" t="n">
        <v>0</v>
      </c>
      <c r="S1335">
        <f>IFERROR(O1335/N1335,0)</f>
        <v/>
      </c>
      <c r="T1335" t="n">
        <v>0</v>
      </c>
      <c r="V1335" t="n">
        <v>0</v>
      </c>
    </row>
    <row r="1337">
      <c r="A1337" t="inlineStr">
        <is>
          <t>Attack% Bucket Multiplier</t>
        </is>
      </c>
      <c r="B1337">
        <f>(1+(((C1322=TRUE)*F1322*IF(AND(Inputs!$B$39&lt;&gt;"pvp",Inputs!$B$44&gt;0),(((R1322-1)*(Skills!T13*(1+Inputs!$B$35/100))+MIN((Skills!T13*(1+Inputs!$B$35/100)),MAX(0,Inputs!$B$44-((R1322-1)*Skills!D13))))/Inputs!$B$44),IF(Inputs!$B$39="pvp",MIN((Skills!T13*(1+Inputs!$B$35/100)),15)/15,(Skills!T13*(1+Inputs!$B$35/100))/Skills!D13)))+((C1323=TRUE)*F1323*IF(AND(Inputs!$B$39&lt;&gt;"pvp",Inputs!$B$44&gt;0),(((R1323-1)*(Skills!T14*(1+Inputs!$B$35/100))+MIN((Skills!T14*(1+Inputs!$B$35/100)),MAX(0,Inputs!$B$44-((R1323-1)*Skills!D14))))/Inputs!$B$44),IF(Inputs!$B$39="pvp",MIN((Skills!T14*(1+Inputs!$B$35/100)),15)/15,(Skills!T14*(1+Inputs!$B$35/100))/Skills!D14)))+((C1324=TRUE)*F1324*IF(AND(Inputs!$B$39&lt;&gt;"pvp",Inputs!$B$44&gt;0),(((R1324-1)*(Skills!T15*(1+Inputs!$B$35/100))+MIN((Skills!T15*(1+Inputs!$B$35/100)),MAX(0,Inputs!$B$44-((R1324-1)*Skills!D15))))/Inputs!$B$44),IF(Inputs!$B$39="pvp",MIN((Skills!T15*(1+Inputs!$B$35/100)),15)/15,(Skills!T15*(1+Inputs!$B$35/100))/Skills!D15)))+((C1325=TRUE)*F1325*IF(AND(Inputs!$B$39&lt;&gt;"pvp",Inputs!$B$44&gt;0),(((R1325-1)*(Skills!T16*(1+Inputs!$B$35/100))+MIN((Skills!T16*(1+Inputs!$B$35/100)),MAX(0,Inputs!$B$44-((R1325-1)*Skills!D16))))/Inputs!$B$44),IF(Inputs!$B$39="pvp",MIN((Skills!T16*(1+Inputs!$B$35/100)),15)/15,(Skills!T16*(1+Inputs!$B$35/100))/Skills!D16)))+0)/100)</f>
        <v/>
      </c>
    </row>
    <row r="1338">
      <c r="A1338" t="inlineStr">
        <is>
          <t>Global Crit Rate Bonus % (Lord of Darkness)</t>
        </is>
      </c>
      <c r="B1338">
        <f>((C1327=TRUE)*F1327*(Skills!J18/100)*IF(AND(Inputs!$B$39&lt;&gt;"pvp",Inputs!$B$44&gt;0),(((R1327-1)*(Skills!T18*(1+Inputs!$B$35/100))+MIN((Skills!T18*(1+Inputs!$B$35/100)),MAX(0,Inputs!$B$44-((R1327-1)*Skills!D18))))/Inputs!$B$44),IF(Inputs!$B$39="pvp",MIN((Skills!T18*(1+Inputs!$B$35/100)),15)/15,(Skills!T18*(1+Inputs!$B$35/100))/Skills!D18)))</f>
        <v/>
      </c>
    </row>
    <row r="1339">
      <c r="A1339" t="inlineStr">
        <is>
          <t>Attack Speed Buff Bonus %</t>
        </is>
      </c>
      <c r="B1339">
        <f>((C1329=TRUE)*F1329*IF(AND(Inputs!$B$39&lt;&gt;"pvp",Inputs!$B$44&gt;0),(((R1329-1)*(Skills!T20*(1+Inputs!$B$35/100))+MIN((Skills!T20*(1+Inputs!$B$35/100)),MAX(0,Inputs!$B$44-((R1329-1)*Skills!D20))))/Inputs!$B$44),IF(Inputs!$B$39="pvp",MIN((Skills!T20*(1+Inputs!$B$35/100)),15)/15,(Skills!T20*(1+Inputs!$B$35/100))/Skills!D20)))</f>
        <v/>
      </c>
    </row>
    <row r="1340">
      <c r="A1340" t="inlineStr">
        <is>
          <t>Actions Per Second</t>
        </is>
      </c>
      <c r="B1340">
        <f>1+MIN(150,150*(1-(1-(Inputs!$B$12+((C1330=TRUE)*(F1330-Calc!F21)))/150)*(1-B1339/150)))/100</f>
        <v/>
      </c>
    </row>
    <row r="1341">
      <c r="A1341" t="inlineStr">
        <is>
          <t>Skill + Buff Cast Rate</t>
        </is>
      </c>
      <c r="B1341">
        <f>IF(AND(Inputs!$B$39&lt;&gt;"pvp",Inputs!$B$44&gt;0),SUMPRODUCT((Skills!E2:E26=TRUE)*(C1311:C1335=TRUE)*R1311:R1335*Skills!F2:F26)/Inputs!$B$44,SUMPRODUCT((Skills!E2:E26=TRUE)*(C1311:C1335=TRUE)*Q1311:Q1335*Skills!F2:F26))</f>
        <v/>
      </c>
    </row>
    <row r="1342">
      <c r="A1342" t="inlineStr">
        <is>
          <t>Dark Impale Casts Per Second</t>
        </is>
      </c>
      <c r="B1342">
        <f>MAX(0,B1340-B1341)</f>
        <v/>
      </c>
    </row>
    <row r="1343">
      <c r="A1343" t="inlineStr">
        <is>
          <t>Global Critical Damage Bonus % (Lord of Darkness)</t>
        </is>
      </c>
      <c r="B1343">
        <f>((C1328=TRUE)*F1328*(Skills!J19/100)*IF(AND(Inputs!$B$39&lt;&gt;"pvp",Inputs!$B$44&gt;0),(((R1328-1)*(Skills!T19*(1+Inputs!$B$35/100))+MIN((Skills!T19*(1+Inputs!$B$35/100)),MAX(0,Inputs!$B$44-((R1328-1)*Skills!D19))))/Inputs!$B$44),IF(Inputs!$B$39="pvp",MIN((Skills!T19*(1+Inputs!$B$35/100)),15)/15,(Skills!T19*(1+Inputs!$B$35/100))/Skills!D19)))</f>
        <v/>
      </c>
    </row>
    <row r="1344">
      <c r="A1344" t="inlineStr">
        <is>
          <t>Global Final Damage Bonus % (unused)</t>
        </is>
      </c>
      <c r="B1344" t="n">
        <v>0</v>
      </c>
    </row>
    <row r="1345">
      <c r="A1345" t="inlineStr">
        <is>
          <t>Buff-Casting Startup Delay (s, fixed-duration only)</t>
        </is>
      </c>
      <c r="B1345">
        <f>IF(AND(Inputs!$B$39&lt;&gt;"pvp",Inputs!$B$44&gt;0),SUMPRODUCT((Skills!T2:T26&gt;0)*(Skills!E2:E26=TRUE)*(C1311:C1335=TRUE))/B1340,0)</f>
        <v/>
      </c>
    </row>
    <row r="1346">
      <c r="A1346" t="inlineStr">
        <is>
          <t>Boss-Only Total DPS (this block's swept value)</t>
        </is>
      </c>
      <c r="B1346">
        <f>SUM(T1311:T1335)</f>
        <v/>
      </c>
    </row>
    <row r="1347">
      <c r="A1347" t="inlineStr">
        <is>
          <t>Normal-Only Total DPS (this block's swept value)</t>
        </is>
      </c>
      <c r="B1347">
        <f>SUM(V1311:V1335)</f>
        <v/>
      </c>
    </row>
    <row r="1348">
      <c r="A1348" s="5" t="inlineStr">
        <is>
          <t>TOTAL DPS</t>
        </is>
      </c>
      <c r="B1348" s="5">
        <f>SUM(O1311:O1335)</f>
        <v/>
      </c>
    </row>
    <row r="1351">
      <c r="A1351" s="5" t="inlineStr">
        <is>
          <t>Stat: CDR = 2.0s</t>
        </is>
      </c>
    </row>
    <row r="1352">
      <c r="A1352" s="9" t="inlineStr">
        <is>
          <t>Key</t>
        </is>
      </c>
      <c r="B1352" s="9" t="inlineStr">
        <is>
          <t>Name</t>
        </is>
      </c>
      <c r="C1352" s="9" t="inlineStr">
        <is>
          <t>Unlocked</t>
        </is>
      </c>
      <c r="D1352" s="9" t="inlineStr">
        <is>
          <t>InputLevel</t>
        </is>
      </c>
      <c r="E1352" s="9" t="inlineStr">
        <is>
          <t>Factor</t>
        </is>
      </c>
      <c r="F1352" s="9" t="inlineStr">
        <is>
          <t>CoefficientPercent</t>
        </is>
      </c>
      <c r="G1352" s="9" t="inlineStr">
        <is>
          <t>EffectiveHits</t>
        </is>
      </c>
      <c r="H1352" s="9" t="inlineStr">
        <is>
          <t>ProcProbability</t>
        </is>
      </c>
      <c r="I1352" s="9" t="inlineStr">
        <is>
          <t>MapleHeroMultiplier</t>
        </is>
      </c>
      <c r="J1352" s="9" t="inlineStr">
        <is>
          <t>BaseDamage</t>
        </is>
      </c>
      <c r="K1352" s="9" t="inlineStr">
        <is>
          <t>BaseHitDamage</t>
        </is>
      </c>
      <c r="L1352" s="9" t="inlineStr">
        <is>
          <t>NonCritAvg</t>
        </is>
      </c>
      <c r="M1352" s="9" t="inlineStr">
        <is>
          <t>CritAvg</t>
        </is>
      </c>
      <c r="N1352" s="9" t="inlineStr">
        <is>
          <t>ExpectedDamage(perHit)</t>
        </is>
      </c>
      <c r="O1352" s="9" t="inlineStr">
        <is>
          <t>DPS</t>
        </is>
      </c>
      <c r="P1352" s="9" t="inlineStr">
        <is>
          <t>% of Total</t>
        </is>
      </c>
      <c r="Q1352" s="9" t="inlineStr">
        <is>
          <t>InvCooldown</t>
        </is>
      </c>
      <c r="R1352" s="9" t="inlineStr">
        <is>
          <t>CastsInFight</t>
        </is>
      </c>
      <c r="S1352" s="9" t="inlineStr">
        <is>
          <t>HitRate(perSec)</t>
        </is>
      </c>
      <c r="U1352" t="inlineStr">
        <is>
          <t>helpers</t>
        </is>
      </c>
    </row>
    <row r="1353">
      <c r="A1353">
        <f>Skills!A2</f>
        <v/>
      </c>
      <c r="B1353">
        <f>Skills!B2</f>
        <v/>
      </c>
      <c r="C1353">
        <f>Inputs!$B$3&gt;=100</f>
        <v/>
      </c>
      <c r="D1353" t="inlineStr"/>
      <c r="E1353" t="inlineStr"/>
      <c r="F1353">
        <f>U1355+Skills!O2</f>
        <v/>
      </c>
      <c r="G1353">
        <f>Skills!G2*IF(Skills!H2&gt;0,Skills!I2/Skills!H2,1)</f>
        <v/>
      </c>
      <c r="H1353">
        <f>1-(1-Skills!J2/100)^Skills!K2</f>
        <v/>
      </c>
      <c r="I1353" t="inlineStr">
        <is>
          <t>1</t>
        </is>
      </c>
      <c r="J1353">
        <f>((Inputs!$B$6*(1+Inputs!$B$7/100))+(((Inputs!$B$13*(1+Inputs!$B$14/100))-(Inputs!$B$13*(1+Inputs!$B$14/100)))+0.25*(Inputs!$B$15-Inputs!$B$15))*(1+Inputs!$B$7/100))*(F1353/100)</f>
        <v/>
      </c>
      <c r="K1353">
        <f>J1353*(1+(((Inputs!$B$13+IF(Inputs!$B$3&gt;=38,(10*INDEX(FactorTable!$B$2:$Y$301, MATCH(ROUND(MIN(300,MAX(1,Inputs!$B$3)),0), FactorTable!$A$2:$A$301,0), 23)/1000)/100*(Inputs!$B$8*(1+Inputs!$B$9/100)),0))*(1+Inputs!$B$14/100))*0.01+Inputs!$B$15*0.0025)/100)*(1+Inputs!$B$16/100)*(1+Inputs!$B$17/100)*(5000/(6000+Inputs!$B$43*(1-(Inputs!$B$20+0)/100)))*(1+(Inputs!$B$25+((C1376=TRUE)*(F1376-Calc!F25))+((C1377=TRUE)*(F1377-Calc!F26))+B1386)/100)*(1+(IF(Skills!A2="DARK_IMPALE",Inputs!$B$18+0,Inputs!$B$19+((C1374=TRUE)*(F1374-Calc!F23))))/100)*((1+(((C1364=TRUE)*F1364*IF(AND(Inputs!$B$39&lt;&gt;"pvp",Inputs!$B$44&gt;0),(((R1364-1)*(Skills!T13*(1+Inputs!$B$35/100))+MIN((Skills!T13*(1+Inputs!$B$35/100)),MAX(0,Inputs!$B$44-((R1364-1)*Skills!D13))))/Inputs!$B$44),IF(Inputs!$B$39="pvp",MIN((Skills!T13*(1+Inputs!$B$35/100)),15)/15,(Skills!T13*(1+Inputs!$B$35/100))/Skills!D13)))+((C1365=TRUE)*F1365*IF(AND(Inputs!$B$39&lt;&gt;"pvp",Inputs!$B$44&gt;0),(((R1365-1)*(Skills!T14*(1+Inputs!$B$35/100))+MIN((Skills!T14*(1+Inputs!$B$35/100)),MAX(0,Inputs!$B$44-((R1365-1)*Skills!D14))))/Inputs!$B$44),IF(Inputs!$B$39="pvp",MIN((Skills!T14*(1+Inputs!$B$35/100)),15)/15,(Skills!T14*(1+Inputs!$B$35/100))/Skills!D14)))+((C1366=TRUE)*F1366*IF(AND(Inputs!$B$39&lt;&gt;"pvp",Inputs!$B$44&gt;0),(((R1366-1)*(Skills!T15*(1+Inputs!$B$35/100))+MIN((Skills!T15*(1+Inputs!$B$35/100)),MAX(0,Inputs!$B$44-((R1366-1)*Skills!D15))))/Inputs!$B$44),IF(Inputs!$B$39="pvp",MIN((Skills!T15*(1+Inputs!$B$35/100)),15)/15,(Skills!T15*(1+Inputs!$B$35/100))/Skills!D15)))+((C1367=TRUE)*F1367*IF(AND(Inputs!$B$39&lt;&gt;"pvp",Inputs!$B$44&gt;0),(((R1367-1)*(Skills!T16*(1+Inputs!$B$35/100))+MIN((Skills!T16*(1+Inputs!$B$35/100)),MAX(0,Inputs!$B$44-((R1367-1)*Skills!D16))))/Inputs!$B$44),IF(Inputs!$B$39="pvp",MIN((Skills!T16*(1+Inputs!$B$35/100)),15)/15,(Skills!T16*(1+Inputs!$B$35/100))/Skills!D16)))+0)/100)*I1353)</f>
        <v/>
      </c>
      <c r="L1353">
        <f>K1353*(MIN(Inputs!$B$23+((C1373=TRUE)*(F1373-Calc!F22)),Inputs!$B$24+((C1375=TRUE)*(F1375-Calc!F24)))/100+(Inputs!$B$24+((C1375=TRUE)*(F1375-Calc!F24)))/100)/2</f>
        <v/>
      </c>
      <c r="M1353">
        <f>L1353*(1+(Inputs!$B$11+0+B1385)/100)</f>
        <v/>
      </c>
      <c r="N1353">
        <f>L1353*(1-MIN((Inputs!$B$10+0+B1380),100)/100)+M1353*(MIN((Inputs!$B$10+0+B1380),100)/100)</f>
        <v/>
      </c>
      <c r="O1353">
        <f>(1-Summary!$B$55)*T1353+Summary!$B$55*V1353</f>
        <v/>
      </c>
      <c r="P1353">
        <f>IF(B1390=0,0,O1353/B1390)</f>
        <v/>
      </c>
      <c r="Q1353" t="n">
        <v>0</v>
      </c>
      <c r="R1353" t="n">
        <v>0</v>
      </c>
      <c r="S1353">
        <f>IFERROR(O1353/N1353,0)</f>
        <v/>
      </c>
      <c r="T1353">
        <f>IF(C1353,(Skills!G2*N1353*B1384)*IF(Inputs!$B$39="pvp",1,1+(Inputs!$B$21+0+Skills!P2+((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0)</f>
        <v/>
      </c>
      <c r="U1353">
        <f>MAX(0,(Inputs!$B$3-100)*3)+Inputs!$B$29+Inputs!$B$30</f>
        <v/>
      </c>
      <c r="V1353">
        <f>IF(C1353,(Skills!G2*N1353*B1384)*IF(Inputs!$B$39="pvp",1,(1+(Inputs!$B$22+Skills!Q2+((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MIN((6+Inputs!$B$34),Inputs!$B$38))),0)</f>
        <v/>
      </c>
    </row>
    <row r="1354">
      <c r="A1354">
        <f>Skills!A3</f>
        <v/>
      </c>
      <c r="B1354">
        <f>Skills!B3</f>
        <v/>
      </c>
      <c r="C1354">
        <f>Inputs!$B$3&gt;=50</f>
        <v/>
      </c>
      <c r="D1354">
        <f>IF(Skills!C3=1,60+Inputs!$B$26+Inputs!$B$30,IF(Skills!C3=2,90+Inputs!$B$27+Inputs!$B$30,IF(Skills!C3=3,120+Inputs!$B$28+Inputs!$B$30,MAX(0,(Inputs!$B$3-100)*3)+Inputs!$B$29+Inputs!$B$30)))</f>
        <v/>
      </c>
      <c r="E1354">
        <f>INDEX(FactorTable!$B$2:$Y$301, MATCH(ROUND(MIN(300,MAX(1,D1354)),0), FactorTable!$A$2:$A$301,0), Skills!M3+1)</f>
        <v/>
      </c>
      <c r="F1354">
        <f>IF(Skills!N3=TRUE,(Skills!L3/10)*(E1354/1000),Skills!L3/10)+Skills!O3</f>
        <v/>
      </c>
      <c r="G1354" t="inlineStr"/>
      <c r="H1354" t="inlineStr"/>
      <c r="I1354" t="inlineStr">
        <is>
          <t>1</t>
        </is>
      </c>
      <c r="J1354" t="inlineStr"/>
      <c r="K1354" t="inlineStr"/>
      <c r="L1354" t="inlineStr"/>
      <c r="M1354" t="inlineStr"/>
      <c r="N1354" t="inlineStr"/>
      <c r="O1354" t="inlineStr"/>
      <c r="P1354" t="inlineStr"/>
      <c r="Q1354" t="inlineStr"/>
      <c r="R1354" t="inlineStr"/>
      <c r="S1354" t="inlineStr"/>
      <c r="U1354">
        <f>INDEX(FactorTable!$B$2:$Y$301, MATCH(ROUND(MIN(300,MAX(1,U1353)),0), FactorTable!$A$2:$A$301,0), 22)</f>
        <v/>
      </c>
    </row>
    <row r="1355">
      <c r="A1355">
        <f>Skills!A4</f>
        <v/>
      </c>
      <c r="B1355">
        <f>Skills!B4</f>
        <v/>
      </c>
      <c r="C1355">
        <f>Inputs!$B$3&gt;=105</f>
        <v/>
      </c>
      <c r="D1355">
        <f>IF(Skills!C4=1,60+Inputs!$B$26+Inputs!$B$30,IF(Skills!C4=2,90+Inputs!$B$27+Inputs!$B$30,IF(Skills!C4=3,120+Inputs!$B$28+Inputs!$B$30,MAX(0,(Inputs!$B$3-100)*3)+Inputs!$B$29+Inputs!$B$30)))</f>
        <v/>
      </c>
      <c r="E1355">
        <f>INDEX(FactorTable!$B$2:$Y$301, MATCH(ROUND(MIN(300,MAX(1,D1355)),0), FactorTable!$A$2:$A$301,0), Skills!M4+1)</f>
        <v/>
      </c>
      <c r="F1355">
        <f>IF(Skills!N4=TRUE,(Skills!L4/10)*(E1355/1000),Skills!L4/10)+Skills!O4</f>
        <v/>
      </c>
      <c r="G1355" t="inlineStr"/>
      <c r="H1355" t="inlineStr"/>
      <c r="I1355" t="inlineStr">
        <is>
          <t>1</t>
        </is>
      </c>
      <c r="J1355" t="inlineStr"/>
      <c r="K1355" t="inlineStr"/>
      <c r="L1355" t="inlineStr"/>
      <c r="M1355" t="inlineStr"/>
      <c r="N1355" t="inlineStr"/>
      <c r="O1355" t="inlineStr"/>
      <c r="P1355" t="inlineStr"/>
      <c r="Q1355" t="inlineStr"/>
      <c r="R1355" t="inlineStr"/>
      <c r="S1355" t="inlineStr"/>
      <c r="U1355">
        <f>290*U1354/1000</f>
        <v/>
      </c>
    </row>
    <row r="1356">
      <c r="A1356">
        <f>Skills!A5</f>
        <v/>
      </c>
      <c r="B1356">
        <f>Skills!B5</f>
        <v/>
      </c>
      <c r="C1356">
        <f>Inputs!$B$3&gt;=117</f>
        <v/>
      </c>
      <c r="D1356">
        <f>IF(Skills!C5=1,60+Inputs!$B$26+Inputs!$B$30,IF(Skills!C5=2,90+Inputs!$B$27+Inputs!$B$30,IF(Skills!C5=3,120+Inputs!$B$28+Inputs!$B$30,MAX(0,(Inputs!$B$3-100)*3)+Inputs!$B$29+Inputs!$B$30)))</f>
        <v/>
      </c>
      <c r="E1356">
        <f>INDEX(FactorTable!$B$2:$Y$301, MATCH(ROUND(MIN(300,MAX(1,D1356)),0), FactorTable!$A$2:$A$301,0), Skills!M5+1)</f>
        <v/>
      </c>
      <c r="F1356">
        <f>IF(Skills!N5=TRUE,(Skills!L5/10)*(E1356/1000),Skills!L5/10)+Skills!O5</f>
        <v/>
      </c>
      <c r="G1356">
        <f>Skills!G5*IF(Skills!H5&gt;0,Skills!I5/Skills!H5,1)</f>
        <v/>
      </c>
      <c r="H1356">
        <f>1-(1-Skills!J5/100)^Skills!K5</f>
        <v/>
      </c>
      <c r="I1356" t="inlineStr">
        <is>
          <t>1</t>
        </is>
      </c>
      <c r="J1356">
        <f>((Inputs!$B$6*(1+Inputs!$B$7/100))+(((Inputs!$B$13*(1+Inputs!$B$14/100))-(Inputs!$B$13*(1+Inputs!$B$14/100)))+0.25*(Inputs!$B$15-Inputs!$B$15))*(1+Inputs!$B$7/100))*(F1356/100)</f>
        <v/>
      </c>
      <c r="K1356">
        <f>J1356*(1+(((Inputs!$B$13+IF(Inputs!$B$3&gt;=38,(10*INDEX(FactorTable!$B$2:$Y$301, MATCH(ROUND(MIN(300,MAX(1,Inputs!$B$3)),0), FactorTable!$A$2:$A$301,0), 23)/1000)/100*(Inputs!$B$8*(1+Inputs!$B$9/100)),0))*(1+Inputs!$B$14/100))*0.01+Inputs!$B$15*0.0025)/100)*(1+Inputs!$B$16/100)*(1+Inputs!$B$17/100)*(5000/(6000+Inputs!$B$43*(1-(Inputs!$B$20+0)/100)))*(1+(Inputs!$B$25+((C1376=TRUE)*(F1376-Calc!F25))+((C1377=TRUE)*(F1377-Calc!F26))+B1386)/100)*(1+(IF(Skills!A5="DARK_IMPALE",Inputs!$B$18+0,Inputs!$B$19+((C1374=TRUE)*(F1374-Calc!F23))))/100)*((1+(((C1364=TRUE)*F1364*IF(AND(Inputs!$B$39&lt;&gt;"pvp",Inputs!$B$44&gt;0),(((R1364-1)*(Skills!T13*(1+Inputs!$B$35/100))+MIN((Skills!T13*(1+Inputs!$B$35/100)),MAX(0,Inputs!$B$44-((R1364-1)*Skills!D13))))/Inputs!$B$44),IF(Inputs!$B$39="pvp",MIN((Skills!T13*(1+Inputs!$B$35/100)),15)/15,(Skills!T13*(1+Inputs!$B$35/100))/Skills!D13)))+((C1365=TRUE)*F1365*IF(AND(Inputs!$B$39&lt;&gt;"pvp",Inputs!$B$44&gt;0),(((R1365-1)*(Skills!T14*(1+Inputs!$B$35/100))+MIN((Skills!T14*(1+Inputs!$B$35/100)),MAX(0,Inputs!$B$44-((R1365-1)*Skills!D14))))/Inputs!$B$44),IF(Inputs!$B$39="pvp",MIN((Skills!T14*(1+Inputs!$B$35/100)),15)/15,(Skills!T14*(1+Inputs!$B$35/100))/Skills!D14)))+((C1366=TRUE)*F1366*IF(AND(Inputs!$B$39&lt;&gt;"pvp",Inputs!$B$44&gt;0),(((R1366-1)*(Skills!T15*(1+Inputs!$B$35/100))+MIN((Skills!T15*(1+Inputs!$B$35/100)),MAX(0,Inputs!$B$44-((R1366-1)*Skills!D15))))/Inputs!$B$44),IF(Inputs!$B$39="pvp",MIN((Skills!T15*(1+Inputs!$B$35/100)),15)/15,(Skills!T15*(1+Inputs!$B$35/100))/Skills!D15)))+((C1367=TRUE)*F1367*IF(AND(Inputs!$B$39&lt;&gt;"pvp",Inputs!$B$44&gt;0),(((R1367-1)*(Skills!T16*(1+Inputs!$B$35/100))+MIN((Skills!T16*(1+Inputs!$B$35/100)),MAX(0,Inputs!$B$44-((R1367-1)*Skills!D16))))/Inputs!$B$44),IF(Inputs!$B$39="pvp",MIN((Skills!T16*(1+Inputs!$B$35/100)),15)/15,(Skills!T16*(1+Inputs!$B$35/100))/Skills!D16)))+0)/100)*I1356)</f>
        <v/>
      </c>
      <c r="L1356">
        <f>K1356*(MIN(Inputs!$B$23+((C1373=TRUE)*(F1373-Calc!F22)),Inputs!$B$24+((C1375=TRUE)*(F1375-Calc!F24)))/100+(Inputs!$B$24+((C1375=TRUE)*(F1375-Calc!F24)))/100)/2</f>
        <v/>
      </c>
      <c r="M1356">
        <f>L1356*(1+(Inputs!$B$11+0+B1385)/100)</f>
        <v/>
      </c>
      <c r="N1356">
        <f>L1356*(1-MIN((Inputs!$B$10+0+B1380),100)/100)+M1356*(MIN((Inputs!$B$10+0+B1380),100)/100)</f>
        <v/>
      </c>
      <c r="O1356">
        <f>(1-Summary!$B$55)*T1356+Summary!$B$55*V1356</f>
        <v/>
      </c>
      <c r="P1356">
        <f>IF(B1390=0,0,O1356/B1390)</f>
        <v/>
      </c>
      <c r="Q1356">
        <f>IFERROR(1/IF(Inputs!$B$39="pvp",15,MAX(0.1,Skills!D5-IF(Skills!E5=TRUE,2.0,0))),0)</f>
        <v/>
      </c>
      <c r="R1356">
        <f>IF(AND(Inputs!$B$39&lt;&gt;"pvp",Inputs!$B$44&gt;0),IF(MAX(0,Inputs!$B$44-B1387)&lt;=0,0,(INT(MAX(0,Inputs!$B$44-B1387)/IF(Inputs!$B$39="pvp",15,MAX(0.1,Skills!D5-IF(Skills!E5=TRUE,2.0,0))))+1)),0)</f>
        <v/>
      </c>
      <c r="S1356">
        <f>IFERROR(O1356/N1356,0)</f>
        <v/>
      </c>
      <c r="T1356">
        <f>IF(C1356,(H1356*N1356*IF(AND(Inputs!$B$39&lt;&gt;"pvp",Inputs!$B$44&gt;0),((Skills!G5*((R1356-1)*IF(Skills!H5&gt;0,Skills!I5/Skills!H5,1)+IF(Skills!H5&gt;0,MIN(Skills!I5,MAX(0,MAX(0,Inputs!$B$44-B1387)-((R1356-1)*IF(Inputs!$B$39="pvp",15,MAX(0.1,Skills!D5-IF(Skills!E5=TRUE,2.0,0))))))/Skills!H5,1)))/Inputs!$B$44),G1356*Q1356))*IF(Inputs!$B$39="pvp",1,1+(Inputs!$B$21+0+Skills!P5+((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0)</f>
        <v/>
      </c>
      <c r="V1356">
        <f>IF(C1356,(H1356*N1356*IF(AND(Inputs!$B$39&lt;&gt;"pvp",Inputs!$B$44&gt;0),((Skills!G5*((R1356-1)*IF(Skills!H5&gt;0,Skills!I5/Skills!H5,1)+IF(Skills!H5&gt;0,MIN(Skills!I5,MAX(0,MAX(0,Inputs!$B$44-B1387)-((R1356-1)*IF(Inputs!$B$39="pvp",15,MAX(0.1,Skills!D5-IF(Skills!E5=TRUE,2.0,0))))))/Skills!H5,1)))/Inputs!$B$44),G1356*Q1356))*IF(Inputs!$B$39="pvp",1,(1+(Inputs!$B$22+Skills!Q5+((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MIN(Skills!R5,Inputs!$B$38))),0)</f>
        <v/>
      </c>
    </row>
    <row r="1357">
      <c r="A1357">
        <f>Skills!A6</f>
        <v/>
      </c>
      <c r="B1357">
        <f>Skills!B6</f>
        <v/>
      </c>
      <c r="C1357">
        <f>Inputs!$B$3&gt;=103</f>
        <v/>
      </c>
      <c r="D1357">
        <f>IF(Skills!C6=1,60+Inputs!$B$26+Inputs!$B$30,IF(Skills!C6=2,90+Inputs!$B$27+Inputs!$B$30,IF(Skills!C6=3,120+Inputs!$B$28+Inputs!$B$30,MAX(0,(Inputs!$B$3-100)*3)+Inputs!$B$29+Inputs!$B$30)))</f>
        <v/>
      </c>
      <c r="E1357">
        <f>INDEX(FactorTable!$B$2:$Y$301, MATCH(ROUND(MIN(300,MAX(1,D1357)),0), FactorTable!$A$2:$A$301,0), Skills!M6+1)</f>
        <v/>
      </c>
      <c r="F1357">
        <f>IF(Skills!N6=TRUE,(Skills!L6/10)*(E1357/1000),Skills!L6/10)+Skills!O6</f>
        <v/>
      </c>
      <c r="G1357">
        <f>Skills!G6*IF(Skills!H6&gt;0,Skills!I6/Skills!H6,1)</f>
        <v/>
      </c>
      <c r="H1357">
        <f>1-(1-Skills!J6/100)^Skills!K6</f>
        <v/>
      </c>
      <c r="I1357" t="inlineStr">
        <is>
          <t>1</t>
        </is>
      </c>
      <c r="J1357">
        <f>((Inputs!$B$6*(1+Inputs!$B$7/100))+(((Inputs!$B$13*(1+Inputs!$B$14/100))-(Inputs!$B$13*(1+Inputs!$B$14/100)))+0.25*(Inputs!$B$15-Inputs!$B$15))*(1+Inputs!$B$7/100))*(F1357/100)</f>
        <v/>
      </c>
      <c r="K1357">
        <f>J1357*(1+(((Inputs!$B$13+IF(Inputs!$B$3&gt;=38,(10*INDEX(FactorTable!$B$2:$Y$301, MATCH(ROUND(MIN(300,MAX(1,Inputs!$B$3)),0), FactorTable!$A$2:$A$301,0), 23)/1000)/100*(Inputs!$B$8*(1+Inputs!$B$9/100)),0))*(1+Inputs!$B$14/100))*0.01+Inputs!$B$15*0.0025)/100)*(1+Inputs!$B$16/100)*(1+Inputs!$B$17/100)*(5000/(6000+Inputs!$B$43*(1-(Inputs!$B$20+0)/100)))*(1+(Inputs!$B$25+((C1376=TRUE)*(F1376-Calc!F25))+((C1377=TRUE)*(F1377-Calc!F26))+B1386)/100)*(1+(IF(Skills!A6="DARK_IMPALE",Inputs!$B$18+0,Inputs!$B$19+((C1374=TRUE)*(F1374-Calc!F23))))/100)*((1+(((C1364=TRUE)*F1364*IF(AND(Inputs!$B$39&lt;&gt;"pvp",Inputs!$B$44&gt;0),(((R1364-1)*(Skills!T13*(1+Inputs!$B$35/100))+MIN((Skills!T13*(1+Inputs!$B$35/100)),MAX(0,Inputs!$B$44-((R1364-1)*Skills!D13))))/Inputs!$B$44),IF(Inputs!$B$39="pvp",MIN((Skills!T13*(1+Inputs!$B$35/100)),15)/15,(Skills!T13*(1+Inputs!$B$35/100))/Skills!D13)))+((C1365=TRUE)*F1365*IF(AND(Inputs!$B$39&lt;&gt;"pvp",Inputs!$B$44&gt;0),(((R1365-1)*(Skills!T14*(1+Inputs!$B$35/100))+MIN((Skills!T14*(1+Inputs!$B$35/100)),MAX(0,Inputs!$B$44-((R1365-1)*Skills!D14))))/Inputs!$B$44),IF(Inputs!$B$39="pvp",MIN((Skills!T14*(1+Inputs!$B$35/100)),15)/15,(Skills!T14*(1+Inputs!$B$35/100))/Skills!D14)))+((C1366=TRUE)*F1366*IF(AND(Inputs!$B$39&lt;&gt;"pvp",Inputs!$B$44&gt;0),(((R1366-1)*(Skills!T15*(1+Inputs!$B$35/100))+MIN((Skills!T15*(1+Inputs!$B$35/100)),MAX(0,Inputs!$B$44-((R1366-1)*Skills!D15))))/Inputs!$B$44),IF(Inputs!$B$39="pvp",MIN((Skills!T15*(1+Inputs!$B$35/100)),15)/15,(Skills!T15*(1+Inputs!$B$35/100))/Skills!D15)))+((C1367=TRUE)*F1367*IF(AND(Inputs!$B$39&lt;&gt;"pvp",Inputs!$B$44&gt;0),(((R1367-1)*(Skills!T16*(1+Inputs!$B$35/100))+MIN((Skills!T16*(1+Inputs!$B$35/100)),MAX(0,Inputs!$B$44-((R1367-1)*Skills!D16))))/Inputs!$B$44),IF(Inputs!$B$39="pvp",MIN((Skills!T16*(1+Inputs!$B$35/100)),15)/15,(Skills!T16*(1+Inputs!$B$35/100))/Skills!D16)))+0)/100)*I1357)</f>
        <v/>
      </c>
      <c r="L1357">
        <f>K1357*(MIN(Inputs!$B$23+((C1373=TRUE)*(F1373-Calc!F22)),Inputs!$B$24+((C1375=TRUE)*(F1375-Calc!F24)))/100+(Inputs!$B$24+((C1375=TRUE)*(F1375-Calc!F24)))/100)/2</f>
        <v/>
      </c>
      <c r="M1357">
        <f>L1357*(1+(Inputs!$B$11+0+B1385)/100)</f>
        <v/>
      </c>
      <c r="N1357">
        <f>L1357*(1-MIN((Inputs!$B$10+0+B1380),100)/100)+M1357*(MIN((Inputs!$B$10+0+B1380),100)/100)</f>
        <v/>
      </c>
      <c r="O1357">
        <f>(1-Summary!$B$55)*T1357+Summary!$B$55*V1357</f>
        <v/>
      </c>
      <c r="P1357">
        <f>IF(B1390=0,0,O1357/B1390)</f>
        <v/>
      </c>
      <c r="Q1357">
        <f>IFERROR(1/IF(Inputs!$B$39="pvp",15,MAX(0.1,Skills!D6-IF(Skills!E6=TRUE,2.0,0))),0)</f>
        <v/>
      </c>
      <c r="R1357">
        <f>IF(AND(Inputs!$B$39&lt;&gt;"pvp",Inputs!$B$44&gt;0),IF(MAX(0,Inputs!$B$44-B1387)&lt;=0,0,(INT(MAX(0,Inputs!$B$44-B1387)/IF(Inputs!$B$39="pvp",15,MAX(0.1,Skills!D6-IF(Skills!E6=TRUE,2.0,0))))+1)),0)</f>
        <v/>
      </c>
      <c r="S1357">
        <f>IFERROR(O1357/N1357,0)</f>
        <v/>
      </c>
      <c r="T1357">
        <f>IF(C1357,(H1357*N1357*IF(AND(Inputs!$B$39&lt;&gt;"pvp",Inputs!$B$44&gt;0),((Skills!G6*((R1357-1)*IF(Skills!H6&gt;0,Skills!I6/Skills!H6,1)+IF(Skills!H6&gt;0,MIN(Skills!I6,MAX(0,MAX(0,Inputs!$B$44-B1387)-((R1357-1)*IF(Inputs!$B$39="pvp",15,MAX(0.1,Skills!D6-IF(Skills!E6=TRUE,2.0,0))))))/Skills!H6,1)))/Inputs!$B$44),G1357*Q1357))*IF(Inputs!$B$39="pvp",1,1+(Inputs!$B$21+0+Skills!P6+((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0)</f>
        <v/>
      </c>
      <c r="V1357">
        <f>IF(C1357,(H1357*N1357*IF(AND(Inputs!$B$39&lt;&gt;"pvp",Inputs!$B$44&gt;0),((Skills!G6*((R1357-1)*IF(Skills!H6&gt;0,Skills!I6/Skills!H6,1)+IF(Skills!H6&gt;0,MIN(Skills!I6,MAX(0,MAX(0,Inputs!$B$44-B1387)-((R1357-1)*IF(Inputs!$B$39="pvp",15,MAX(0.1,Skills!D6-IF(Skills!E6=TRUE,2.0,0))))))/Skills!H6,1)))/Inputs!$B$44),G1357*Q1357))*IF(Inputs!$B$39="pvp",1,(1+(Inputs!$B$22+Skills!Q6+((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MIN(Skills!R6,Inputs!$B$38))),0)</f>
        <v/>
      </c>
    </row>
    <row r="1358">
      <c r="A1358">
        <f>Skills!A7</f>
        <v/>
      </c>
      <c r="B1358">
        <f>Skills!B7</f>
        <v/>
      </c>
      <c r="C1358">
        <f>Inputs!$B$3&gt;=40</f>
        <v/>
      </c>
      <c r="D1358">
        <f>IF(Skills!C7=1,60+Inputs!$B$26+Inputs!$B$30,IF(Skills!C7=2,90+Inputs!$B$27+Inputs!$B$30,IF(Skills!C7=3,120+Inputs!$B$28+Inputs!$B$30,MAX(0,(Inputs!$B$3-100)*3)+Inputs!$B$29+Inputs!$B$30)))</f>
        <v/>
      </c>
      <c r="E1358">
        <f>INDEX(FactorTable!$B$2:$Y$301, MATCH(ROUND(MIN(300,MAX(1,D1358)),0), FactorTable!$A$2:$A$301,0), Skills!M7+1)</f>
        <v/>
      </c>
      <c r="F1358">
        <f>IF(Skills!N7=TRUE,(Skills!L7/10)*(E1358/1000),Skills!L7/10)+Skills!O7</f>
        <v/>
      </c>
      <c r="G1358">
        <f>Skills!G7*IF(Skills!H7&gt;0,Skills!I7/Skills!H7,1)</f>
        <v/>
      </c>
      <c r="H1358">
        <f>1-(1-Skills!J7/100)^Skills!K7</f>
        <v/>
      </c>
      <c r="I1358" t="inlineStr">
        <is>
          <t>1</t>
        </is>
      </c>
      <c r="J1358">
        <f>((Inputs!$B$6*(1+Inputs!$B$7/100))+(((Inputs!$B$13*(1+Inputs!$B$14/100))-(Inputs!$B$13*(1+Inputs!$B$14/100)))+0.25*(Inputs!$B$15-Inputs!$B$15))*(1+Inputs!$B$7/100))*(F1358/100)</f>
        <v/>
      </c>
      <c r="K1358">
        <f>J1358*(1+(((Inputs!$B$13+IF(Inputs!$B$3&gt;=38,(10*INDEX(FactorTable!$B$2:$Y$301, MATCH(ROUND(MIN(300,MAX(1,Inputs!$B$3)),0), FactorTable!$A$2:$A$301,0), 23)/1000)/100*(Inputs!$B$8*(1+Inputs!$B$9/100)),0))*(1+Inputs!$B$14/100))*0.01+Inputs!$B$15*0.0025)/100)*(1+Inputs!$B$16/100)*(1+Inputs!$B$17/100)*(5000/(6000+Inputs!$B$43*(1-(Inputs!$B$20+0)/100)))*(1+(Inputs!$B$25+((C1376=TRUE)*(F1376-Calc!F25))+((C1377=TRUE)*(F1377-Calc!F26))+B1386)/100)*(1+0.75*IF(C1362=TRUE,F1362,0)/100)*(1+(IF(Skills!A7="DARK_IMPALE",Inputs!$B$18+0,Inputs!$B$19+((C1374=TRUE)*(F1374-Calc!F23))))/100)*((1+(((C1364=TRUE)*F1364*IF(AND(Inputs!$B$39&lt;&gt;"pvp",Inputs!$B$44&gt;0),(((R1364-1)*(Skills!T13*(1+Inputs!$B$35/100))+MIN((Skills!T13*(1+Inputs!$B$35/100)),MAX(0,Inputs!$B$44-((R1364-1)*Skills!D13))))/Inputs!$B$44),IF(Inputs!$B$39="pvp",MIN((Skills!T13*(1+Inputs!$B$35/100)),15)/15,(Skills!T13*(1+Inputs!$B$35/100))/Skills!D13)))+((C1365=TRUE)*F1365*IF(AND(Inputs!$B$39&lt;&gt;"pvp",Inputs!$B$44&gt;0),(((R1365-1)*(Skills!T14*(1+Inputs!$B$35/100))+MIN((Skills!T14*(1+Inputs!$B$35/100)),MAX(0,Inputs!$B$44-((R1365-1)*Skills!D14))))/Inputs!$B$44),IF(Inputs!$B$39="pvp",MIN((Skills!T14*(1+Inputs!$B$35/100)),15)/15,(Skills!T14*(1+Inputs!$B$35/100))/Skills!D14)))+((C1366=TRUE)*F1366*IF(AND(Inputs!$B$39&lt;&gt;"pvp",Inputs!$B$44&gt;0),(((R1366-1)*(Skills!T15*(1+Inputs!$B$35/100))+MIN((Skills!T15*(1+Inputs!$B$35/100)),MAX(0,Inputs!$B$44-((R1366-1)*Skills!D15))))/Inputs!$B$44),IF(Inputs!$B$39="pvp",MIN((Skills!T15*(1+Inputs!$B$35/100)),15)/15,(Skills!T15*(1+Inputs!$B$35/100))/Skills!D15)))+((C1367=TRUE)*F1367*IF(AND(Inputs!$B$39&lt;&gt;"pvp",Inputs!$B$44&gt;0),(((R1367-1)*(Skills!T16*(1+Inputs!$B$35/100))+MIN((Skills!T16*(1+Inputs!$B$35/100)),MAX(0,Inputs!$B$44-((R1367-1)*Skills!D16))))/Inputs!$B$44),IF(Inputs!$B$39="pvp",MIN((Skills!T16*(1+Inputs!$B$35/100)),15)/15,(Skills!T16*(1+Inputs!$B$35/100))/Skills!D16)))+0)/100)*I1358)</f>
        <v/>
      </c>
      <c r="L1358">
        <f>K1358*(MIN(Inputs!$B$23+((C1373=TRUE)*(F1373-Calc!F22)),Inputs!$B$24+((C1375=TRUE)*(F1375-Calc!F24)))/100+(Inputs!$B$24+((C1375=TRUE)*(F1375-Calc!F24)))/100)/2</f>
        <v/>
      </c>
      <c r="M1358">
        <f>L1358*(1+(Inputs!$B$11+0+B1385)/100)</f>
        <v/>
      </c>
      <c r="N1358">
        <f>L1358*(1-MIN((Inputs!$B$10+0+B1380),100)/100)+M1358*(MIN((Inputs!$B$10+0+B1380),100)/100)</f>
        <v/>
      </c>
      <c r="O1358">
        <f>(1-Summary!$B$55)*T1358+Summary!$B$55*V1358</f>
        <v/>
      </c>
      <c r="P1358">
        <f>IF(B1390=0,0,O1358/B1390)</f>
        <v/>
      </c>
      <c r="Q1358">
        <f>IFERROR(1/IF(Inputs!$B$39="pvp",15,MAX(0.1,Skills!D7-IF(Skills!E7=TRUE,2.0,0))),0)</f>
        <v/>
      </c>
      <c r="R1358">
        <f>IF(AND(Inputs!$B$39&lt;&gt;"pvp",Inputs!$B$44&gt;0),IF(MAX(0,Inputs!$B$44-B1387)&lt;=0,0,(INT(MAX(0,Inputs!$B$44-B1387)/IF(Inputs!$B$39="pvp",15,MAX(0.1,Skills!D7-IF(Skills!E7=TRUE,2.0,0))))+1)),0)</f>
        <v/>
      </c>
      <c r="S1358">
        <f>IFERROR(O1358/N1358,0)</f>
        <v/>
      </c>
      <c r="T1358">
        <f>IF(C1358,(H1358*N1358*IF(AND(Inputs!$B$39&lt;&gt;"pvp",Inputs!$B$44&gt;0),((Skills!G7*((R1358-1)*IF(Skills!H7&gt;0,Skills!I7/Skills!H7,1)+IF(Skills!H7&gt;0,MIN(Skills!I7,MAX(0,MAX(0,Inputs!$B$44-B1387)-((R1358-1)*IF(Inputs!$B$39="pvp",15,MAX(0.1,Skills!D7-IF(Skills!E7=TRUE,2.0,0))))))/Skills!H7,1)))/Inputs!$B$44),G1358*Q1358))*IF(Inputs!$B$39="pvp",1,1+(Inputs!$B$21+0+Skills!P7+((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0)</f>
        <v/>
      </c>
      <c r="V1358">
        <f>IF(C1358,(H1358*N1358*IF(AND(Inputs!$B$39&lt;&gt;"pvp",Inputs!$B$44&gt;0),((Skills!G7*((R1358-1)*IF(Skills!H7&gt;0,Skills!I7/Skills!H7,1)+IF(Skills!H7&gt;0,MIN(Skills!I7,MAX(0,MAX(0,Inputs!$B$44-B1387)-((R1358-1)*IF(Inputs!$B$39="pvp",15,MAX(0.1,Skills!D7-IF(Skills!E7=TRUE,2.0,0))))))/Skills!H7,1)))/Inputs!$B$44),G1358*Q1358))*IF(Inputs!$B$39="pvp",1,(1+(Inputs!$B$22+Skills!Q7+((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MIN(Skills!R7,Inputs!$B$38))),0)</f>
        <v/>
      </c>
    </row>
    <row r="1359">
      <c r="A1359">
        <f>Skills!A8</f>
        <v/>
      </c>
      <c r="B1359">
        <f>Skills!B8</f>
        <v/>
      </c>
      <c r="C1359">
        <f>Inputs!$B$3&gt;=75</f>
        <v/>
      </c>
      <c r="D1359">
        <f>IF(Skills!C8=1,60+Inputs!$B$26+Inputs!$B$30,IF(Skills!C8=2,90+Inputs!$B$27+Inputs!$B$30,IF(Skills!C8=3,120+Inputs!$B$28+Inputs!$B$30,MAX(0,(Inputs!$B$3-100)*3)+Inputs!$B$29+Inputs!$B$30)))</f>
        <v/>
      </c>
      <c r="E1359">
        <f>INDEX(FactorTable!$B$2:$Y$301, MATCH(ROUND(MIN(300,MAX(1,D1359)),0), FactorTable!$A$2:$A$301,0), Skills!M8+1)</f>
        <v/>
      </c>
      <c r="F1359">
        <f>IF(Skills!N8=TRUE,(Skills!L8/10)*(E1359/1000),Skills!L8/10)+Skills!O8</f>
        <v/>
      </c>
      <c r="G1359" t="inlineStr"/>
      <c r="H1359" t="inlineStr"/>
      <c r="I1359" t="inlineStr">
        <is>
          <t>1</t>
        </is>
      </c>
      <c r="J1359" t="inlineStr"/>
      <c r="K1359" t="inlineStr"/>
      <c r="L1359" t="inlineStr"/>
      <c r="M1359" t="inlineStr"/>
      <c r="N1359" t="inlineStr"/>
      <c r="O1359" t="inlineStr"/>
      <c r="P1359" t="inlineStr"/>
      <c r="Q1359" t="inlineStr"/>
      <c r="R1359" t="inlineStr"/>
      <c r="S1359" t="inlineStr"/>
    </row>
    <row r="1360">
      <c r="A1360">
        <f>Skills!A9</f>
        <v/>
      </c>
      <c r="B1360">
        <f>Skills!B9</f>
        <v/>
      </c>
      <c r="C1360">
        <f>Inputs!$B$3&gt;=60</f>
        <v/>
      </c>
      <c r="D1360">
        <f>IF(Skills!C9=1,60+Inputs!$B$26+Inputs!$B$30,IF(Skills!C9=2,90+Inputs!$B$27+Inputs!$B$30,IF(Skills!C9=3,120+Inputs!$B$28+Inputs!$B$30,MAX(0,(Inputs!$B$3-100)*3)+Inputs!$B$29+Inputs!$B$30)))</f>
        <v/>
      </c>
      <c r="E1360">
        <f>INDEX(FactorTable!$B$2:$Y$301, MATCH(ROUND(MIN(300,MAX(1,D1360)),0), FactorTable!$A$2:$A$301,0), Skills!M9+1)</f>
        <v/>
      </c>
      <c r="F1360">
        <f>IF(Skills!N9=TRUE,(Skills!L9/10)*(E1360/1000),Skills!L9/10)+Skills!O9</f>
        <v/>
      </c>
      <c r="G1360">
        <f>Skills!G9*IF(Skills!H9&gt;0,Skills!I9/Skills!H9,1)</f>
        <v/>
      </c>
      <c r="H1360">
        <f>1-(1-Skills!J9/100)^Skills!K9</f>
        <v/>
      </c>
      <c r="I1360" t="inlineStr">
        <is>
          <t>1</t>
        </is>
      </c>
      <c r="J1360">
        <f>((Inputs!$B$6*(1+Inputs!$B$7/100))+(((Inputs!$B$13*(1+Inputs!$B$14/100))-(Inputs!$B$13*(1+Inputs!$B$14/100)))+0.25*(Inputs!$B$15-Inputs!$B$15))*(1+Inputs!$B$7/100))*(F1360/100)</f>
        <v/>
      </c>
      <c r="K1360">
        <f>J1360*(1+(((Inputs!$B$13+IF(Inputs!$B$3&gt;=38,(10*INDEX(FactorTable!$B$2:$Y$301, MATCH(ROUND(MIN(300,MAX(1,Inputs!$B$3)),0), FactorTable!$A$2:$A$301,0), 23)/1000)/100*(Inputs!$B$8*(1+Inputs!$B$9/100)),0))*(1+Inputs!$B$14/100))*0.01+Inputs!$B$15*0.0025)/100)*(1+Inputs!$B$16/100)*(1+Inputs!$B$17/100)*(5000/(6000+Inputs!$B$43*(1-(Inputs!$B$20+0)/100)))*(1+(Inputs!$B$25+((C1376=TRUE)*(F1376-Calc!F25))+((C1377=TRUE)*(F1377-Calc!F26))+B1386)/100)*(1+1.0*IF(C1362=TRUE,F1362,0)/100)*(1+(IF(Skills!A9="DARK_IMPALE",Inputs!$B$18+0,Inputs!$B$19+((C1374=TRUE)*(F1374-Calc!F23))))/100)*((1+(((C1364=TRUE)*F1364*IF(AND(Inputs!$B$39&lt;&gt;"pvp",Inputs!$B$44&gt;0),(((R1364-1)*(Skills!T13*(1+Inputs!$B$35/100))+MIN((Skills!T13*(1+Inputs!$B$35/100)),MAX(0,Inputs!$B$44-((R1364-1)*Skills!D13))))/Inputs!$B$44),IF(Inputs!$B$39="pvp",MIN((Skills!T13*(1+Inputs!$B$35/100)),15)/15,(Skills!T13*(1+Inputs!$B$35/100))/Skills!D13)))+((C1365=TRUE)*F1365*IF(AND(Inputs!$B$39&lt;&gt;"pvp",Inputs!$B$44&gt;0),(((R1365-1)*(Skills!T14*(1+Inputs!$B$35/100))+MIN((Skills!T14*(1+Inputs!$B$35/100)),MAX(0,Inputs!$B$44-((R1365-1)*Skills!D14))))/Inputs!$B$44),IF(Inputs!$B$39="pvp",MIN((Skills!T14*(1+Inputs!$B$35/100)),15)/15,(Skills!T14*(1+Inputs!$B$35/100))/Skills!D14)))+((C1366=TRUE)*F1366*IF(AND(Inputs!$B$39&lt;&gt;"pvp",Inputs!$B$44&gt;0),(((R1366-1)*(Skills!T15*(1+Inputs!$B$35/100))+MIN((Skills!T15*(1+Inputs!$B$35/100)),MAX(0,Inputs!$B$44-((R1366-1)*Skills!D15))))/Inputs!$B$44),IF(Inputs!$B$39="pvp",MIN((Skills!T15*(1+Inputs!$B$35/100)),15)/15,(Skills!T15*(1+Inputs!$B$35/100))/Skills!D15)))+((C1367=TRUE)*F1367*IF(AND(Inputs!$B$39&lt;&gt;"pvp",Inputs!$B$44&gt;0),(((R1367-1)*(Skills!T16*(1+Inputs!$B$35/100))+MIN((Skills!T16*(1+Inputs!$B$35/100)),MAX(0,Inputs!$B$44-((R1367-1)*Skills!D16))))/Inputs!$B$44),IF(Inputs!$B$39="pvp",MIN((Skills!T16*(1+Inputs!$B$35/100)),15)/15,(Skills!T16*(1+Inputs!$B$35/100))/Skills!D16)))+0)/100)*I1360)</f>
        <v/>
      </c>
      <c r="L1360">
        <f>K1360*(MIN(Inputs!$B$23+((C1373=TRUE)*(F1373-Calc!F22)),Inputs!$B$24+((C1375=TRUE)*(F1375-Calc!F24)))/100+(Inputs!$B$24+((C1375=TRUE)*(F1375-Calc!F24)))/100)/2</f>
        <v/>
      </c>
      <c r="M1360">
        <f>L1360*(1+(Inputs!$B$11+0+B1385)/100)</f>
        <v/>
      </c>
      <c r="N1360">
        <f>L1360*(1-MIN((Inputs!$B$10+0+B1380),100)/100)+M1360*(MIN((Inputs!$B$10+0+B1380),100)/100)</f>
        <v/>
      </c>
      <c r="O1360">
        <f>(1-Summary!$B$55)*T1360+Summary!$B$55*V1360</f>
        <v/>
      </c>
      <c r="P1360">
        <f>IF(B1390=0,0,O1360/B1390)</f>
        <v/>
      </c>
      <c r="Q1360">
        <f>IFERROR(1/IF(Inputs!$B$39="pvp",15,MAX(0.1,Skills!D9-IF(Skills!E9=TRUE,2.0,0))),0)</f>
        <v/>
      </c>
      <c r="R1360">
        <f>IF(AND(Inputs!$B$39&lt;&gt;"pvp",Inputs!$B$44&gt;0),IF(MAX(0,Inputs!$B$44-B1387)&lt;=0,0,(INT(MAX(0,Inputs!$B$44-B1387)/IF(Inputs!$B$39="pvp",15,MAX(0.1,Skills!D9-IF(Skills!E9=TRUE,2.0,0))))+1)),0)</f>
        <v/>
      </c>
      <c r="S1360">
        <f>IFERROR(O1360/N1360,0)</f>
        <v/>
      </c>
      <c r="T1360">
        <f>IF(C1360,(H1360*N1360*IF(AND(Inputs!$B$39&lt;&gt;"pvp",Inputs!$B$44&gt;0),((Skills!G9*((R1360-1)*IF(Skills!H9&gt;0,Skills!I9/Skills!H9,1)+IF(Skills!H9&gt;0,MIN(Skills!I9,MAX(0,MAX(0,Inputs!$B$44-B1387)-((R1360-1)*IF(Inputs!$B$39="pvp",15,MAX(0.1,Skills!D9-IF(Skills!E9=TRUE,2.0,0))))))/Skills!H9,1)))/Inputs!$B$44),G1360*Q1360))*IF(Inputs!$B$39="pvp",1,1+(Inputs!$B$21+0+Skills!P9+((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0)</f>
        <v/>
      </c>
      <c r="V1360">
        <f>IF(C1360,(H1360*N1360*IF(AND(Inputs!$B$39&lt;&gt;"pvp",Inputs!$B$44&gt;0),((Skills!G9*((R1360-1)*IF(Skills!H9&gt;0,Skills!I9/Skills!H9,1)+IF(Skills!H9&gt;0,MIN(Skills!I9,MAX(0,MAX(0,Inputs!$B$44-B1387)-((R1360-1)*IF(Inputs!$B$39="pvp",15,MAX(0.1,Skills!D9-IF(Skills!E9=TRUE,2.0,0))))))/Skills!H9,1)))/Inputs!$B$44),G1360*Q1360))*IF(Inputs!$B$39="pvp",1,(1+(Inputs!$B$22+Skills!Q9+((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MIN(Skills!R9,Inputs!$B$38))),0)</f>
        <v/>
      </c>
    </row>
    <row r="1361">
      <c r="A1361">
        <f>Skills!A10</f>
        <v/>
      </c>
      <c r="B1361">
        <f>Skills!B10</f>
        <v/>
      </c>
      <c r="C1361">
        <f>Inputs!$B$3&gt;=110</f>
        <v/>
      </c>
      <c r="D1361">
        <f>IF(Skills!C10=1,60+Inputs!$B$26+Inputs!$B$30,IF(Skills!C10=2,90+Inputs!$B$27+Inputs!$B$30,IF(Skills!C10=3,120+Inputs!$B$28+Inputs!$B$30,MAX(0,(Inputs!$B$3-100)*3)+Inputs!$B$29+Inputs!$B$30)))</f>
        <v/>
      </c>
      <c r="E1361">
        <f>INDEX(FactorTable!$B$2:$Y$301, MATCH(ROUND(MIN(300,MAX(1,D1361)),0), FactorTable!$A$2:$A$301,0), Skills!M10+1)</f>
        <v/>
      </c>
      <c r="F1361">
        <f>IF(Skills!N10=TRUE,(Skills!L10/10)*(E1361/1000),Skills!L10/10)+Skills!O10</f>
        <v/>
      </c>
      <c r="G1361">
        <f>Skills!G10*IF(Skills!H10&gt;0,Skills!I10/Skills!H10,1)</f>
        <v/>
      </c>
      <c r="H1361">
        <f>1-(1-Skills!J10/100)^Skills!K10</f>
        <v/>
      </c>
      <c r="I1361" t="inlineStr">
        <is>
          <t>1</t>
        </is>
      </c>
      <c r="J1361">
        <f>((Inputs!$B$6*(1+Inputs!$B$7/100))+(((Inputs!$B$13*(1+Inputs!$B$14/100))-(Inputs!$B$13*(1+Inputs!$B$14/100)))+0.25*(Inputs!$B$15-Inputs!$B$15))*(1+Inputs!$B$7/100))*(F1361/100)</f>
        <v/>
      </c>
      <c r="K1361">
        <f>J1361*(1+(((Inputs!$B$13+IF(Inputs!$B$3&gt;=38,(10*INDEX(FactorTable!$B$2:$Y$301, MATCH(ROUND(MIN(300,MAX(1,Inputs!$B$3)),0), FactorTable!$A$2:$A$301,0), 23)/1000)/100*(Inputs!$B$8*(1+Inputs!$B$9/100)),0))*(1+Inputs!$B$14/100))*0.01+Inputs!$B$15*0.0025)/100)*(1+Inputs!$B$16/100)*(1+Inputs!$B$17/100)*(5000/(6000+Inputs!$B$43*(1-(Inputs!$B$20+0)/100)))*(1+(Inputs!$B$25+((C1376=TRUE)*(F1376-Calc!F25))+((C1377=TRUE)*(F1377-Calc!F26))+B1386)/100)*(1+(IF(Skills!A10="DARK_IMPALE",Inputs!$B$18+0,Inputs!$B$19+((C1374=TRUE)*(F1374-Calc!F23))))/100)*((1+(((C1364=TRUE)*F1364*IF(AND(Inputs!$B$39&lt;&gt;"pvp",Inputs!$B$44&gt;0),(((R1364-1)*(Skills!T13*(1+Inputs!$B$35/100))+MIN((Skills!T13*(1+Inputs!$B$35/100)),MAX(0,Inputs!$B$44-((R1364-1)*Skills!D13))))/Inputs!$B$44),IF(Inputs!$B$39="pvp",MIN((Skills!T13*(1+Inputs!$B$35/100)),15)/15,(Skills!T13*(1+Inputs!$B$35/100))/Skills!D13)))+((C1365=TRUE)*F1365*IF(AND(Inputs!$B$39&lt;&gt;"pvp",Inputs!$B$44&gt;0),(((R1365-1)*(Skills!T14*(1+Inputs!$B$35/100))+MIN((Skills!T14*(1+Inputs!$B$35/100)),MAX(0,Inputs!$B$44-((R1365-1)*Skills!D14))))/Inputs!$B$44),IF(Inputs!$B$39="pvp",MIN((Skills!T14*(1+Inputs!$B$35/100)),15)/15,(Skills!T14*(1+Inputs!$B$35/100))/Skills!D14)))+((C1366=TRUE)*F1366*IF(AND(Inputs!$B$39&lt;&gt;"pvp",Inputs!$B$44&gt;0),(((R1366-1)*(Skills!T15*(1+Inputs!$B$35/100))+MIN((Skills!T15*(1+Inputs!$B$35/100)),MAX(0,Inputs!$B$44-((R1366-1)*Skills!D15))))/Inputs!$B$44),IF(Inputs!$B$39="pvp",MIN((Skills!T15*(1+Inputs!$B$35/100)),15)/15,(Skills!T15*(1+Inputs!$B$35/100))/Skills!D15)))+((C1367=TRUE)*F1367*IF(AND(Inputs!$B$39&lt;&gt;"pvp",Inputs!$B$44&gt;0),(((R1367-1)*(Skills!T16*(1+Inputs!$B$35/100))+MIN((Skills!T16*(1+Inputs!$B$35/100)),MAX(0,Inputs!$B$44-((R1367-1)*Skills!D16))))/Inputs!$B$44),IF(Inputs!$B$39="pvp",MIN((Skills!T16*(1+Inputs!$B$35/100)),15)/15,(Skills!T16*(1+Inputs!$B$35/100))/Skills!D16)))+0)/100)*I1361)</f>
        <v/>
      </c>
      <c r="L1361">
        <f>K1361*(MIN(Inputs!$B$23+((C1373=TRUE)*(F1373-Calc!F22)),Inputs!$B$24+((C1375=TRUE)*(F1375-Calc!F24)))/100+(Inputs!$B$24+((C1375=TRUE)*(F1375-Calc!F24)))/100)/2</f>
        <v/>
      </c>
      <c r="M1361">
        <f>L1361*(1+(Inputs!$B$11+0+B1385)/100)</f>
        <v/>
      </c>
      <c r="N1361">
        <f>L1361*(1-MIN((Inputs!$B$10+0+B1380),100)/100)+M1361*(MIN((Inputs!$B$10+0+B1380),100)/100)</f>
        <v/>
      </c>
      <c r="O1361">
        <f>(1-Summary!$B$55)*T1361+Summary!$B$55*V1361</f>
        <v/>
      </c>
      <c r="P1361">
        <f>IF(B1390=0,0,O1361/B1390)</f>
        <v/>
      </c>
      <c r="Q1361">
        <f>IFERROR(1/IF(Inputs!$B$39="pvp",15,MAX(0.1,Skills!D10-IF(Skills!E10=TRUE,2.0,0))),0)</f>
        <v/>
      </c>
      <c r="R1361">
        <f>IF(AND(Inputs!$B$39&lt;&gt;"pvp",Inputs!$B$44&gt;0),IF(MAX(0,Inputs!$B$44-B1387)&lt;=0,0,(INT(MAX(0,Inputs!$B$44-B1387)/IF(Inputs!$B$39="pvp",15,MAX(0.1,Skills!D10-IF(Skills!E10=TRUE,2.0,0))))+1)),0)</f>
        <v/>
      </c>
      <c r="S1361">
        <f>IFERROR(O1361/N1361,0)</f>
        <v/>
      </c>
      <c r="T1361">
        <f>IF(C1361,(H1361*N1361*IF(AND(Inputs!$B$39&lt;&gt;"pvp",Inputs!$B$44&gt;0),((Skills!G10*((R1361-1)*IF(Skills!H10&gt;0,Skills!I10/Skills!H10,1)+IF(Skills!H10&gt;0,MIN(Skills!I10,MAX(0,MAX(0,Inputs!$B$44-B1387)-((R1361-1)*IF(Inputs!$B$39="pvp",15,MAX(0.1,Skills!D10-IF(Skills!E10=TRUE,2.0,0))))))/Skills!H10,1)))/Inputs!$B$44),G1361*Q1361))*IF(Inputs!$B$39="pvp",1,1+(Inputs!$B$21+0+Skills!P10+((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0)</f>
        <v/>
      </c>
      <c r="V1361">
        <f>IF(C1361,(H1361*N1361*IF(AND(Inputs!$B$39&lt;&gt;"pvp",Inputs!$B$44&gt;0),((Skills!G10*((R1361-1)*IF(Skills!H10&gt;0,Skills!I10/Skills!H10,1)+IF(Skills!H10&gt;0,MIN(Skills!I10,MAX(0,MAX(0,Inputs!$B$44-B1387)-((R1361-1)*IF(Inputs!$B$39="pvp",15,MAX(0.1,Skills!D10-IF(Skills!E10=TRUE,2.0,0))))))/Skills!H10,1)))/Inputs!$B$44),G1361*Q1361))*IF(Inputs!$B$39="pvp",1,(1+(Inputs!$B$22+Skills!Q10+((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MIN(Skills!R10,Inputs!$B$38))),0)</f>
        <v/>
      </c>
    </row>
    <row r="1362">
      <c r="A1362">
        <f>Skills!A11</f>
        <v/>
      </c>
      <c r="B1362">
        <f>Skills!B11</f>
        <v/>
      </c>
      <c r="C1362">
        <f>Inputs!$B$3&gt;=100</f>
        <v/>
      </c>
      <c r="D1362">
        <f>IF(Skills!C11=1,60+Inputs!$B$26+Inputs!$B$30,IF(Skills!C11=2,90+Inputs!$B$27+Inputs!$B$30,IF(Skills!C11=3,120+Inputs!$B$28+Inputs!$B$30,MAX(0,(Inputs!$B$3-100)*3)+Inputs!$B$29+Inputs!$B$30)))</f>
        <v/>
      </c>
      <c r="E1362">
        <f>INDEX(FactorTable!$B$2:$Y$301, MATCH(ROUND(MIN(300,MAX(1,D1362)),0), FactorTable!$A$2:$A$301,0), Skills!M11+1)</f>
        <v/>
      </c>
      <c r="F1362">
        <f>IF(Skills!N11=TRUE,(Skills!L11/10)*(E1362/1000),Skills!L11/10)+Skills!O11</f>
        <v/>
      </c>
      <c r="G1362" t="inlineStr"/>
      <c r="H1362" t="inlineStr"/>
      <c r="I1362" t="inlineStr">
        <is>
          <t>1</t>
        </is>
      </c>
      <c r="J1362" t="inlineStr"/>
      <c r="K1362" t="inlineStr"/>
      <c r="L1362" t="inlineStr"/>
      <c r="M1362" t="inlineStr"/>
      <c r="N1362" t="inlineStr"/>
      <c r="O1362" t="inlineStr"/>
      <c r="P1362" t="inlineStr"/>
      <c r="Q1362" t="inlineStr"/>
      <c r="R1362" t="inlineStr"/>
      <c r="S1362" t="inlineStr"/>
    </row>
    <row r="1363">
      <c r="A1363">
        <f>Skills!A12</f>
        <v/>
      </c>
      <c r="B1363">
        <f>Skills!B12</f>
        <v/>
      </c>
      <c r="C1363">
        <f>Inputs!$B$3&gt;=63</f>
        <v/>
      </c>
      <c r="D1363">
        <f>IF(Skills!C12=1,60+Inputs!$B$26+Inputs!$B$30,IF(Skills!C12=2,90+Inputs!$B$27+Inputs!$B$30,IF(Skills!C12=3,120+Inputs!$B$28+Inputs!$B$30,MAX(0,(Inputs!$B$3-100)*3)+Inputs!$B$29+Inputs!$B$30)))</f>
        <v/>
      </c>
      <c r="E1363">
        <f>INDEX(FactorTable!$B$2:$Y$301, MATCH(ROUND(MIN(300,MAX(1,D1363)),0), FactorTable!$A$2:$A$301,0), Skills!M12+1)</f>
        <v/>
      </c>
      <c r="F1363">
        <f>IF(Skills!N12=TRUE,(Skills!L12/10)*(E1363/1000),Skills!L12/10)+Skills!O12</f>
        <v/>
      </c>
      <c r="G1363">
        <f>Skills!G12*IF(Skills!H12&gt;0,Skills!I12/Skills!H12,1)</f>
        <v/>
      </c>
      <c r="H1363">
        <f>1-(1-Skills!J12/100)^Skills!K12</f>
        <v/>
      </c>
      <c r="I1363" t="inlineStr">
        <is>
          <t>1</t>
        </is>
      </c>
      <c r="J1363">
        <f>((Inputs!$B$6*(1+Inputs!$B$7/100))+(((Inputs!$B$13*(1+Inputs!$B$14/100))-(Inputs!$B$13*(1+Inputs!$B$14/100)))+0.25*(Inputs!$B$15-Inputs!$B$15))*(1+Inputs!$B$7/100))*(F1363/100)</f>
        <v/>
      </c>
      <c r="K1363">
        <f>J1363*(1+(((Inputs!$B$13+IF(Inputs!$B$3&gt;=38,(10*INDEX(FactorTable!$B$2:$Y$301, MATCH(ROUND(MIN(300,MAX(1,Inputs!$B$3)),0), FactorTable!$A$2:$A$301,0), 23)/1000)/100*(Inputs!$B$8*(1+Inputs!$B$9/100)),0))*(1+Inputs!$B$14/100))*0.01+Inputs!$B$15*0.0025)/100)*(1+Inputs!$B$16/100)*(1+Inputs!$B$17/100)*(5000/(6000+Inputs!$B$43*(1-(Inputs!$B$20+0)/100)))*(1+(Inputs!$B$25+((C1376=TRUE)*(F1376-Calc!F25))+((C1377=TRUE)*(F1377-Calc!F26))+B1386)/100)*(1+0.75*IF(C1362=TRUE,F1362,0)/100)*(1+(IF(Skills!A12="DARK_IMPALE",Inputs!$B$18+0,Inputs!$B$19+((C1374=TRUE)*(F1374-Calc!F23))))/100)*((1+(((C1364=TRUE)*F1364*IF(AND(Inputs!$B$39&lt;&gt;"pvp",Inputs!$B$44&gt;0),(((R1364-1)*(Skills!T13*(1+Inputs!$B$35/100))+MIN((Skills!T13*(1+Inputs!$B$35/100)),MAX(0,Inputs!$B$44-((R1364-1)*Skills!D13))))/Inputs!$B$44),IF(Inputs!$B$39="pvp",MIN((Skills!T13*(1+Inputs!$B$35/100)),15)/15,(Skills!T13*(1+Inputs!$B$35/100))/Skills!D13)))+((C1365=TRUE)*F1365*IF(AND(Inputs!$B$39&lt;&gt;"pvp",Inputs!$B$44&gt;0),(((R1365-1)*(Skills!T14*(1+Inputs!$B$35/100))+MIN((Skills!T14*(1+Inputs!$B$35/100)),MAX(0,Inputs!$B$44-((R1365-1)*Skills!D14))))/Inputs!$B$44),IF(Inputs!$B$39="pvp",MIN((Skills!T14*(1+Inputs!$B$35/100)),15)/15,(Skills!T14*(1+Inputs!$B$35/100))/Skills!D14)))+((C1366=TRUE)*F1366*IF(AND(Inputs!$B$39&lt;&gt;"pvp",Inputs!$B$44&gt;0),(((R1366-1)*(Skills!T15*(1+Inputs!$B$35/100))+MIN((Skills!T15*(1+Inputs!$B$35/100)),MAX(0,Inputs!$B$44-((R1366-1)*Skills!D15))))/Inputs!$B$44),IF(Inputs!$B$39="pvp",MIN((Skills!T15*(1+Inputs!$B$35/100)),15)/15,(Skills!T15*(1+Inputs!$B$35/100))/Skills!D15)))+((C1367=TRUE)*F1367*IF(AND(Inputs!$B$39&lt;&gt;"pvp",Inputs!$B$44&gt;0),(((R1367-1)*(Skills!T16*(1+Inputs!$B$35/100))+MIN((Skills!T16*(1+Inputs!$B$35/100)),MAX(0,Inputs!$B$44-((R1367-1)*Skills!D16))))/Inputs!$B$44),IF(Inputs!$B$39="pvp",MIN((Skills!T16*(1+Inputs!$B$35/100)),15)/15,(Skills!T16*(1+Inputs!$B$35/100))/Skills!D16)))+0)/100)*I1363)</f>
        <v/>
      </c>
      <c r="L1363">
        <f>K1363*(MIN(Inputs!$B$23+((C1373=TRUE)*(F1373-Calc!F22)),Inputs!$B$24+((C1375=TRUE)*(F1375-Calc!F24)))/100+(Inputs!$B$24+((C1375=TRUE)*(F1375-Calc!F24)))/100)/2</f>
        <v/>
      </c>
      <c r="M1363">
        <f>L1363*(1+(Inputs!$B$11+0+B1385)/100)</f>
        <v/>
      </c>
      <c r="N1363">
        <f>L1363*(1-MIN((Inputs!$B$10+0+B1380),100)/100)+M1363*(MIN((Inputs!$B$10+0+B1380),100)/100)</f>
        <v/>
      </c>
      <c r="O1363">
        <f>(1-Summary!$B$55)*T1363+Summary!$B$55*V1363</f>
        <v/>
      </c>
      <c r="P1363">
        <f>IF(B1390=0,0,O1363/B1390)</f>
        <v/>
      </c>
      <c r="Q1363">
        <f>IFERROR(1/IF(Inputs!$B$39="pvp",15,MAX(0.1,Skills!D12-IF(Skills!E12=TRUE,2.0,0))),0)</f>
        <v/>
      </c>
      <c r="R1363">
        <f>IF(AND(Inputs!$B$39&lt;&gt;"pvp",Inputs!$B$44&gt;0),IF(MAX(0,Inputs!$B$44-B1387)&lt;=0,0,(INT(MAX(0,Inputs!$B$44-B1387)/IF(Inputs!$B$39="pvp",15,MAX(0.1,Skills!D12-IF(Skills!E12=TRUE,2.0,0))))+1)),0)</f>
        <v/>
      </c>
      <c r="S1363">
        <f>IFERROR(O1363/N1363,0)</f>
        <v/>
      </c>
      <c r="T1363">
        <f>IF(C1363,(H1363*N1363*IF(AND(Inputs!$B$39&lt;&gt;"pvp",Inputs!$B$44&gt;0),((Skills!G12*((R1363-1)*IF(Skills!H12&gt;0,Skills!I12/Skills!H12,1)+IF(Skills!H12&gt;0,MIN(Skills!I12,MAX(0,MAX(0,Inputs!$B$44-B1387)-((R1363-1)*IF(Inputs!$B$39="pvp",15,MAX(0.1,Skills!D12-IF(Skills!E12=TRUE,2.0,0))))))/Skills!H12,1)))/Inputs!$B$44),G1363*Q1363))*IF(Inputs!$B$39="pvp",1,1+(Inputs!$B$21+0+Skills!P12+((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0)</f>
        <v/>
      </c>
      <c r="V1363">
        <f>IF(C1363,(H1363*N1363*IF(AND(Inputs!$B$39&lt;&gt;"pvp",Inputs!$B$44&gt;0),((Skills!G12*((R1363-1)*IF(Skills!H12&gt;0,Skills!I12/Skills!H12,1)+IF(Skills!H12&gt;0,MIN(Skills!I12,MAX(0,MAX(0,Inputs!$B$44-B1387)-((R1363-1)*IF(Inputs!$B$39="pvp",15,MAX(0.1,Skills!D12-IF(Skills!E12=TRUE,2.0,0))))))/Skills!H12,1)))/Inputs!$B$44),G1363*Q1363))*IF(Inputs!$B$39="pvp",1,(1+(Inputs!$B$22+Skills!Q12+((C1368=TRUE)*F1368*IF(AND(Inputs!$B$39&lt;&gt;"pvp",Inputs!$B$44&gt;0),(((R1368-1)*(Skills!T17*(1+Inputs!$B$35/100))+MIN((Skills!T17*(1+Inputs!$B$35/100)),MAX(0,Inputs!$B$44-((R1368-1)*Skills!D17))))/Inputs!$B$44),IF(Inputs!$B$39="pvp",MIN((Skills!T17*(1+Inputs!$B$35/100)),15)/15,(Skills!T17*(1+Inputs!$B$35/100))/Skills!D17)))+((C1365=TRUE)*IF(Inputs!$B$39="pvp",20,(1-Summary!$B$55)*(20)+Summary!$B$55*(0))*IF(AND(Inputs!$B$39&lt;&gt;"pvp",Inputs!$B$44&gt;0),(((R1365-1)*(Skills!T14*(1+Inputs!$B$35/100))+MIN((Skills!T14*(1+Inputs!$B$35/100)),MAX(0,Inputs!$B$44-((R1365-1)*Skills!D14))))/Inputs!$B$44),IF(Inputs!$B$39="pvp",MIN((Skills!T14*(1+Inputs!$B$35/100)),15)/15,(Skills!T14*(1+Inputs!$B$35/100))/Skills!D14))))/100)*(MIN(Skills!R12,Inputs!$B$38))),0)</f>
        <v/>
      </c>
    </row>
    <row r="1364">
      <c r="A1364">
        <f>Skills!A13</f>
        <v/>
      </c>
      <c r="B1364">
        <f>Skills!B13</f>
        <v/>
      </c>
      <c r="C1364">
        <f>Inputs!$B$3&gt;=69</f>
        <v/>
      </c>
      <c r="D1364">
        <f>IF(Skills!C13=1,60+Inputs!$B$26+Inputs!$B$30,IF(Skills!C13=2,90+Inputs!$B$27+Inputs!$B$30,IF(Skills!C13=3,120+Inputs!$B$28+Inputs!$B$30,MAX(0,(Inputs!$B$3-100)*3)+Inputs!$B$29+Inputs!$B$30)))</f>
        <v/>
      </c>
      <c r="E1364">
        <f>INDEX(FactorTable!$B$2:$Y$301, MATCH(ROUND(MIN(300,MAX(1,D1364)),0), FactorTable!$A$2:$A$301,0), Skills!M13+1)</f>
        <v/>
      </c>
      <c r="F1364">
        <f>IF(Skills!N13=TRUE,(Skills!L13/10)*(E1364/1000),Skills!L13/10)+Skills!O13</f>
        <v/>
      </c>
      <c r="G1364">
        <f>Skills!G13*IF(Skills!H13&gt;0,Skills!I13/Skills!H13,1)</f>
        <v/>
      </c>
      <c r="H1364">
        <f>1-(1-Skills!J13/100)^Skills!K13</f>
        <v/>
      </c>
      <c r="I1364" t="inlineStr">
        <is>
          <t>1</t>
        </is>
      </c>
      <c r="J1364" t="inlineStr"/>
      <c r="K1364" t="inlineStr"/>
      <c r="L1364" t="inlineStr"/>
      <c r="M1364" t="inlineStr"/>
      <c r="N1364" t="inlineStr"/>
      <c r="O1364">
        <f>(1-Summary!$B$55)*T1364+Summary!$B$55*V1364</f>
        <v/>
      </c>
      <c r="P1364">
        <f>IF(B1390=0,0,O1364/B1390)</f>
        <v/>
      </c>
      <c r="Q1364">
        <f>IFERROR(1/IF(Inputs!$B$39="pvp",15,MAX(0.1,Skills!D13-IF(Skills!E13=TRUE,2.0,0))),0)</f>
        <v/>
      </c>
      <c r="R1364">
        <f>IF(AND(Inputs!$B$39&lt;&gt;"pvp",Inputs!$B$44&gt;0),IF(Inputs!$B$44&lt;=0,0,(INT(Inputs!$B$44/IF(Inputs!$B$39="pvp",15,MAX(0.1,Skills!D13-IF(Skills!E13=TRUE,2.0,0))))+1)),0)</f>
        <v/>
      </c>
      <c r="S1364">
        <f>IFERROR(O1364/N1364,0)</f>
        <v/>
      </c>
      <c r="T1364" t="n">
        <v>0</v>
      </c>
      <c r="V1364" t="n">
        <v>0</v>
      </c>
    </row>
    <row r="1365">
      <c r="A1365">
        <f>Skills!A14</f>
        <v/>
      </c>
      <c r="B1365">
        <f>Skills!B14</f>
        <v/>
      </c>
      <c r="C1365">
        <f>Inputs!$B$3&gt;=115</f>
        <v/>
      </c>
      <c r="D1365">
        <f>IF(Skills!C14=1,60+Inputs!$B$26+Inputs!$B$30,IF(Skills!C14=2,90+Inputs!$B$27+Inputs!$B$30,IF(Skills!C14=3,120+Inputs!$B$28+Inputs!$B$30,MAX(0,(Inputs!$B$3-100)*3)+Inputs!$B$29+Inputs!$B$30)))</f>
        <v/>
      </c>
      <c r="E1365">
        <f>INDEX(FactorTable!$B$2:$Y$301, MATCH(ROUND(MIN(300,MAX(1,D1365)),0), FactorTable!$A$2:$A$301,0), Skills!M14+1)</f>
        <v/>
      </c>
      <c r="F1365">
        <f>IF(Skills!N14=TRUE,(Skills!L14/10)*(E1365/1000),Skills!L14/10)+Skills!O14</f>
        <v/>
      </c>
      <c r="G1365">
        <f>Skills!G14*IF(Skills!H14&gt;0,Skills!I14/Skills!H14,1)</f>
        <v/>
      </c>
      <c r="H1365">
        <f>1-(1-Skills!J14/100)^Skills!K14</f>
        <v/>
      </c>
      <c r="I1365" t="inlineStr">
        <is>
          <t>1</t>
        </is>
      </c>
      <c r="J1365" t="inlineStr"/>
      <c r="K1365" t="inlineStr"/>
      <c r="L1365" t="inlineStr"/>
      <c r="M1365" t="inlineStr"/>
      <c r="N1365" t="inlineStr"/>
      <c r="O1365">
        <f>(1-Summary!$B$55)*T1365+Summary!$B$55*V1365</f>
        <v/>
      </c>
      <c r="P1365">
        <f>IF(B1390=0,0,O1365/B1390)</f>
        <v/>
      </c>
      <c r="Q1365">
        <f>IFERROR(1/IF(Inputs!$B$39="pvp",15,MAX(0.1,Skills!D14-IF(Skills!E14=TRUE,2.0,0))),0)</f>
        <v/>
      </c>
      <c r="R1365">
        <f>IF(AND(Inputs!$B$39&lt;&gt;"pvp",Inputs!$B$44&gt;0),IF(Inputs!$B$44&lt;=0,0,(INT(Inputs!$B$44/IF(Inputs!$B$39="pvp",15,MAX(0.1,Skills!D14-IF(Skills!E14=TRUE,2.0,0))))+1)),0)</f>
        <v/>
      </c>
      <c r="S1365">
        <f>IFERROR(O1365/N1365,0)</f>
        <v/>
      </c>
      <c r="T1365" t="n">
        <v>0</v>
      </c>
      <c r="V1365" t="n">
        <v>0</v>
      </c>
    </row>
    <row r="1366">
      <c r="A1366">
        <f>Skills!A15</f>
        <v/>
      </c>
      <c r="B1366">
        <f>Skills!B15</f>
        <v/>
      </c>
      <c r="C1366">
        <f>Inputs!$B$3&gt;=66</f>
        <v/>
      </c>
      <c r="D1366">
        <f>IF(Skills!C15=1,60+Inputs!$B$26+Inputs!$B$30,IF(Skills!C15=2,90+Inputs!$B$27+Inputs!$B$30,IF(Skills!C15=3,120+Inputs!$B$28+Inputs!$B$30,MAX(0,(Inputs!$B$3-100)*3)+Inputs!$B$29+Inputs!$B$30)))</f>
        <v/>
      </c>
      <c r="E1366">
        <f>INDEX(FactorTable!$B$2:$Y$301, MATCH(ROUND(MIN(300,MAX(1,D1366)),0), FactorTable!$A$2:$A$301,0), Skills!M15+1)</f>
        <v/>
      </c>
      <c r="F1366">
        <f>IF(Skills!N15=TRUE,(Skills!L15/10)*(E1366/1000),Skills!L15/10)+Skills!O15</f>
        <v/>
      </c>
      <c r="G1366">
        <f>Skills!G15*IF(Skills!H15&gt;0,Skills!I15/Skills!H15,1)</f>
        <v/>
      </c>
      <c r="H1366">
        <f>1-(1-Skills!J15/100)^Skills!K15</f>
        <v/>
      </c>
      <c r="I1366" t="inlineStr">
        <is>
          <t>1</t>
        </is>
      </c>
      <c r="J1366" t="inlineStr"/>
      <c r="K1366" t="inlineStr"/>
      <c r="L1366" t="inlineStr"/>
      <c r="M1366" t="inlineStr"/>
      <c r="N1366" t="inlineStr"/>
      <c r="O1366">
        <f>(1-Summary!$B$55)*T1366+Summary!$B$55*V1366</f>
        <v/>
      </c>
      <c r="P1366">
        <f>IF(B1390=0,0,O1366/B1390)</f>
        <v/>
      </c>
      <c r="Q1366">
        <f>IFERROR(1/IF(Inputs!$B$39="pvp",15,MAX(0.1,Skills!D15-IF(Skills!E15=TRUE,2.0,0))),0)</f>
        <v/>
      </c>
      <c r="R1366">
        <f>IF(AND(Inputs!$B$39&lt;&gt;"pvp",Inputs!$B$44&gt;0),IF(Inputs!$B$44&lt;=0,0,(INT(Inputs!$B$44/IF(Inputs!$B$39="pvp",15,MAX(0.1,Skills!D15-IF(Skills!E15=TRUE,2.0,0))))+1)),0)</f>
        <v/>
      </c>
      <c r="S1366">
        <f>IFERROR(O1366/N1366,0)</f>
        <v/>
      </c>
      <c r="T1366" t="n">
        <v>0</v>
      </c>
      <c r="V1366" t="n">
        <v>0</v>
      </c>
    </row>
    <row r="1367">
      <c r="A1367">
        <f>Skills!A16</f>
        <v/>
      </c>
      <c r="B1367">
        <f>Skills!B16</f>
        <v/>
      </c>
      <c r="C1367">
        <f>Inputs!$B$3&gt;=45</f>
        <v/>
      </c>
      <c r="D1367">
        <f>IF(Skills!C16=1,60+Inputs!$B$26+Inputs!$B$30,IF(Skills!C16=2,90+Inputs!$B$27+Inputs!$B$30,IF(Skills!C16=3,120+Inputs!$B$28+Inputs!$B$30,MAX(0,(Inputs!$B$3-100)*3)+Inputs!$B$29+Inputs!$B$30)))</f>
        <v/>
      </c>
      <c r="E1367">
        <f>INDEX(FactorTable!$B$2:$Y$301, MATCH(ROUND(MIN(300,MAX(1,D1367)),0), FactorTable!$A$2:$A$301,0), Skills!M16+1)</f>
        <v/>
      </c>
      <c r="F1367">
        <f>IF(Skills!N16=TRUE,(Skills!L16/10)*(E1367/1000),Skills!L16/10)+Skills!O16</f>
        <v/>
      </c>
      <c r="G1367">
        <f>Skills!G16*IF(Skills!H16&gt;0,Skills!I16/Skills!H16,1)</f>
        <v/>
      </c>
      <c r="H1367">
        <f>1-(1-Skills!J16/100)^Skills!K16</f>
        <v/>
      </c>
      <c r="I1367" t="inlineStr">
        <is>
          <t>1</t>
        </is>
      </c>
      <c r="J1367" t="inlineStr"/>
      <c r="K1367" t="inlineStr"/>
      <c r="L1367" t="inlineStr"/>
      <c r="M1367" t="inlineStr"/>
      <c r="N1367" t="inlineStr"/>
      <c r="O1367">
        <f>(1-Summary!$B$55)*T1367+Summary!$B$55*V1367</f>
        <v/>
      </c>
      <c r="P1367">
        <f>IF(B1390=0,0,O1367/B1390)</f>
        <v/>
      </c>
      <c r="Q1367">
        <f>IFERROR(1/IF(Inputs!$B$39="pvp",15,MAX(0.1,Skills!D16-IF(Skills!E16=TRUE,2.0,0))),0)</f>
        <v/>
      </c>
      <c r="R1367">
        <f>IF(AND(Inputs!$B$39&lt;&gt;"pvp",Inputs!$B$44&gt;0),IF(Inputs!$B$44&lt;=0,0,(INT(Inputs!$B$44/IF(Inputs!$B$39="pvp",15,MAX(0.1,Skills!D16-IF(Skills!E16=TRUE,2.0,0))))+1)),0)</f>
        <v/>
      </c>
      <c r="S1367">
        <f>IFERROR(O1367/N1367,0)</f>
        <v/>
      </c>
      <c r="T1367" t="n">
        <v>0</v>
      </c>
      <c r="V1367" t="n">
        <v>0</v>
      </c>
    </row>
    <row r="1368">
      <c r="A1368">
        <f>Skills!A17</f>
        <v/>
      </c>
      <c r="B1368">
        <f>Skills!B17</f>
        <v/>
      </c>
      <c r="C1368">
        <f>Inputs!$B$3&gt;=35</f>
        <v/>
      </c>
      <c r="D1368">
        <f>IF(Skills!C17=1,60+Inputs!$B$26+Inputs!$B$30,IF(Skills!C17=2,90+Inputs!$B$27+Inputs!$B$30,IF(Skills!C17=3,120+Inputs!$B$28+Inputs!$B$30,MAX(0,(Inputs!$B$3-100)*3)+Inputs!$B$29+Inputs!$B$30)))</f>
        <v/>
      </c>
      <c r="E1368">
        <f>INDEX(FactorTable!$B$2:$Y$301, MATCH(ROUND(MIN(300,MAX(1,D1368)),0), FactorTable!$A$2:$A$301,0), Skills!M17+1)</f>
        <v/>
      </c>
      <c r="F1368">
        <f>IF(Skills!N17=TRUE,(Skills!L17/10)*(E1368/1000),Skills!L17/10)+Skills!O17</f>
        <v/>
      </c>
      <c r="G1368">
        <f>Skills!G17*IF(Skills!H17&gt;0,Skills!I17/Skills!H17,1)</f>
        <v/>
      </c>
      <c r="H1368">
        <f>1-(1-Skills!J17/100)^Skills!K17</f>
        <v/>
      </c>
      <c r="I1368" t="inlineStr">
        <is>
          <t>1</t>
        </is>
      </c>
      <c r="J1368" t="inlineStr"/>
      <c r="K1368" t="inlineStr"/>
      <c r="L1368" t="inlineStr"/>
      <c r="M1368" t="inlineStr"/>
      <c r="N1368" t="inlineStr"/>
      <c r="O1368">
        <f>(1-Summary!$B$55)*T1368+Summary!$B$55*V1368</f>
        <v/>
      </c>
      <c r="P1368">
        <f>IF(B1390=0,0,O1368/B1390)</f>
        <v/>
      </c>
      <c r="Q1368">
        <f>IFERROR(1/IF(Inputs!$B$39="pvp",15,MAX(0.1,Skills!D17-IF(Skills!E17=TRUE,2.0,0))),0)</f>
        <v/>
      </c>
      <c r="R1368">
        <f>IF(AND(Inputs!$B$39&lt;&gt;"pvp",Inputs!$B$44&gt;0),IF(Inputs!$B$44&lt;=0,0,(INT(Inputs!$B$44/IF(Inputs!$B$39="pvp",15,MAX(0.1,Skills!D17-IF(Skills!E17=TRUE,2.0,0))))+1)),0)</f>
        <v/>
      </c>
      <c r="S1368">
        <f>IFERROR(O1368/N1368,0)</f>
        <v/>
      </c>
      <c r="T1368" t="n">
        <v>0</v>
      </c>
      <c r="V1368" t="n">
        <v>0</v>
      </c>
    </row>
    <row r="1369">
      <c r="A1369">
        <f>Skills!A18</f>
        <v/>
      </c>
      <c r="B1369">
        <f>Skills!B18</f>
        <v/>
      </c>
      <c r="C1369">
        <f>Inputs!$B$3&gt;=72</f>
        <v/>
      </c>
      <c r="D1369">
        <f>IF(Skills!C18=1,60+Inputs!$B$26+Inputs!$B$30,IF(Skills!C18=2,90+Inputs!$B$27+Inputs!$B$30,IF(Skills!C18=3,120+Inputs!$B$28+Inputs!$B$30,MAX(0,(Inputs!$B$3-100)*3)+Inputs!$B$29+Inputs!$B$30)))</f>
        <v/>
      </c>
      <c r="E1369">
        <f>INDEX(FactorTable!$B$2:$Y$301, MATCH(ROUND(MIN(300,MAX(1,D1369)),0), FactorTable!$A$2:$A$301,0), Skills!M18+1)</f>
        <v/>
      </c>
      <c r="F1369">
        <f>IF(Skills!N18=TRUE,(Skills!L18/10)*(E1369/1000),Skills!L18/10)+Skills!O18</f>
        <v/>
      </c>
      <c r="G1369">
        <f>Skills!G18*IF(Skills!H18&gt;0,Skills!I18/Skills!H18,1)</f>
        <v/>
      </c>
      <c r="H1369">
        <f>1-(1-Skills!J18/100)^Skills!K18</f>
        <v/>
      </c>
      <c r="I1369" t="inlineStr">
        <is>
          <t>1</t>
        </is>
      </c>
      <c r="J1369" t="inlineStr"/>
      <c r="K1369" t="inlineStr"/>
      <c r="L1369" t="inlineStr"/>
      <c r="M1369" t="inlineStr"/>
      <c r="N1369" t="inlineStr"/>
      <c r="O1369">
        <f>(1-Summary!$B$55)*T1369+Summary!$B$55*V1369</f>
        <v/>
      </c>
      <c r="P1369">
        <f>IF(B1390=0,0,O1369/B1390)</f>
        <v/>
      </c>
      <c r="Q1369">
        <f>IFERROR(1/IF(Inputs!$B$39="pvp",15,MAX(0.1,Skills!D18-IF(Skills!E18=TRUE,2.0,0))),0)</f>
        <v/>
      </c>
      <c r="R1369">
        <f>IF(AND(Inputs!$B$39&lt;&gt;"pvp",Inputs!$B$44&gt;0),IF(Inputs!$B$44&lt;=0,0,(INT(Inputs!$B$44/IF(Inputs!$B$39="pvp",15,MAX(0.1,Skills!D18-IF(Skills!E18=TRUE,2.0,0))))+1)),0)</f>
        <v/>
      </c>
      <c r="S1369">
        <f>IFERROR(O1369/N1369,0)</f>
        <v/>
      </c>
      <c r="T1369" t="n">
        <v>0</v>
      </c>
      <c r="V1369" t="n">
        <v>0</v>
      </c>
    </row>
    <row r="1370">
      <c r="A1370">
        <f>Skills!A19</f>
        <v/>
      </c>
      <c r="B1370">
        <f>Skills!B19</f>
        <v/>
      </c>
      <c r="C1370">
        <f>Inputs!$B$3&gt;=72</f>
        <v/>
      </c>
      <c r="D1370">
        <f>IF(Skills!C19=1,60+Inputs!$B$26+Inputs!$B$30,IF(Skills!C19=2,90+Inputs!$B$27+Inputs!$B$30,IF(Skills!C19=3,120+Inputs!$B$28+Inputs!$B$30,MAX(0,(Inputs!$B$3-100)*3)+Inputs!$B$29+Inputs!$B$30)))</f>
        <v/>
      </c>
      <c r="E1370">
        <f>INDEX(FactorTable!$B$2:$Y$301, MATCH(ROUND(MIN(300,MAX(1,D1370)),0), FactorTable!$A$2:$A$301,0), Skills!M19+1)</f>
        <v/>
      </c>
      <c r="F1370">
        <f>IF(Skills!N19=TRUE,(Skills!L19/10)*(E1370/1000),Skills!L19/10)+Skills!O19</f>
        <v/>
      </c>
      <c r="G1370">
        <f>Skills!G19*IF(Skills!H19&gt;0,Skills!I19/Skills!H19,1)</f>
        <v/>
      </c>
      <c r="H1370">
        <f>1-(1-Skills!J19/100)^Skills!K19</f>
        <v/>
      </c>
      <c r="I1370" t="inlineStr">
        <is>
          <t>1</t>
        </is>
      </c>
      <c r="J1370" t="inlineStr"/>
      <c r="K1370" t="inlineStr"/>
      <c r="L1370" t="inlineStr"/>
      <c r="M1370" t="inlineStr"/>
      <c r="N1370" t="inlineStr"/>
      <c r="O1370">
        <f>(1-Summary!$B$55)*T1370+Summary!$B$55*V1370</f>
        <v/>
      </c>
      <c r="P1370">
        <f>IF(B1390=0,0,O1370/B1390)</f>
        <v/>
      </c>
      <c r="Q1370">
        <f>IFERROR(1/IF(Inputs!$B$39="pvp",15,MAX(0.1,Skills!D19-IF(Skills!E19=TRUE,2.0,0))),0)</f>
        <v/>
      </c>
      <c r="R1370">
        <f>IF(AND(Inputs!$B$39&lt;&gt;"pvp",Inputs!$B$44&gt;0),IF(Inputs!$B$44&lt;=0,0,(INT(Inputs!$B$44/IF(Inputs!$B$39="pvp",15,MAX(0.1,Skills!D19-IF(Skills!E19=TRUE,2.0,0))))+1)),0)</f>
        <v/>
      </c>
      <c r="S1370">
        <f>IFERROR(O1370/N1370,0)</f>
        <v/>
      </c>
      <c r="T1370" t="n">
        <v>0</v>
      </c>
      <c r="V1370" t="n">
        <v>0</v>
      </c>
    </row>
    <row r="1371">
      <c r="A1371">
        <f>Skills!A20</f>
        <v/>
      </c>
      <c r="B1371">
        <f>Skills!B20</f>
        <v/>
      </c>
      <c r="C1371">
        <f>TRUE</f>
        <v/>
      </c>
      <c r="D1371">
        <f>IF(Skills!C20=1,60+Inputs!$B$26+Inputs!$B$30,IF(Skills!C20=2,90+Inputs!$B$27+Inputs!$B$30,IF(Skills!C20=3,120+Inputs!$B$28+Inputs!$B$30,MAX(0,(Inputs!$B$3-100)*3)+Inputs!$B$29+Inputs!$B$30)))</f>
        <v/>
      </c>
      <c r="E1371">
        <f>INDEX(FactorTable!$B$2:$Y$301, MATCH(ROUND(MIN(300,MAX(1,D1371)),0), FactorTable!$A$2:$A$301,0), Skills!M20+1)</f>
        <v/>
      </c>
      <c r="F1371">
        <f>IF(Skills!N20=TRUE,(Skills!L20/10)*(E1371/1000),Skills!L20/10)+Skills!O20</f>
        <v/>
      </c>
      <c r="G1371">
        <f>Skills!G20*IF(Skills!H20&gt;0,Skills!I20/Skills!H20,1)</f>
        <v/>
      </c>
      <c r="H1371">
        <f>1-(1-Skills!J20/100)^Skills!K20</f>
        <v/>
      </c>
      <c r="I1371" t="inlineStr">
        <is>
          <t>1</t>
        </is>
      </c>
      <c r="J1371" t="inlineStr"/>
      <c r="K1371" t="inlineStr"/>
      <c r="L1371" t="inlineStr"/>
      <c r="M1371" t="inlineStr"/>
      <c r="N1371" t="inlineStr"/>
      <c r="O1371">
        <f>(1-Summary!$B$55)*T1371+Summary!$B$55*V1371</f>
        <v/>
      </c>
      <c r="P1371">
        <f>IF(B1390=0,0,O1371/B1390)</f>
        <v/>
      </c>
      <c r="Q1371">
        <f>IFERROR(1/IF(Inputs!$B$39="pvp",15,MAX(0.1,Skills!D20-IF(Skills!E20=TRUE,2.0,0))),0)</f>
        <v/>
      </c>
      <c r="R1371">
        <f>IF(AND(Inputs!$B$39&lt;&gt;"pvp",Inputs!$B$44&gt;0),IF(Inputs!$B$44&lt;=0,0,(INT(Inputs!$B$44/IF(Inputs!$B$39="pvp",15,MAX(0.1,Skills!D20-IF(Skills!E20=TRUE,2.0,0))))+1)),0)</f>
        <v/>
      </c>
      <c r="S1371">
        <f>IFERROR(O1371/N1371,0)</f>
        <v/>
      </c>
      <c r="T1371" t="n">
        <v>0</v>
      </c>
      <c r="V1371" t="n">
        <v>0</v>
      </c>
    </row>
    <row r="1372">
      <c r="A1372">
        <f>Skills!A21</f>
        <v/>
      </c>
      <c r="B1372">
        <f>Skills!B21</f>
        <v/>
      </c>
      <c r="C1372">
        <f>Inputs!$B$3&gt;=33</f>
        <v/>
      </c>
      <c r="D1372">
        <f>IF(Skills!C21=1,60+Inputs!$B$26+Inputs!$B$30,IF(Skills!C21=2,90+Inputs!$B$27+Inputs!$B$30,IF(Skills!C21=3,120+Inputs!$B$28+Inputs!$B$30,MAX(0,(Inputs!$B$3-100)*3)+Inputs!$B$29+Inputs!$B$30)))</f>
        <v/>
      </c>
      <c r="E1372">
        <f>INDEX(FactorTable!$B$2:$Y$301, MATCH(ROUND(MIN(300,MAX(1,D1372)),0), FactorTable!$A$2:$A$301,0), Skills!M21+1)</f>
        <v/>
      </c>
      <c r="F1372">
        <f>IF(Skills!N21=TRUE,(Skills!L21/10)*(E1372/1000),Skills!L21/10)+Skills!O21</f>
        <v/>
      </c>
      <c r="G1372">
        <f>Skills!G21*IF(Skills!H21&gt;0,Skills!I21/Skills!H21,1)</f>
        <v/>
      </c>
      <c r="H1372">
        <f>1-(1-Skills!J21/100)^Skills!K21</f>
        <v/>
      </c>
      <c r="I1372" t="inlineStr">
        <is>
          <t>1</t>
        </is>
      </c>
      <c r="J1372" t="inlineStr"/>
      <c r="K1372" t="inlineStr"/>
      <c r="L1372" t="inlineStr"/>
      <c r="M1372" t="inlineStr"/>
      <c r="N1372" t="inlineStr"/>
      <c r="O1372">
        <f>(1-Summary!$B$55)*T1372+Summary!$B$55*V1372</f>
        <v/>
      </c>
      <c r="P1372">
        <f>IF(B1390=0,0,O1372/B1390)</f>
        <v/>
      </c>
      <c r="Q1372" t="n">
        <v>0</v>
      </c>
      <c r="R1372" t="n">
        <v>0</v>
      </c>
      <c r="S1372">
        <f>IFERROR(O1372/N1372,0)</f>
        <v/>
      </c>
      <c r="T1372" t="n">
        <v>0</v>
      </c>
      <c r="V1372" t="n">
        <v>0</v>
      </c>
    </row>
    <row r="1373">
      <c r="A1373">
        <f>Skills!A22</f>
        <v/>
      </c>
      <c r="B1373">
        <f>Skills!B22</f>
        <v/>
      </c>
      <c r="C1373">
        <f>Inputs!$B$3&gt;=43</f>
        <v/>
      </c>
      <c r="D1373">
        <f>IF(Skills!C22=1,60+Inputs!$B$26+Inputs!$B$30,IF(Skills!C22=2,90+Inputs!$B$27+Inputs!$B$30,IF(Skills!C22=3,120+Inputs!$B$28+Inputs!$B$30,MAX(0,(Inputs!$B$3-100)*3)+Inputs!$B$29+Inputs!$B$30)))</f>
        <v/>
      </c>
      <c r="E1373">
        <f>INDEX(FactorTable!$B$2:$Y$301, MATCH(ROUND(MIN(300,MAX(1,D1373)),0), FactorTable!$A$2:$A$301,0), Skills!M22+1)</f>
        <v/>
      </c>
      <c r="F1373">
        <f>IF(Skills!N22=TRUE,(Skills!L22/10)*(E1373/1000),Skills!L22/10)+Skills!O22</f>
        <v/>
      </c>
      <c r="G1373">
        <f>Skills!G22*IF(Skills!H22&gt;0,Skills!I22/Skills!H22,1)</f>
        <v/>
      </c>
      <c r="H1373">
        <f>1-(1-Skills!J22/100)^Skills!K22</f>
        <v/>
      </c>
      <c r="I1373" t="inlineStr">
        <is>
          <t>1</t>
        </is>
      </c>
      <c r="J1373" t="inlineStr"/>
      <c r="K1373" t="inlineStr"/>
      <c r="L1373" t="inlineStr"/>
      <c r="M1373" t="inlineStr"/>
      <c r="N1373" t="inlineStr"/>
      <c r="O1373">
        <f>(1-Summary!$B$55)*T1373+Summary!$B$55*V1373</f>
        <v/>
      </c>
      <c r="P1373">
        <f>IF(B1390=0,0,O1373/B1390)</f>
        <v/>
      </c>
      <c r="Q1373" t="n">
        <v>0</v>
      </c>
      <c r="R1373" t="n">
        <v>0</v>
      </c>
      <c r="S1373">
        <f>IFERROR(O1373/N1373,0)</f>
        <v/>
      </c>
      <c r="T1373" t="n">
        <v>0</v>
      </c>
      <c r="V1373" t="n">
        <v>0</v>
      </c>
    </row>
    <row r="1374">
      <c r="A1374">
        <f>Skills!A23</f>
        <v/>
      </c>
      <c r="B1374">
        <f>Skills!B23</f>
        <v/>
      </c>
      <c r="C1374">
        <f>Inputs!$B$3&gt;=120</f>
        <v/>
      </c>
      <c r="D1374">
        <f>IF(Skills!C23=1,60+Inputs!$B$26+Inputs!$B$30,IF(Skills!C23=2,90+Inputs!$B$27+Inputs!$B$30,IF(Skills!C23=3,120+Inputs!$B$28+Inputs!$B$30,MAX(0,(Inputs!$B$3-100)*3)+Inputs!$B$29+Inputs!$B$30)))</f>
        <v/>
      </c>
      <c r="E1374">
        <f>INDEX(FactorTable!$B$2:$Y$301, MATCH(ROUND(MIN(300,MAX(1,D1374)),0), FactorTable!$A$2:$A$301,0), Skills!M23+1)</f>
        <v/>
      </c>
      <c r="F1374">
        <f>IF(Skills!N23=TRUE,(Skills!L23/10)*(E1374/1000),Skills!L23/10)+Skills!O23</f>
        <v/>
      </c>
      <c r="G1374">
        <f>Skills!G23*IF(Skills!H23&gt;0,Skills!I23/Skills!H23,1)</f>
        <v/>
      </c>
      <c r="H1374">
        <f>1-(1-Skills!J23/100)^Skills!K23</f>
        <v/>
      </c>
      <c r="I1374" t="inlineStr">
        <is>
          <t>1</t>
        </is>
      </c>
      <c r="J1374" t="inlineStr"/>
      <c r="K1374" t="inlineStr"/>
      <c r="L1374" t="inlineStr"/>
      <c r="M1374" t="inlineStr"/>
      <c r="N1374" t="inlineStr"/>
      <c r="O1374">
        <f>(1-Summary!$B$55)*T1374+Summary!$B$55*V1374</f>
        <v/>
      </c>
      <c r="P1374">
        <f>IF(B1390=0,0,O1374/B1390)</f>
        <v/>
      </c>
      <c r="Q1374" t="n">
        <v>0</v>
      </c>
      <c r="R1374" t="n">
        <v>0</v>
      </c>
      <c r="S1374">
        <f>IFERROR(O1374/N1374,0)</f>
        <v/>
      </c>
      <c r="T1374" t="n">
        <v>0</v>
      </c>
      <c r="V1374" t="n">
        <v>0</v>
      </c>
    </row>
    <row r="1375">
      <c r="A1375">
        <f>Skills!A24</f>
        <v/>
      </c>
      <c r="B1375">
        <f>Skills!B24</f>
        <v/>
      </c>
      <c r="C1375">
        <f>Inputs!$B$3&gt;=120</f>
        <v/>
      </c>
      <c r="D1375">
        <f>IF(Skills!C24=1,60+Inputs!$B$26+Inputs!$B$30,IF(Skills!C24=2,90+Inputs!$B$27+Inputs!$B$30,IF(Skills!C24=3,120+Inputs!$B$28+Inputs!$B$30,MAX(0,(Inputs!$B$3-100)*3)+Inputs!$B$29+Inputs!$B$30)))</f>
        <v/>
      </c>
      <c r="E1375">
        <f>INDEX(FactorTable!$B$2:$Y$301, MATCH(ROUND(MIN(300,MAX(1,D1375)),0), FactorTable!$A$2:$A$301,0), Skills!M24+1)</f>
        <v/>
      </c>
      <c r="F1375">
        <f>IF(Skills!N24=TRUE,(Skills!L24/10)*(E1375/1000),Skills!L24/10)+Skills!O24</f>
        <v/>
      </c>
      <c r="G1375">
        <f>Skills!G24*IF(Skills!H24&gt;0,Skills!I24/Skills!H24,1)</f>
        <v/>
      </c>
      <c r="H1375">
        <f>1-(1-Skills!J24/100)^Skills!K24</f>
        <v/>
      </c>
      <c r="I1375" t="inlineStr">
        <is>
          <t>1</t>
        </is>
      </c>
      <c r="J1375" t="inlineStr"/>
      <c r="K1375" t="inlineStr"/>
      <c r="L1375" t="inlineStr"/>
      <c r="M1375" t="inlineStr"/>
      <c r="N1375" t="inlineStr"/>
      <c r="O1375">
        <f>(1-Summary!$B$55)*T1375+Summary!$B$55*V1375</f>
        <v/>
      </c>
      <c r="P1375">
        <f>IF(B1390=0,0,O1375/B1390)</f>
        <v/>
      </c>
      <c r="Q1375" t="n">
        <v>0</v>
      </c>
      <c r="R1375" t="n">
        <v>0</v>
      </c>
      <c r="S1375">
        <f>IFERROR(O1375/N1375,0)</f>
        <v/>
      </c>
      <c r="T1375" t="n">
        <v>0</v>
      </c>
      <c r="V1375" t="n">
        <v>0</v>
      </c>
    </row>
    <row r="1376">
      <c r="A1376">
        <f>Skills!A25</f>
        <v/>
      </c>
      <c r="B1376">
        <f>Skills!B25</f>
        <v/>
      </c>
      <c r="C1376">
        <f>Inputs!$B$3&gt;=125</f>
        <v/>
      </c>
      <c r="D1376">
        <f>IF(Skills!C25=1,60+Inputs!$B$26+Inputs!$B$30,IF(Skills!C25=2,90+Inputs!$B$27+Inputs!$B$30,IF(Skills!C25=3,120+Inputs!$B$28+Inputs!$B$30,MAX(0,(Inputs!$B$3-100)*3)+Inputs!$B$29+Inputs!$B$30)))</f>
        <v/>
      </c>
      <c r="E1376">
        <f>INDEX(FactorTable!$B$2:$Y$301, MATCH(ROUND(MIN(300,MAX(1,D1376)),0), FactorTable!$A$2:$A$301,0), Skills!M25+1)</f>
        <v/>
      </c>
      <c r="F1376">
        <f>IF(Skills!N25=TRUE,(Skills!L25/10)*(E1376/1000),Skills!L25/10)+Skills!O25</f>
        <v/>
      </c>
      <c r="G1376">
        <f>Skills!G25*IF(Skills!H25&gt;0,Skills!I25/Skills!H25,1)</f>
        <v/>
      </c>
      <c r="H1376">
        <f>1-(1-Skills!J25/100)^Skills!K25</f>
        <v/>
      </c>
      <c r="I1376" t="inlineStr">
        <is>
          <t>1</t>
        </is>
      </c>
      <c r="J1376" t="inlineStr"/>
      <c r="K1376" t="inlineStr"/>
      <c r="L1376" t="inlineStr"/>
      <c r="M1376" t="inlineStr"/>
      <c r="N1376" t="inlineStr"/>
      <c r="O1376">
        <f>(1-Summary!$B$55)*T1376+Summary!$B$55*V1376</f>
        <v/>
      </c>
      <c r="P1376">
        <f>IF(B1390=0,0,O1376/B1390)</f>
        <v/>
      </c>
      <c r="Q1376" t="n">
        <v>0</v>
      </c>
      <c r="R1376" t="n">
        <v>0</v>
      </c>
      <c r="S1376">
        <f>IFERROR(O1376/N1376,0)</f>
        <v/>
      </c>
      <c r="T1376" t="n">
        <v>0</v>
      </c>
      <c r="V1376" t="n">
        <v>0</v>
      </c>
    </row>
    <row r="1377">
      <c r="A1377">
        <f>Skills!A26</f>
        <v/>
      </c>
      <c r="B1377">
        <f>Skills!B26</f>
        <v/>
      </c>
      <c r="C1377">
        <f>Inputs!$B$3&gt;=107</f>
        <v/>
      </c>
      <c r="D1377">
        <f>IF(Skills!C26=1,60+Inputs!$B$26+Inputs!$B$30,IF(Skills!C26=2,90+Inputs!$B$27+Inputs!$B$30,IF(Skills!C26=3,120+Inputs!$B$28+Inputs!$B$30,MAX(0,(Inputs!$B$3-100)*3)+Inputs!$B$29+Inputs!$B$30)))</f>
        <v/>
      </c>
      <c r="E1377">
        <f>INDEX(FactorTable!$B$2:$Y$301, MATCH(ROUND(MIN(300,MAX(1,D1377)),0), FactorTable!$A$2:$A$301,0), Skills!M26+1)</f>
        <v/>
      </c>
      <c r="F1377">
        <f>IF(Skills!N26=TRUE,(Skills!L26/10)*(E1377/1000),Skills!L26/10)+Skills!O26</f>
        <v/>
      </c>
      <c r="G1377">
        <f>Skills!G26*IF(Skills!H26&gt;0,Skills!I26/Skills!H26,1)</f>
        <v/>
      </c>
      <c r="H1377">
        <f>1-(1-Skills!J26/100)^Skills!K26</f>
        <v/>
      </c>
      <c r="I1377" t="inlineStr">
        <is>
          <t>1</t>
        </is>
      </c>
      <c r="J1377" t="inlineStr"/>
      <c r="K1377" t="inlineStr"/>
      <c r="L1377" t="inlineStr"/>
      <c r="M1377" t="inlineStr"/>
      <c r="N1377" t="inlineStr"/>
      <c r="O1377">
        <f>(1-Summary!$B$55)*T1377+Summary!$B$55*V1377</f>
        <v/>
      </c>
      <c r="P1377">
        <f>IF(B1390=0,0,O1377/B1390)</f>
        <v/>
      </c>
      <c r="Q1377" t="n">
        <v>0</v>
      </c>
      <c r="R1377" t="n">
        <v>0</v>
      </c>
      <c r="S1377">
        <f>IFERROR(O1377/N1377,0)</f>
        <v/>
      </c>
      <c r="T1377" t="n">
        <v>0</v>
      </c>
      <c r="V1377" t="n">
        <v>0</v>
      </c>
    </row>
    <row r="1379">
      <c r="A1379" t="inlineStr">
        <is>
          <t>Attack% Bucket Multiplier</t>
        </is>
      </c>
      <c r="B1379">
        <f>(1+(((C1364=TRUE)*F1364*IF(AND(Inputs!$B$39&lt;&gt;"pvp",Inputs!$B$44&gt;0),(((R1364-1)*(Skills!T13*(1+Inputs!$B$35/100))+MIN((Skills!T13*(1+Inputs!$B$35/100)),MAX(0,Inputs!$B$44-((R1364-1)*Skills!D13))))/Inputs!$B$44),IF(Inputs!$B$39="pvp",MIN((Skills!T13*(1+Inputs!$B$35/100)),15)/15,(Skills!T13*(1+Inputs!$B$35/100))/Skills!D13)))+((C1365=TRUE)*F1365*IF(AND(Inputs!$B$39&lt;&gt;"pvp",Inputs!$B$44&gt;0),(((R1365-1)*(Skills!T14*(1+Inputs!$B$35/100))+MIN((Skills!T14*(1+Inputs!$B$35/100)),MAX(0,Inputs!$B$44-((R1365-1)*Skills!D14))))/Inputs!$B$44),IF(Inputs!$B$39="pvp",MIN((Skills!T14*(1+Inputs!$B$35/100)),15)/15,(Skills!T14*(1+Inputs!$B$35/100))/Skills!D14)))+((C1366=TRUE)*F1366*IF(AND(Inputs!$B$39&lt;&gt;"pvp",Inputs!$B$44&gt;0),(((R1366-1)*(Skills!T15*(1+Inputs!$B$35/100))+MIN((Skills!T15*(1+Inputs!$B$35/100)),MAX(0,Inputs!$B$44-((R1366-1)*Skills!D15))))/Inputs!$B$44),IF(Inputs!$B$39="pvp",MIN((Skills!T15*(1+Inputs!$B$35/100)),15)/15,(Skills!T15*(1+Inputs!$B$35/100))/Skills!D15)))+((C1367=TRUE)*F1367*IF(AND(Inputs!$B$39&lt;&gt;"pvp",Inputs!$B$44&gt;0),(((R1367-1)*(Skills!T16*(1+Inputs!$B$35/100))+MIN((Skills!T16*(1+Inputs!$B$35/100)),MAX(0,Inputs!$B$44-((R1367-1)*Skills!D16))))/Inputs!$B$44),IF(Inputs!$B$39="pvp",MIN((Skills!T16*(1+Inputs!$B$35/100)),15)/15,(Skills!T16*(1+Inputs!$B$35/100))/Skills!D16)))+0)/100)</f>
        <v/>
      </c>
    </row>
    <row r="1380">
      <c r="A1380" t="inlineStr">
        <is>
          <t>Global Crit Rate Bonus % (Lord of Darkness)</t>
        </is>
      </c>
      <c r="B1380">
        <f>((C1369=TRUE)*F1369*(Skills!J18/100)*IF(AND(Inputs!$B$39&lt;&gt;"pvp",Inputs!$B$44&gt;0),(((R1369-1)*(Skills!T18*(1+Inputs!$B$35/100))+MIN((Skills!T18*(1+Inputs!$B$35/100)),MAX(0,Inputs!$B$44-((R1369-1)*Skills!D18))))/Inputs!$B$44),IF(Inputs!$B$39="pvp",MIN((Skills!T18*(1+Inputs!$B$35/100)),15)/15,(Skills!T18*(1+Inputs!$B$35/100))/Skills!D18)))</f>
        <v/>
      </c>
    </row>
    <row r="1381">
      <c r="A1381" t="inlineStr">
        <is>
          <t>Attack Speed Buff Bonus %</t>
        </is>
      </c>
      <c r="B1381">
        <f>((C1371=TRUE)*F1371*IF(AND(Inputs!$B$39&lt;&gt;"pvp",Inputs!$B$44&gt;0),(((R1371-1)*(Skills!T20*(1+Inputs!$B$35/100))+MIN((Skills!T20*(1+Inputs!$B$35/100)),MAX(0,Inputs!$B$44-((R1371-1)*Skills!D20))))/Inputs!$B$44),IF(Inputs!$B$39="pvp",MIN((Skills!T20*(1+Inputs!$B$35/100)),15)/15,(Skills!T20*(1+Inputs!$B$35/100))/Skills!D20)))</f>
        <v/>
      </c>
    </row>
    <row r="1382">
      <c r="A1382" t="inlineStr">
        <is>
          <t>Actions Per Second</t>
        </is>
      </c>
      <c r="B1382">
        <f>1+MIN(150,150*(1-(1-(Inputs!$B$12+((C1372=TRUE)*(F1372-Calc!F21)))/150)*(1-B1381/150)))/100</f>
        <v/>
      </c>
    </row>
    <row r="1383">
      <c r="A1383" t="inlineStr">
        <is>
          <t>Skill + Buff Cast Rate</t>
        </is>
      </c>
      <c r="B1383">
        <f>IF(AND(Inputs!$B$39&lt;&gt;"pvp",Inputs!$B$44&gt;0),SUMPRODUCT((Skills!E2:E26=TRUE)*(C1353:C1377=TRUE)*R1353:R1377*Skills!F2:F26)/Inputs!$B$44,SUMPRODUCT((Skills!E2:E26=TRUE)*(C1353:C1377=TRUE)*Q1353:Q1377*Skills!F2:F26))</f>
        <v/>
      </c>
    </row>
    <row r="1384">
      <c r="A1384" t="inlineStr">
        <is>
          <t>Dark Impale Casts Per Second</t>
        </is>
      </c>
      <c r="B1384">
        <f>MAX(0,B1382-B1383)</f>
        <v/>
      </c>
    </row>
    <row r="1385">
      <c r="A1385" t="inlineStr">
        <is>
          <t>Global Critical Damage Bonus % (Lord of Darkness)</t>
        </is>
      </c>
      <c r="B1385">
        <f>((C1370=TRUE)*F1370*(Skills!J19/100)*IF(AND(Inputs!$B$39&lt;&gt;"pvp",Inputs!$B$44&gt;0),(((R1370-1)*(Skills!T19*(1+Inputs!$B$35/100))+MIN((Skills!T19*(1+Inputs!$B$35/100)),MAX(0,Inputs!$B$44-((R1370-1)*Skills!D19))))/Inputs!$B$44),IF(Inputs!$B$39="pvp",MIN((Skills!T19*(1+Inputs!$B$35/100)),15)/15,(Skills!T19*(1+Inputs!$B$35/100))/Skills!D19)))</f>
        <v/>
      </c>
    </row>
    <row r="1386">
      <c r="A1386" t="inlineStr">
        <is>
          <t>Global Final Damage Bonus % (unused)</t>
        </is>
      </c>
      <c r="B1386" t="n">
        <v>0</v>
      </c>
    </row>
    <row r="1387">
      <c r="A1387" t="inlineStr">
        <is>
          <t>Buff-Casting Startup Delay (s, fixed-duration only)</t>
        </is>
      </c>
      <c r="B1387">
        <f>IF(AND(Inputs!$B$39&lt;&gt;"pvp",Inputs!$B$44&gt;0),SUMPRODUCT((Skills!T2:T26&gt;0)*(Skills!E2:E26=TRUE)*(C1353:C1377=TRUE))/B1382,0)</f>
        <v/>
      </c>
    </row>
    <row r="1388">
      <c r="A1388" t="inlineStr">
        <is>
          <t>Boss-Only Total DPS (this block's swept value)</t>
        </is>
      </c>
      <c r="B1388">
        <f>SUM(T1353:T1377)</f>
        <v/>
      </c>
    </row>
    <row r="1389">
      <c r="A1389" t="inlineStr">
        <is>
          <t>Normal-Only Total DPS (this block's swept value)</t>
        </is>
      </c>
      <c r="B1389">
        <f>SUM(V1353:V1377)</f>
        <v/>
      </c>
    </row>
    <row r="1390">
      <c r="A1390" s="5" t="inlineStr">
        <is>
          <t>TOTAL DPS</t>
        </is>
      </c>
      <c r="B1390" s="5">
        <f>SUM(O1353:O1377)</f>
        <v/>
      </c>
    </row>
    <row r="1393">
      <c r="A1393" s="5" t="inlineStr">
        <is>
          <t>Stat: CDR = 2.5s</t>
        </is>
      </c>
    </row>
    <row r="1394">
      <c r="A1394" s="9" t="inlineStr">
        <is>
          <t>Key</t>
        </is>
      </c>
      <c r="B1394" s="9" t="inlineStr">
        <is>
          <t>Name</t>
        </is>
      </c>
      <c r="C1394" s="9" t="inlineStr">
        <is>
          <t>Unlocked</t>
        </is>
      </c>
      <c r="D1394" s="9" t="inlineStr">
        <is>
          <t>InputLevel</t>
        </is>
      </c>
      <c r="E1394" s="9" t="inlineStr">
        <is>
          <t>Factor</t>
        </is>
      </c>
      <c r="F1394" s="9" t="inlineStr">
        <is>
          <t>CoefficientPercent</t>
        </is>
      </c>
      <c r="G1394" s="9" t="inlineStr">
        <is>
          <t>EffectiveHits</t>
        </is>
      </c>
      <c r="H1394" s="9" t="inlineStr">
        <is>
          <t>ProcProbability</t>
        </is>
      </c>
      <c r="I1394" s="9" t="inlineStr">
        <is>
          <t>MapleHeroMultiplier</t>
        </is>
      </c>
      <c r="J1394" s="9" t="inlineStr">
        <is>
          <t>BaseDamage</t>
        </is>
      </c>
      <c r="K1394" s="9" t="inlineStr">
        <is>
          <t>BaseHitDamage</t>
        </is>
      </c>
      <c r="L1394" s="9" t="inlineStr">
        <is>
          <t>NonCritAvg</t>
        </is>
      </c>
      <c r="M1394" s="9" t="inlineStr">
        <is>
          <t>CritAvg</t>
        </is>
      </c>
      <c r="N1394" s="9" t="inlineStr">
        <is>
          <t>ExpectedDamage(perHit)</t>
        </is>
      </c>
      <c r="O1394" s="9" t="inlineStr">
        <is>
          <t>DPS</t>
        </is>
      </c>
      <c r="P1394" s="9" t="inlineStr">
        <is>
          <t>% of Total</t>
        </is>
      </c>
      <c r="Q1394" s="9" t="inlineStr">
        <is>
          <t>InvCooldown</t>
        </is>
      </c>
      <c r="R1394" s="9" t="inlineStr">
        <is>
          <t>CastsInFight</t>
        </is>
      </c>
      <c r="S1394" s="9" t="inlineStr">
        <is>
          <t>HitRate(perSec)</t>
        </is>
      </c>
      <c r="U1394" t="inlineStr">
        <is>
          <t>helpers</t>
        </is>
      </c>
    </row>
    <row r="1395">
      <c r="A1395">
        <f>Skills!A2</f>
        <v/>
      </c>
      <c r="B1395">
        <f>Skills!B2</f>
        <v/>
      </c>
      <c r="C1395">
        <f>Inputs!$B$3&gt;=100</f>
        <v/>
      </c>
      <c r="D1395" t="inlineStr"/>
      <c r="E1395" t="inlineStr"/>
      <c r="F1395">
        <f>U1397+Skills!O2</f>
        <v/>
      </c>
      <c r="G1395">
        <f>Skills!G2*IF(Skills!H2&gt;0,Skills!I2/Skills!H2,1)</f>
        <v/>
      </c>
      <c r="H1395">
        <f>1-(1-Skills!J2/100)^Skills!K2</f>
        <v/>
      </c>
      <c r="I1395" t="inlineStr">
        <is>
          <t>1</t>
        </is>
      </c>
      <c r="J1395">
        <f>((Inputs!$B$6*(1+Inputs!$B$7/100))+(((Inputs!$B$13*(1+Inputs!$B$14/100))-(Inputs!$B$13*(1+Inputs!$B$14/100)))+0.25*(Inputs!$B$15-Inputs!$B$15))*(1+Inputs!$B$7/100))*(F1395/100)</f>
        <v/>
      </c>
      <c r="K1395">
        <f>J1395*(1+(((Inputs!$B$13+IF(Inputs!$B$3&gt;=38,(10*INDEX(FactorTable!$B$2:$Y$301, MATCH(ROUND(MIN(300,MAX(1,Inputs!$B$3)),0), FactorTable!$A$2:$A$301,0), 23)/1000)/100*(Inputs!$B$8*(1+Inputs!$B$9/100)),0))*(1+Inputs!$B$14/100))*0.01+Inputs!$B$15*0.0025)/100)*(1+Inputs!$B$16/100)*(1+Inputs!$B$17/100)*(5000/(6000+Inputs!$B$43*(1-(Inputs!$B$20+0)/100)))*(1+(Inputs!$B$25+((C1418=TRUE)*(F1418-Calc!F25))+((C1419=TRUE)*(F1419-Calc!F26))+B1428)/100)*(1+(IF(Skills!A2="DARK_IMPALE",Inputs!$B$18+0,Inputs!$B$19+((C1416=TRUE)*(F1416-Calc!F23))))/100)*((1+(((C1406=TRUE)*F1406*IF(AND(Inputs!$B$39&lt;&gt;"pvp",Inputs!$B$44&gt;0),(((R1406-1)*(Skills!T13*(1+Inputs!$B$35/100))+MIN((Skills!T13*(1+Inputs!$B$35/100)),MAX(0,Inputs!$B$44-((R1406-1)*Skills!D13))))/Inputs!$B$44),IF(Inputs!$B$39="pvp",MIN((Skills!T13*(1+Inputs!$B$35/100)),15)/15,(Skills!T13*(1+Inputs!$B$35/100))/Skills!D13)))+((C1407=TRUE)*F1407*IF(AND(Inputs!$B$39&lt;&gt;"pvp",Inputs!$B$44&gt;0),(((R1407-1)*(Skills!T14*(1+Inputs!$B$35/100))+MIN((Skills!T14*(1+Inputs!$B$35/100)),MAX(0,Inputs!$B$44-((R1407-1)*Skills!D14))))/Inputs!$B$44),IF(Inputs!$B$39="pvp",MIN((Skills!T14*(1+Inputs!$B$35/100)),15)/15,(Skills!T14*(1+Inputs!$B$35/100))/Skills!D14)))+((C1408=TRUE)*F1408*IF(AND(Inputs!$B$39&lt;&gt;"pvp",Inputs!$B$44&gt;0),(((R1408-1)*(Skills!T15*(1+Inputs!$B$35/100))+MIN((Skills!T15*(1+Inputs!$B$35/100)),MAX(0,Inputs!$B$44-((R1408-1)*Skills!D15))))/Inputs!$B$44),IF(Inputs!$B$39="pvp",MIN((Skills!T15*(1+Inputs!$B$35/100)),15)/15,(Skills!T15*(1+Inputs!$B$35/100))/Skills!D15)))+((C1409=TRUE)*F1409*IF(AND(Inputs!$B$39&lt;&gt;"pvp",Inputs!$B$44&gt;0),(((R1409-1)*(Skills!T16*(1+Inputs!$B$35/100))+MIN((Skills!T16*(1+Inputs!$B$35/100)),MAX(0,Inputs!$B$44-((R1409-1)*Skills!D16))))/Inputs!$B$44),IF(Inputs!$B$39="pvp",MIN((Skills!T16*(1+Inputs!$B$35/100)),15)/15,(Skills!T16*(1+Inputs!$B$35/100))/Skills!D16)))+0)/100)*I1395)</f>
        <v/>
      </c>
      <c r="L1395">
        <f>K1395*(MIN(Inputs!$B$23+((C1415=TRUE)*(F1415-Calc!F22)),Inputs!$B$24+((C1417=TRUE)*(F1417-Calc!F24)))/100+(Inputs!$B$24+((C1417=TRUE)*(F1417-Calc!F24)))/100)/2</f>
        <v/>
      </c>
      <c r="M1395">
        <f>L1395*(1+(Inputs!$B$11+0+B1427)/100)</f>
        <v/>
      </c>
      <c r="N1395">
        <f>L1395*(1-MIN((Inputs!$B$10+0+B1422),100)/100)+M1395*(MIN((Inputs!$B$10+0+B1422),100)/100)</f>
        <v/>
      </c>
      <c r="O1395">
        <f>(1-Summary!$B$55)*T1395+Summary!$B$55*V1395</f>
        <v/>
      </c>
      <c r="P1395">
        <f>IF(B1432=0,0,O1395/B1432)</f>
        <v/>
      </c>
      <c r="Q1395" t="n">
        <v>0</v>
      </c>
      <c r="R1395" t="n">
        <v>0</v>
      </c>
      <c r="S1395">
        <f>IFERROR(O1395/N1395,0)</f>
        <v/>
      </c>
      <c r="T1395">
        <f>IF(C1395,(Skills!G2*N1395*B1426)*IF(Inputs!$B$39="pvp",1,1+(Inputs!$B$21+0+Skills!P2+((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0)</f>
        <v/>
      </c>
      <c r="U1395">
        <f>MAX(0,(Inputs!$B$3-100)*3)+Inputs!$B$29+Inputs!$B$30</f>
        <v/>
      </c>
      <c r="V1395">
        <f>IF(C1395,(Skills!G2*N1395*B1426)*IF(Inputs!$B$39="pvp",1,(1+(Inputs!$B$22+Skills!Q2+((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MIN((6+Inputs!$B$34),Inputs!$B$38))),0)</f>
        <v/>
      </c>
    </row>
    <row r="1396">
      <c r="A1396">
        <f>Skills!A3</f>
        <v/>
      </c>
      <c r="B1396">
        <f>Skills!B3</f>
        <v/>
      </c>
      <c r="C1396">
        <f>Inputs!$B$3&gt;=50</f>
        <v/>
      </c>
      <c r="D1396">
        <f>IF(Skills!C3=1,60+Inputs!$B$26+Inputs!$B$30,IF(Skills!C3=2,90+Inputs!$B$27+Inputs!$B$30,IF(Skills!C3=3,120+Inputs!$B$28+Inputs!$B$30,MAX(0,(Inputs!$B$3-100)*3)+Inputs!$B$29+Inputs!$B$30)))</f>
        <v/>
      </c>
      <c r="E1396">
        <f>INDEX(FactorTable!$B$2:$Y$301, MATCH(ROUND(MIN(300,MAX(1,D1396)),0), FactorTable!$A$2:$A$301,0), Skills!M3+1)</f>
        <v/>
      </c>
      <c r="F1396">
        <f>IF(Skills!N3=TRUE,(Skills!L3/10)*(E1396/1000),Skills!L3/10)+Skills!O3</f>
        <v/>
      </c>
      <c r="G1396" t="inlineStr"/>
      <c r="H1396" t="inlineStr"/>
      <c r="I1396" t="inlineStr">
        <is>
          <t>1</t>
        </is>
      </c>
      <c r="J1396" t="inlineStr"/>
      <c r="K1396" t="inlineStr"/>
      <c r="L1396" t="inlineStr"/>
      <c r="M1396" t="inlineStr"/>
      <c r="N1396" t="inlineStr"/>
      <c r="O1396" t="inlineStr"/>
      <c r="P1396" t="inlineStr"/>
      <c r="Q1396" t="inlineStr"/>
      <c r="R1396" t="inlineStr"/>
      <c r="S1396" t="inlineStr"/>
      <c r="U1396">
        <f>INDEX(FactorTable!$B$2:$Y$301, MATCH(ROUND(MIN(300,MAX(1,U1395)),0), FactorTable!$A$2:$A$301,0), 22)</f>
        <v/>
      </c>
    </row>
    <row r="1397">
      <c r="A1397">
        <f>Skills!A4</f>
        <v/>
      </c>
      <c r="B1397">
        <f>Skills!B4</f>
        <v/>
      </c>
      <c r="C1397">
        <f>Inputs!$B$3&gt;=105</f>
        <v/>
      </c>
      <c r="D1397">
        <f>IF(Skills!C4=1,60+Inputs!$B$26+Inputs!$B$30,IF(Skills!C4=2,90+Inputs!$B$27+Inputs!$B$30,IF(Skills!C4=3,120+Inputs!$B$28+Inputs!$B$30,MAX(0,(Inputs!$B$3-100)*3)+Inputs!$B$29+Inputs!$B$30)))</f>
        <v/>
      </c>
      <c r="E1397">
        <f>INDEX(FactorTable!$B$2:$Y$301, MATCH(ROUND(MIN(300,MAX(1,D1397)),0), FactorTable!$A$2:$A$301,0), Skills!M4+1)</f>
        <v/>
      </c>
      <c r="F1397">
        <f>IF(Skills!N4=TRUE,(Skills!L4/10)*(E1397/1000),Skills!L4/10)+Skills!O4</f>
        <v/>
      </c>
      <c r="G1397" t="inlineStr"/>
      <c r="H1397" t="inlineStr"/>
      <c r="I1397" t="inlineStr">
        <is>
          <t>1</t>
        </is>
      </c>
      <c r="J1397" t="inlineStr"/>
      <c r="K1397" t="inlineStr"/>
      <c r="L1397" t="inlineStr"/>
      <c r="M1397" t="inlineStr"/>
      <c r="N1397" t="inlineStr"/>
      <c r="O1397" t="inlineStr"/>
      <c r="P1397" t="inlineStr"/>
      <c r="Q1397" t="inlineStr"/>
      <c r="R1397" t="inlineStr"/>
      <c r="S1397" t="inlineStr"/>
      <c r="U1397">
        <f>290*U1396/1000</f>
        <v/>
      </c>
    </row>
    <row r="1398">
      <c r="A1398">
        <f>Skills!A5</f>
        <v/>
      </c>
      <c r="B1398">
        <f>Skills!B5</f>
        <v/>
      </c>
      <c r="C1398">
        <f>Inputs!$B$3&gt;=117</f>
        <v/>
      </c>
      <c r="D1398">
        <f>IF(Skills!C5=1,60+Inputs!$B$26+Inputs!$B$30,IF(Skills!C5=2,90+Inputs!$B$27+Inputs!$B$30,IF(Skills!C5=3,120+Inputs!$B$28+Inputs!$B$30,MAX(0,(Inputs!$B$3-100)*3)+Inputs!$B$29+Inputs!$B$30)))</f>
        <v/>
      </c>
      <c r="E1398">
        <f>INDEX(FactorTable!$B$2:$Y$301, MATCH(ROUND(MIN(300,MAX(1,D1398)),0), FactorTable!$A$2:$A$301,0), Skills!M5+1)</f>
        <v/>
      </c>
      <c r="F1398">
        <f>IF(Skills!N5=TRUE,(Skills!L5/10)*(E1398/1000),Skills!L5/10)+Skills!O5</f>
        <v/>
      </c>
      <c r="G1398">
        <f>Skills!G5*IF(Skills!H5&gt;0,Skills!I5/Skills!H5,1)</f>
        <v/>
      </c>
      <c r="H1398">
        <f>1-(1-Skills!J5/100)^Skills!K5</f>
        <v/>
      </c>
      <c r="I1398" t="inlineStr">
        <is>
          <t>1</t>
        </is>
      </c>
      <c r="J1398">
        <f>((Inputs!$B$6*(1+Inputs!$B$7/100))+(((Inputs!$B$13*(1+Inputs!$B$14/100))-(Inputs!$B$13*(1+Inputs!$B$14/100)))+0.25*(Inputs!$B$15-Inputs!$B$15))*(1+Inputs!$B$7/100))*(F1398/100)</f>
        <v/>
      </c>
      <c r="K1398">
        <f>J1398*(1+(((Inputs!$B$13+IF(Inputs!$B$3&gt;=38,(10*INDEX(FactorTable!$B$2:$Y$301, MATCH(ROUND(MIN(300,MAX(1,Inputs!$B$3)),0), FactorTable!$A$2:$A$301,0), 23)/1000)/100*(Inputs!$B$8*(1+Inputs!$B$9/100)),0))*(1+Inputs!$B$14/100))*0.01+Inputs!$B$15*0.0025)/100)*(1+Inputs!$B$16/100)*(1+Inputs!$B$17/100)*(5000/(6000+Inputs!$B$43*(1-(Inputs!$B$20+0)/100)))*(1+(Inputs!$B$25+((C1418=TRUE)*(F1418-Calc!F25))+((C1419=TRUE)*(F1419-Calc!F26))+B1428)/100)*(1+(IF(Skills!A5="DARK_IMPALE",Inputs!$B$18+0,Inputs!$B$19+((C1416=TRUE)*(F1416-Calc!F23))))/100)*((1+(((C1406=TRUE)*F1406*IF(AND(Inputs!$B$39&lt;&gt;"pvp",Inputs!$B$44&gt;0),(((R1406-1)*(Skills!T13*(1+Inputs!$B$35/100))+MIN((Skills!T13*(1+Inputs!$B$35/100)),MAX(0,Inputs!$B$44-((R1406-1)*Skills!D13))))/Inputs!$B$44),IF(Inputs!$B$39="pvp",MIN((Skills!T13*(1+Inputs!$B$35/100)),15)/15,(Skills!T13*(1+Inputs!$B$35/100))/Skills!D13)))+((C1407=TRUE)*F1407*IF(AND(Inputs!$B$39&lt;&gt;"pvp",Inputs!$B$44&gt;0),(((R1407-1)*(Skills!T14*(1+Inputs!$B$35/100))+MIN((Skills!T14*(1+Inputs!$B$35/100)),MAX(0,Inputs!$B$44-((R1407-1)*Skills!D14))))/Inputs!$B$44),IF(Inputs!$B$39="pvp",MIN((Skills!T14*(1+Inputs!$B$35/100)),15)/15,(Skills!T14*(1+Inputs!$B$35/100))/Skills!D14)))+((C1408=TRUE)*F1408*IF(AND(Inputs!$B$39&lt;&gt;"pvp",Inputs!$B$44&gt;0),(((R1408-1)*(Skills!T15*(1+Inputs!$B$35/100))+MIN((Skills!T15*(1+Inputs!$B$35/100)),MAX(0,Inputs!$B$44-((R1408-1)*Skills!D15))))/Inputs!$B$44),IF(Inputs!$B$39="pvp",MIN((Skills!T15*(1+Inputs!$B$35/100)),15)/15,(Skills!T15*(1+Inputs!$B$35/100))/Skills!D15)))+((C1409=TRUE)*F1409*IF(AND(Inputs!$B$39&lt;&gt;"pvp",Inputs!$B$44&gt;0),(((R1409-1)*(Skills!T16*(1+Inputs!$B$35/100))+MIN((Skills!T16*(1+Inputs!$B$35/100)),MAX(0,Inputs!$B$44-((R1409-1)*Skills!D16))))/Inputs!$B$44),IF(Inputs!$B$39="pvp",MIN((Skills!T16*(1+Inputs!$B$35/100)),15)/15,(Skills!T16*(1+Inputs!$B$35/100))/Skills!D16)))+0)/100)*I1398)</f>
        <v/>
      </c>
      <c r="L1398">
        <f>K1398*(MIN(Inputs!$B$23+((C1415=TRUE)*(F1415-Calc!F22)),Inputs!$B$24+((C1417=TRUE)*(F1417-Calc!F24)))/100+(Inputs!$B$24+((C1417=TRUE)*(F1417-Calc!F24)))/100)/2</f>
        <v/>
      </c>
      <c r="M1398">
        <f>L1398*(1+(Inputs!$B$11+0+B1427)/100)</f>
        <v/>
      </c>
      <c r="N1398">
        <f>L1398*(1-MIN((Inputs!$B$10+0+B1422),100)/100)+M1398*(MIN((Inputs!$B$10+0+B1422),100)/100)</f>
        <v/>
      </c>
      <c r="O1398">
        <f>(1-Summary!$B$55)*T1398+Summary!$B$55*V1398</f>
        <v/>
      </c>
      <c r="P1398">
        <f>IF(B1432=0,0,O1398/B1432)</f>
        <v/>
      </c>
      <c r="Q1398">
        <f>IFERROR(1/IF(Inputs!$B$39="pvp",15,MAX(0.1,Skills!D5-IF(Skills!E5=TRUE,2.5,0))),0)</f>
        <v/>
      </c>
      <c r="R1398">
        <f>IF(AND(Inputs!$B$39&lt;&gt;"pvp",Inputs!$B$44&gt;0),IF(MAX(0,Inputs!$B$44-B1429)&lt;=0,0,(INT(MAX(0,Inputs!$B$44-B1429)/IF(Inputs!$B$39="pvp",15,MAX(0.1,Skills!D5-IF(Skills!E5=TRUE,2.5,0))))+1)),0)</f>
        <v/>
      </c>
      <c r="S1398">
        <f>IFERROR(O1398/N1398,0)</f>
        <v/>
      </c>
      <c r="T1398">
        <f>IF(C1398,(H1398*N1398*IF(AND(Inputs!$B$39&lt;&gt;"pvp",Inputs!$B$44&gt;0),((Skills!G5*((R1398-1)*IF(Skills!H5&gt;0,Skills!I5/Skills!H5,1)+IF(Skills!H5&gt;0,MIN(Skills!I5,MAX(0,MAX(0,Inputs!$B$44-B1429)-((R1398-1)*IF(Inputs!$B$39="pvp",15,MAX(0.1,Skills!D5-IF(Skills!E5=TRUE,2.5,0))))))/Skills!H5,1)))/Inputs!$B$44),G1398*Q1398))*IF(Inputs!$B$39="pvp",1,1+(Inputs!$B$21+0+Skills!P5+((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0)</f>
        <v/>
      </c>
      <c r="V1398">
        <f>IF(C1398,(H1398*N1398*IF(AND(Inputs!$B$39&lt;&gt;"pvp",Inputs!$B$44&gt;0),((Skills!G5*((R1398-1)*IF(Skills!H5&gt;0,Skills!I5/Skills!H5,1)+IF(Skills!H5&gt;0,MIN(Skills!I5,MAX(0,MAX(0,Inputs!$B$44-B1429)-((R1398-1)*IF(Inputs!$B$39="pvp",15,MAX(0.1,Skills!D5-IF(Skills!E5=TRUE,2.5,0))))))/Skills!H5,1)))/Inputs!$B$44),G1398*Q1398))*IF(Inputs!$B$39="pvp",1,(1+(Inputs!$B$22+Skills!Q5+((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MIN(Skills!R5,Inputs!$B$38))),0)</f>
        <v/>
      </c>
    </row>
    <row r="1399">
      <c r="A1399">
        <f>Skills!A6</f>
        <v/>
      </c>
      <c r="B1399">
        <f>Skills!B6</f>
        <v/>
      </c>
      <c r="C1399">
        <f>Inputs!$B$3&gt;=103</f>
        <v/>
      </c>
      <c r="D1399">
        <f>IF(Skills!C6=1,60+Inputs!$B$26+Inputs!$B$30,IF(Skills!C6=2,90+Inputs!$B$27+Inputs!$B$30,IF(Skills!C6=3,120+Inputs!$B$28+Inputs!$B$30,MAX(0,(Inputs!$B$3-100)*3)+Inputs!$B$29+Inputs!$B$30)))</f>
        <v/>
      </c>
      <c r="E1399">
        <f>INDEX(FactorTable!$B$2:$Y$301, MATCH(ROUND(MIN(300,MAX(1,D1399)),0), FactorTable!$A$2:$A$301,0), Skills!M6+1)</f>
        <v/>
      </c>
      <c r="F1399">
        <f>IF(Skills!N6=TRUE,(Skills!L6/10)*(E1399/1000),Skills!L6/10)+Skills!O6</f>
        <v/>
      </c>
      <c r="G1399">
        <f>Skills!G6*IF(Skills!H6&gt;0,Skills!I6/Skills!H6,1)</f>
        <v/>
      </c>
      <c r="H1399">
        <f>1-(1-Skills!J6/100)^Skills!K6</f>
        <v/>
      </c>
      <c r="I1399" t="inlineStr">
        <is>
          <t>1</t>
        </is>
      </c>
      <c r="J1399">
        <f>((Inputs!$B$6*(1+Inputs!$B$7/100))+(((Inputs!$B$13*(1+Inputs!$B$14/100))-(Inputs!$B$13*(1+Inputs!$B$14/100)))+0.25*(Inputs!$B$15-Inputs!$B$15))*(1+Inputs!$B$7/100))*(F1399/100)</f>
        <v/>
      </c>
      <c r="K1399">
        <f>J1399*(1+(((Inputs!$B$13+IF(Inputs!$B$3&gt;=38,(10*INDEX(FactorTable!$B$2:$Y$301, MATCH(ROUND(MIN(300,MAX(1,Inputs!$B$3)),0), FactorTable!$A$2:$A$301,0), 23)/1000)/100*(Inputs!$B$8*(1+Inputs!$B$9/100)),0))*(1+Inputs!$B$14/100))*0.01+Inputs!$B$15*0.0025)/100)*(1+Inputs!$B$16/100)*(1+Inputs!$B$17/100)*(5000/(6000+Inputs!$B$43*(1-(Inputs!$B$20+0)/100)))*(1+(Inputs!$B$25+((C1418=TRUE)*(F1418-Calc!F25))+((C1419=TRUE)*(F1419-Calc!F26))+B1428)/100)*(1+(IF(Skills!A6="DARK_IMPALE",Inputs!$B$18+0,Inputs!$B$19+((C1416=TRUE)*(F1416-Calc!F23))))/100)*((1+(((C1406=TRUE)*F1406*IF(AND(Inputs!$B$39&lt;&gt;"pvp",Inputs!$B$44&gt;0),(((R1406-1)*(Skills!T13*(1+Inputs!$B$35/100))+MIN((Skills!T13*(1+Inputs!$B$35/100)),MAX(0,Inputs!$B$44-((R1406-1)*Skills!D13))))/Inputs!$B$44),IF(Inputs!$B$39="pvp",MIN((Skills!T13*(1+Inputs!$B$35/100)),15)/15,(Skills!T13*(1+Inputs!$B$35/100))/Skills!D13)))+((C1407=TRUE)*F1407*IF(AND(Inputs!$B$39&lt;&gt;"pvp",Inputs!$B$44&gt;0),(((R1407-1)*(Skills!T14*(1+Inputs!$B$35/100))+MIN((Skills!T14*(1+Inputs!$B$35/100)),MAX(0,Inputs!$B$44-((R1407-1)*Skills!D14))))/Inputs!$B$44),IF(Inputs!$B$39="pvp",MIN((Skills!T14*(1+Inputs!$B$35/100)),15)/15,(Skills!T14*(1+Inputs!$B$35/100))/Skills!D14)))+((C1408=TRUE)*F1408*IF(AND(Inputs!$B$39&lt;&gt;"pvp",Inputs!$B$44&gt;0),(((R1408-1)*(Skills!T15*(1+Inputs!$B$35/100))+MIN((Skills!T15*(1+Inputs!$B$35/100)),MAX(0,Inputs!$B$44-((R1408-1)*Skills!D15))))/Inputs!$B$44),IF(Inputs!$B$39="pvp",MIN((Skills!T15*(1+Inputs!$B$35/100)),15)/15,(Skills!T15*(1+Inputs!$B$35/100))/Skills!D15)))+((C1409=TRUE)*F1409*IF(AND(Inputs!$B$39&lt;&gt;"pvp",Inputs!$B$44&gt;0),(((R1409-1)*(Skills!T16*(1+Inputs!$B$35/100))+MIN((Skills!T16*(1+Inputs!$B$35/100)),MAX(0,Inputs!$B$44-((R1409-1)*Skills!D16))))/Inputs!$B$44),IF(Inputs!$B$39="pvp",MIN((Skills!T16*(1+Inputs!$B$35/100)),15)/15,(Skills!T16*(1+Inputs!$B$35/100))/Skills!D16)))+0)/100)*I1399)</f>
        <v/>
      </c>
      <c r="L1399">
        <f>K1399*(MIN(Inputs!$B$23+((C1415=TRUE)*(F1415-Calc!F22)),Inputs!$B$24+((C1417=TRUE)*(F1417-Calc!F24)))/100+(Inputs!$B$24+((C1417=TRUE)*(F1417-Calc!F24)))/100)/2</f>
        <v/>
      </c>
      <c r="M1399">
        <f>L1399*(1+(Inputs!$B$11+0+B1427)/100)</f>
        <v/>
      </c>
      <c r="N1399">
        <f>L1399*(1-MIN((Inputs!$B$10+0+B1422),100)/100)+M1399*(MIN((Inputs!$B$10+0+B1422),100)/100)</f>
        <v/>
      </c>
      <c r="O1399">
        <f>(1-Summary!$B$55)*T1399+Summary!$B$55*V1399</f>
        <v/>
      </c>
      <c r="P1399">
        <f>IF(B1432=0,0,O1399/B1432)</f>
        <v/>
      </c>
      <c r="Q1399">
        <f>IFERROR(1/IF(Inputs!$B$39="pvp",15,MAX(0.1,Skills!D6-IF(Skills!E6=TRUE,2.5,0))),0)</f>
        <v/>
      </c>
      <c r="R1399">
        <f>IF(AND(Inputs!$B$39&lt;&gt;"pvp",Inputs!$B$44&gt;0),IF(MAX(0,Inputs!$B$44-B1429)&lt;=0,0,(INT(MAX(0,Inputs!$B$44-B1429)/IF(Inputs!$B$39="pvp",15,MAX(0.1,Skills!D6-IF(Skills!E6=TRUE,2.5,0))))+1)),0)</f>
        <v/>
      </c>
      <c r="S1399">
        <f>IFERROR(O1399/N1399,0)</f>
        <v/>
      </c>
      <c r="T1399">
        <f>IF(C1399,(H1399*N1399*IF(AND(Inputs!$B$39&lt;&gt;"pvp",Inputs!$B$44&gt;0),((Skills!G6*((R1399-1)*IF(Skills!H6&gt;0,Skills!I6/Skills!H6,1)+IF(Skills!H6&gt;0,MIN(Skills!I6,MAX(0,MAX(0,Inputs!$B$44-B1429)-((R1399-1)*IF(Inputs!$B$39="pvp",15,MAX(0.1,Skills!D6-IF(Skills!E6=TRUE,2.5,0))))))/Skills!H6,1)))/Inputs!$B$44),G1399*Q1399))*IF(Inputs!$B$39="pvp",1,1+(Inputs!$B$21+0+Skills!P6+((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0)</f>
        <v/>
      </c>
      <c r="V1399">
        <f>IF(C1399,(H1399*N1399*IF(AND(Inputs!$B$39&lt;&gt;"pvp",Inputs!$B$44&gt;0),((Skills!G6*((R1399-1)*IF(Skills!H6&gt;0,Skills!I6/Skills!H6,1)+IF(Skills!H6&gt;0,MIN(Skills!I6,MAX(0,MAX(0,Inputs!$B$44-B1429)-((R1399-1)*IF(Inputs!$B$39="pvp",15,MAX(0.1,Skills!D6-IF(Skills!E6=TRUE,2.5,0))))))/Skills!H6,1)))/Inputs!$B$44),G1399*Q1399))*IF(Inputs!$B$39="pvp",1,(1+(Inputs!$B$22+Skills!Q6+((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MIN(Skills!R6,Inputs!$B$38))),0)</f>
        <v/>
      </c>
    </row>
    <row r="1400">
      <c r="A1400">
        <f>Skills!A7</f>
        <v/>
      </c>
      <c r="B1400">
        <f>Skills!B7</f>
        <v/>
      </c>
      <c r="C1400">
        <f>Inputs!$B$3&gt;=40</f>
        <v/>
      </c>
      <c r="D1400">
        <f>IF(Skills!C7=1,60+Inputs!$B$26+Inputs!$B$30,IF(Skills!C7=2,90+Inputs!$B$27+Inputs!$B$30,IF(Skills!C7=3,120+Inputs!$B$28+Inputs!$B$30,MAX(0,(Inputs!$B$3-100)*3)+Inputs!$B$29+Inputs!$B$30)))</f>
        <v/>
      </c>
      <c r="E1400">
        <f>INDEX(FactorTable!$B$2:$Y$301, MATCH(ROUND(MIN(300,MAX(1,D1400)),0), FactorTable!$A$2:$A$301,0), Skills!M7+1)</f>
        <v/>
      </c>
      <c r="F1400">
        <f>IF(Skills!N7=TRUE,(Skills!L7/10)*(E1400/1000),Skills!L7/10)+Skills!O7</f>
        <v/>
      </c>
      <c r="G1400">
        <f>Skills!G7*IF(Skills!H7&gt;0,Skills!I7/Skills!H7,1)</f>
        <v/>
      </c>
      <c r="H1400">
        <f>1-(1-Skills!J7/100)^Skills!K7</f>
        <v/>
      </c>
      <c r="I1400" t="inlineStr">
        <is>
          <t>1</t>
        </is>
      </c>
      <c r="J1400">
        <f>((Inputs!$B$6*(1+Inputs!$B$7/100))+(((Inputs!$B$13*(1+Inputs!$B$14/100))-(Inputs!$B$13*(1+Inputs!$B$14/100)))+0.25*(Inputs!$B$15-Inputs!$B$15))*(1+Inputs!$B$7/100))*(F1400/100)</f>
        <v/>
      </c>
      <c r="K1400">
        <f>J1400*(1+(((Inputs!$B$13+IF(Inputs!$B$3&gt;=38,(10*INDEX(FactorTable!$B$2:$Y$301, MATCH(ROUND(MIN(300,MAX(1,Inputs!$B$3)),0), FactorTable!$A$2:$A$301,0), 23)/1000)/100*(Inputs!$B$8*(1+Inputs!$B$9/100)),0))*(1+Inputs!$B$14/100))*0.01+Inputs!$B$15*0.0025)/100)*(1+Inputs!$B$16/100)*(1+Inputs!$B$17/100)*(5000/(6000+Inputs!$B$43*(1-(Inputs!$B$20+0)/100)))*(1+(Inputs!$B$25+((C1418=TRUE)*(F1418-Calc!F25))+((C1419=TRUE)*(F1419-Calc!F26))+B1428)/100)*(1+0.75*IF(C1404=TRUE,F1404,0)/100)*(1+(IF(Skills!A7="DARK_IMPALE",Inputs!$B$18+0,Inputs!$B$19+((C1416=TRUE)*(F1416-Calc!F23))))/100)*((1+(((C1406=TRUE)*F1406*IF(AND(Inputs!$B$39&lt;&gt;"pvp",Inputs!$B$44&gt;0),(((R1406-1)*(Skills!T13*(1+Inputs!$B$35/100))+MIN((Skills!T13*(1+Inputs!$B$35/100)),MAX(0,Inputs!$B$44-((R1406-1)*Skills!D13))))/Inputs!$B$44),IF(Inputs!$B$39="pvp",MIN((Skills!T13*(1+Inputs!$B$35/100)),15)/15,(Skills!T13*(1+Inputs!$B$35/100))/Skills!D13)))+((C1407=TRUE)*F1407*IF(AND(Inputs!$B$39&lt;&gt;"pvp",Inputs!$B$44&gt;0),(((R1407-1)*(Skills!T14*(1+Inputs!$B$35/100))+MIN((Skills!T14*(1+Inputs!$B$35/100)),MAX(0,Inputs!$B$44-((R1407-1)*Skills!D14))))/Inputs!$B$44),IF(Inputs!$B$39="pvp",MIN((Skills!T14*(1+Inputs!$B$35/100)),15)/15,(Skills!T14*(1+Inputs!$B$35/100))/Skills!D14)))+((C1408=TRUE)*F1408*IF(AND(Inputs!$B$39&lt;&gt;"pvp",Inputs!$B$44&gt;0),(((R1408-1)*(Skills!T15*(1+Inputs!$B$35/100))+MIN((Skills!T15*(1+Inputs!$B$35/100)),MAX(0,Inputs!$B$44-((R1408-1)*Skills!D15))))/Inputs!$B$44),IF(Inputs!$B$39="pvp",MIN((Skills!T15*(1+Inputs!$B$35/100)),15)/15,(Skills!T15*(1+Inputs!$B$35/100))/Skills!D15)))+((C1409=TRUE)*F1409*IF(AND(Inputs!$B$39&lt;&gt;"pvp",Inputs!$B$44&gt;0),(((R1409-1)*(Skills!T16*(1+Inputs!$B$35/100))+MIN((Skills!T16*(1+Inputs!$B$35/100)),MAX(0,Inputs!$B$44-((R1409-1)*Skills!D16))))/Inputs!$B$44),IF(Inputs!$B$39="pvp",MIN((Skills!T16*(1+Inputs!$B$35/100)),15)/15,(Skills!T16*(1+Inputs!$B$35/100))/Skills!D16)))+0)/100)*I1400)</f>
        <v/>
      </c>
      <c r="L1400">
        <f>K1400*(MIN(Inputs!$B$23+((C1415=TRUE)*(F1415-Calc!F22)),Inputs!$B$24+((C1417=TRUE)*(F1417-Calc!F24)))/100+(Inputs!$B$24+((C1417=TRUE)*(F1417-Calc!F24)))/100)/2</f>
        <v/>
      </c>
      <c r="M1400">
        <f>L1400*(1+(Inputs!$B$11+0+B1427)/100)</f>
        <v/>
      </c>
      <c r="N1400">
        <f>L1400*(1-MIN((Inputs!$B$10+0+B1422),100)/100)+M1400*(MIN((Inputs!$B$10+0+B1422),100)/100)</f>
        <v/>
      </c>
      <c r="O1400">
        <f>(1-Summary!$B$55)*T1400+Summary!$B$55*V1400</f>
        <v/>
      </c>
      <c r="P1400">
        <f>IF(B1432=0,0,O1400/B1432)</f>
        <v/>
      </c>
      <c r="Q1400">
        <f>IFERROR(1/IF(Inputs!$B$39="pvp",15,MAX(0.1,Skills!D7-IF(Skills!E7=TRUE,2.5,0))),0)</f>
        <v/>
      </c>
      <c r="R1400">
        <f>IF(AND(Inputs!$B$39&lt;&gt;"pvp",Inputs!$B$44&gt;0),IF(MAX(0,Inputs!$B$44-B1429)&lt;=0,0,(INT(MAX(0,Inputs!$B$44-B1429)/IF(Inputs!$B$39="pvp",15,MAX(0.1,Skills!D7-IF(Skills!E7=TRUE,2.5,0))))+1)),0)</f>
        <v/>
      </c>
      <c r="S1400">
        <f>IFERROR(O1400/N1400,0)</f>
        <v/>
      </c>
      <c r="T1400">
        <f>IF(C1400,(H1400*N1400*IF(AND(Inputs!$B$39&lt;&gt;"pvp",Inputs!$B$44&gt;0),((Skills!G7*((R1400-1)*IF(Skills!H7&gt;0,Skills!I7/Skills!H7,1)+IF(Skills!H7&gt;0,MIN(Skills!I7,MAX(0,MAX(0,Inputs!$B$44-B1429)-((R1400-1)*IF(Inputs!$B$39="pvp",15,MAX(0.1,Skills!D7-IF(Skills!E7=TRUE,2.5,0))))))/Skills!H7,1)))/Inputs!$B$44),G1400*Q1400))*IF(Inputs!$B$39="pvp",1,1+(Inputs!$B$21+0+Skills!P7+((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0)</f>
        <v/>
      </c>
      <c r="V1400">
        <f>IF(C1400,(H1400*N1400*IF(AND(Inputs!$B$39&lt;&gt;"pvp",Inputs!$B$44&gt;0),((Skills!G7*((R1400-1)*IF(Skills!H7&gt;0,Skills!I7/Skills!H7,1)+IF(Skills!H7&gt;0,MIN(Skills!I7,MAX(0,MAX(0,Inputs!$B$44-B1429)-((R1400-1)*IF(Inputs!$B$39="pvp",15,MAX(0.1,Skills!D7-IF(Skills!E7=TRUE,2.5,0))))))/Skills!H7,1)))/Inputs!$B$44),G1400*Q1400))*IF(Inputs!$B$39="pvp",1,(1+(Inputs!$B$22+Skills!Q7+((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MIN(Skills!R7,Inputs!$B$38))),0)</f>
        <v/>
      </c>
    </row>
    <row r="1401">
      <c r="A1401">
        <f>Skills!A8</f>
        <v/>
      </c>
      <c r="B1401">
        <f>Skills!B8</f>
        <v/>
      </c>
      <c r="C1401">
        <f>Inputs!$B$3&gt;=75</f>
        <v/>
      </c>
      <c r="D1401">
        <f>IF(Skills!C8=1,60+Inputs!$B$26+Inputs!$B$30,IF(Skills!C8=2,90+Inputs!$B$27+Inputs!$B$30,IF(Skills!C8=3,120+Inputs!$B$28+Inputs!$B$30,MAX(0,(Inputs!$B$3-100)*3)+Inputs!$B$29+Inputs!$B$30)))</f>
        <v/>
      </c>
      <c r="E1401">
        <f>INDEX(FactorTable!$B$2:$Y$301, MATCH(ROUND(MIN(300,MAX(1,D1401)),0), FactorTable!$A$2:$A$301,0), Skills!M8+1)</f>
        <v/>
      </c>
      <c r="F1401">
        <f>IF(Skills!N8=TRUE,(Skills!L8/10)*(E1401/1000),Skills!L8/10)+Skills!O8</f>
        <v/>
      </c>
      <c r="G1401" t="inlineStr"/>
      <c r="H1401" t="inlineStr"/>
      <c r="I1401" t="inlineStr">
        <is>
          <t>1</t>
        </is>
      </c>
      <c r="J1401" t="inlineStr"/>
      <c r="K1401" t="inlineStr"/>
      <c r="L1401" t="inlineStr"/>
      <c r="M1401" t="inlineStr"/>
      <c r="N1401" t="inlineStr"/>
      <c r="O1401" t="inlineStr"/>
      <c r="P1401" t="inlineStr"/>
      <c r="Q1401" t="inlineStr"/>
      <c r="R1401" t="inlineStr"/>
      <c r="S1401" t="inlineStr"/>
    </row>
    <row r="1402">
      <c r="A1402">
        <f>Skills!A9</f>
        <v/>
      </c>
      <c r="B1402">
        <f>Skills!B9</f>
        <v/>
      </c>
      <c r="C1402">
        <f>Inputs!$B$3&gt;=60</f>
        <v/>
      </c>
      <c r="D1402">
        <f>IF(Skills!C9=1,60+Inputs!$B$26+Inputs!$B$30,IF(Skills!C9=2,90+Inputs!$B$27+Inputs!$B$30,IF(Skills!C9=3,120+Inputs!$B$28+Inputs!$B$30,MAX(0,(Inputs!$B$3-100)*3)+Inputs!$B$29+Inputs!$B$30)))</f>
        <v/>
      </c>
      <c r="E1402">
        <f>INDEX(FactorTable!$B$2:$Y$301, MATCH(ROUND(MIN(300,MAX(1,D1402)),0), FactorTable!$A$2:$A$301,0), Skills!M9+1)</f>
        <v/>
      </c>
      <c r="F1402">
        <f>IF(Skills!N9=TRUE,(Skills!L9/10)*(E1402/1000),Skills!L9/10)+Skills!O9</f>
        <v/>
      </c>
      <c r="G1402">
        <f>Skills!G9*IF(Skills!H9&gt;0,Skills!I9/Skills!H9,1)</f>
        <v/>
      </c>
      <c r="H1402">
        <f>1-(1-Skills!J9/100)^Skills!K9</f>
        <v/>
      </c>
      <c r="I1402" t="inlineStr">
        <is>
          <t>1</t>
        </is>
      </c>
      <c r="J1402">
        <f>((Inputs!$B$6*(1+Inputs!$B$7/100))+(((Inputs!$B$13*(1+Inputs!$B$14/100))-(Inputs!$B$13*(1+Inputs!$B$14/100)))+0.25*(Inputs!$B$15-Inputs!$B$15))*(1+Inputs!$B$7/100))*(F1402/100)</f>
        <v/>
      </c>
      <c r="K1402">
        <f>J1402*(1+(((Inputs!$B$13+IF(Inputs!$B$3&gt;=38,(10*INDEX(FactorTable!$B$2:$Y$301, MATCH(ROUND(MIN(300,MAX(1,Inputs!$B$3)),0), FactorTable!$A$2:$A$301,0), 23)/1000)/100*(Inputs!$B$8*(1+Inputs!$B$9/100)),0))*(1+Inputs!$B$14/100))*0.01+Inputs!$B$15*0.0025)/100)*(1+Inputs!$B$16/100)*(1+Inputs!$B$17/100)*(5000/(6000+Inputs!$B$43*(1-(Inputs!$B$20+0)/100)))*(1+(Inputs!$B$25+((C1418=TRUE)*(F1418-Calc!F25))+((C1419=TRUE)*(F1419-Calc!F26))+B1428)/100)*(1+1.0*IF(C1404=TRUE,F1404,0)/100)*(1+(IF(Skills!A9="DARK_IMPALE",Inputs!$B$18+0,Inputs!$B$19+((C1416=TRUE)*(F1416-Calc!F23))))/100)*((1+(((C1406=TRUE)*F1406*IF(AND(Inputs!$B$39&lt;&gt;"pvp",Inputs!$B$44&gt;0),(((R1406-1)*(Skills!T13*(1+Inputs!$B$35/100))+MIN((Skills!T13*(1+Inputs!$B$35/100)),MAX(0,Inputs!$B$44-((R1406-1)*Skills!D13))))/Inputs!$B$44),IF(Inputs!$B$39="pvp",MIN((Skills!T13*(1+Inputs!$B$35/100)),15)/15,(Skills!T13*(1+Inputs!$B$35/100))/Skills!D13)))+((C1407=TRUE)*F1407*IF(AND(Inputs!$B$39&lt;&gt;"pvp",Inputs!$B$44&gt;0),(((R1407-1)*(Skills!T14*(1+Inputs!$B$35/100))+MIN((Skills!T14*(1+Inputs!$B$35/100)),MAX(0,Inputs!$B$44-((R1407-1)*Skills!D14))))/Inputs!$B$44),IF(Inputs!$B$39="pvp",MIN((Skills!T14*(1+Inputs!$B$35/100)),15)/15,(Skills!T14*(1+Inputs!$B$35/100))/Skills!D14)))+((C1408=TRUE)*F1408*IF(AND(Inputs!$B$39&lt;&gt;"pvp",Inputs!$B$44&gt;0),(((R1408-1)*(Skills!T15*(1+Inputs!$B$35/100))+MIN((Skills!T15*(1+Inputs!$B$35/100)),MAX(0,Inputs!$B$44-((R1408-1)*Skills!D15))))/Inputs!$B$44),IF(Inputs!$B$39="pvp",MIN((Skills!T15*(1+Inputs!$B$35/100)),15)/15,(Skills!T15*(1+Inputs!$B$35/100))/Skills!D15)))+((C1409=TRUE)*F1409*IF(AND(Inputs!$B$39&lt;&gt;"pvp",Inputs!$B$44&gt;0),(((R1409-1)*(Skills!T16*(1+Inputs!$B$35/100))+MIN((Skills!T16*(1+Inputs!$B$35/100)),MAX(0,Inputs!$B$44-((R1409-1)*Skills!D16))))/Inputs!$B$44),IF(Inputs!$B$39="pvp",MIN((Skills!T16*(1+Inputs!$B$35/100)),15)/15,(Skills!T16*(1+Inputs!$B$35/100))/Skills!D16)))+0)/100)*I1402)</f>
        <v/>
      </c>
      <c r="L1402">
        <f>K1402*(MIN(Inputs!$B$23+((C1415=TRUE)*(F1415-Calc!F22)),Inputs!$B$24+((C1417=TRUE)*(F1417-Calc!F24)))/100+(Inputs!$B$24+((C1417=TRUE)*(F1417-Calc!F24)))/100)/2</f>
        <v/>
      </c>
      <c r="M1402">
        <f>L1402*(1+(Inputs!$B$11+0+B1427)/100)</f>
        <v/>
      </c>
      <c r="N1402">
        <f>L1402*(1-MIN((Inputs!$B$10+0+B1422),100)/100)+M1402*(MIN((Inputs!$B$10+0+B1422),100)/100)</f>
        <v/>
      </c>
      <c r="O1402">
        <f>(1-Summary!$B$55)*T1402+Summary!$B$55*V1402</f>
        <v/>
      </c>
      <c r="P1402">
        <f>IF(B1432=0,0,O1402/B1432)</f>
        <v/>
      </c>
      <c r="Q1402">
        <f>IFERROR(1/IF(Inputs!$B$39="pvp",15,MAX(0.1,Skills!D9-IF(Skills!E9=TRUE,2.5,0))),0)</f>
        <v/>
      </c>
      <c r="R1402">
        <f>IF(AND(Inputs!$B$39&lt;&gt;"pvp",Inputs!$B$44&gt;0),IF(MAX(0,Inputs!$B$44-B1429)&lt;=0,0,(INT(MAX(0,Inputs!$B$44-B1429)/IF(Inputs!$B$39="pvp",15,MAX(0.1,Skills!D9-IF(Skills!E9=TRUE,2.5,0))))+1)),0)</f>
        <v/>
      </c>
      <c r="S1402">
        <f>IFERROR(O1402/N1402,0)</f>
        <v/>
      </c>
      <c r="T1402">
        <f>IF(C1402,(H1402*N1402*IF(AND(Inputs!$B$39&lt;&gt;"pvp",Inputs!$B$44&gt;0),((Skills!G9*((R1402-1)*IF(Skills!H9&gt;0,Skills!I9/Skills!H9,1)+IF(Skills!H9&gt;0,MIN(Skills!I9,MAX(0,MAX(0,Inputs!$B$44-B1429)-((R1402-1)*IF(Inputs!$B$39="pvp",15,MAX(0.1,Skills!D9-IF(Skills!E9=TRUE,2.5,0))))))/Skills!H9,1)))/Inputs!$B$44),G1402*Q1402))*IF(Inputs!$B$39="pvp",1,1+(Inputs!$B$21+0+Skills!P9+((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0)</f>
        <v/>
      </c>
      <c r="V1402">
        <f>IF(C1402,(H1402*N1402*IF(AND(Inputs!$B$39&lt;&gt;"pvp",Inputs!$B$44&gt;0),((Skills!G9*((R1402-1)*IF(Skills!H9&gt;0,Skills!I9/Skills!H9,1)+IF(Skills!H9&gt;0,MIN(Skills!I9,MAX(0,MAX(0,Inputs!$B$44-B1429)-((R1402-1)*IF(Inputs!$B$39="pvp",15,MAX(0.1,Skills!D9-IF(Skills!E9=TRUE,2.5,0))))))/Skills!H9,1)))/Inputs!$B$44),G1402*Q1402))*IF(Inputs!$B$39="pvp",1,(1+(Inputs!$B$22+Skills!Q9+((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MIN(Skills!R9,Inputs!$B$38))),0)</f>
        <v/>
      </c>
    </row>
    <row r="1403">
      <c r="A1403">
        <f>Skills!A10</f>
        <v/>
      </c>
      <c r="B1403">
        <f>Skills!B10</f>
        <v/>
      </c>
      <c r="C1403">
        <f>Inputs!$B$3&gt;=110</f>
        <v/>
      </c>
      <c r="D1403">
        <f>IF(Skills!C10=1,60+Inputs!$B$26+Inputs!$B$30,IF(Skills!C10=2,90+Inputs!$B$27+Inputs!$B$30,IF(Skills!C10=3,120+Inputs!$B$28+Inputs!$B$30,MAX(0,(Inputs!$B$3-100)*3)+Inputs!$B$29+Inputs!$B$30)))</f>
        <v/>
      </c>
      <c r="E1403">
        <f>INDEX(FactorTable!$B$2:$Y$301, MATCH(ROUND(MIN(300,MAX(1,D1403)),0), FactorTable!$A$2:$A$301,0), Skills!M10+1)</f>
        <v/>
      </c>
      <c r="F1403">
        <f>IF(Skills!N10=TRUE,(Skills!L10/10)*(E1403/1000),Skills!L10/10)+Skills!O10</f>
        <v/>
      </c>
      <c r="G1403">
        <f>Skills!G10*IF(Skills!H10&gt;0,Skills!I10/Skills!H10,1)</f>
        <v/>
      </c>
      <c r="H1403">
        <f>1-(1-Skills!J10/100)^Skills!K10</f>
        <v/>
      </c>
      <c r="I1403" t="inlineStr">
        <is>
          <t>1</t>
        </is>
      </c>
      <c r="J1403">
        <f>((Inputs!$B$6*(1+Inputs!$B$7/100))+(((Inputs!$B$13*(1+Inputs!$B$14/100))-(Inputs!$B$13*(1+Inputs!$B$14/100)))+0.25*(Inputs!$B$15-Inputs!$B$15))*(1+Inputs!$B$7/100))*(F1403/100)</f>
        <v/>
      </c>
      <c r="K1403">
        <f>J1403*(1+(((Inputs!$B$13+IF(Inputs!$B$3&gt;=38,(10*INDEX(FactorTable!$B$2:$Y$301, MATCH(ROUND(MIN(300,MAX(1,Inputs!$B$3)),0), FactorTable!$A$2:$A$301,0), 23)/1000)/100*(Inputs!$B$8*(1+Inputs!$B$9/100)),0))*(1+Inputs!$B$14/100))*0.01+Inputs!$B$15*0.0025)/100)*(1+Inputs!$B$16/100)*(1+Inputs!$B$17/100)*(5000/(6000+Inputs!$B$43*(1-(Inputs!$B$20+0)/100)))*(1+(Inputs!$B$25+((C1418=TRUE)*(F1418-Calc!F25))+((C1419=TRUE)*(F1419-Calc!F26))+B1428)/100)*(1+(IF(Skills!A10="DARK_IMPALE",Inputs!$B$18+0,Inputs!$B$19+((C1416=TRUE)*(F1416-Calc!F23))))/100)*((1+(((C1406=TRUE)*F1406*IF(AND(Inputs!$B$39&lt;&gt;"pvp",Inputs!$B$44&gt;0),(((R1406-1)*(Skills!T13*(1+Inputs!$B$35/100))+MIN((Skills!T13*(1+Inputs!$B$35/100)),MAX(0,Inputs!$B$44-((R1406-1)*Skills!D13))))/Inputs!$B$44),IF(Inputs!$B$39="pvp",MIN((Skills!T13*(1+Inputs!$B$35/100)),15)/15,(Skills!T13*(1+Inputs!$B$35/100))/Skills!D13)))+((C1407=TRUE)*F1407*IF(AND(Inputs!$B$39&lt;&gt;"pvp",Inputs!$B$44&gt;0),(((R1407-1)*(Skills!T14*(1+Inputs!$B$35/100))+MIN((Skills!T14*(1+Inputs!$B$35/100)),MAX(0,Inputs!$B$44-((R1407-1)*Skills!D14))))/Inputs!$B$44),IF(Inputs!$B$39="pvp",MIN((Skills!T14*(1+Inputs!$B$35/100)),15)/15,(Skills!T14*(1+Inputs!$B$35/100))/Skills!D14)))+((C1408=TRUE)*F1408*IF(AND(Inputs!$B$39&lt;&gt;"pvp",Inputs!$B$44&gt;0),(((R1408-1)*(Skills!T15*(1+Inputs!$B$35/100))+MIN((Skills!T15*(1+Inputs!$B$35/100)),MAX(0,Inputs!$B$44-((R1408-1)*Skills!D15))))/Inputs!$B$44),IF(Inputs!$B$39="pvp",MIN((Skills!T15*(1+Inputs!$B$35/100)),15)/15,(Skills!T15*(1+Inputs!$B$35/100))/Skills!D15)))+((C1409=TRUE)*F1409*IF(AND(Inputs!$B$39&lt;&gt;"pvp",Inputs!$B$44&gt;0),(((R1409-1)*(Skills!T16*(1+Inputs!$B$35/100))+MIN((Skills!T16*(1+Inputs!$B$35/100)),MAX(0,Inputs!$B$44-((R1409-1)*Skills!D16))))/Inputs!$B$44),IF(Inputs!$B$39="pvp",MIN((Skills!T16*(1+Inputs!$B$35/100)),15)/15,(Skills!T16*(1+Inputs!$B$35/100))/Skills!D16)))+0)/100)*I1403)</f>
        <v/>
      </c>
      <c r="L1403">
        <f>K1403*(MIN(Inputs!$B$23+((C1415=TRUE)*(F1415-Calc!F22)),Inputs!$B$24+((C1417=TRUE)*(F1417-Calc!F24)))/100+(Inputs!$B$24+((C1417=TRUE)*(F1417-Calc!F24)))/100)/2</f>
        <v/>
      </c>
      <c r="M1403">
        <f>L1403*(1+(Inputs!$B$11+0+B1427)/100)</f>
        <v/>
      </c>
      <c r="N1403">
        <f>L1403*(1-MIN((Inputs!$B$10+0+B1422),100)/100)+M1403*(MIN((Inputs!$B$10+0+B1422),100)/100)</f>
        <v/>
      </c>
      <c r="O1403">
        <f>(1-Summary!$B$55)*T1403+Summary!$B$55*V1403</f>
        <v/>
      </c>
      <c r="P1403">
        <f>IF(B1432=0,0,O1403/B1432)</f>
        <v/>
      </c>
      <c r="Q1403">
        <f>IFERROR(1/IF(Inputs!$B$39="pvp",15,MAX(0.1,Skills!D10-IF(Skills!E10=TRUE,2.5,0))),0)</f>
        <v/>
      </c>
      <c r="R1403">
        <f>IF(AND(Inputs!$B$39&lt;&gt;"pvp",Inputs!$B$44&gt;0),IF(MAX(0,Inputs!$B$44-B1429)&lt;=0,0,(INT(MAX(0,Inputs!$B$44-B1429)/IF(Inputs!$B$39="pvp",15,MAX(0.1,Skills!D10-IF(Skills!E10=TRUE,2.5,0))))+1)),0)</f>
        <v/>
      </c>
      <c r="S1403">
        <f>IFERROR(O1403/N1403,0)</f>
        <v/>
      </c>
      <c r="T1403">
        <f>IF(C1403,(H1403*N1403*IF(AND(Inputs!$B$39&lt;&gt;"pvp",Inputs!$B$44&gt;0),((Skills!G10*((R1403-1)*IF(Skills!H10&gt;0,Skills!I10/Skills!H10,1)+IF(Skills!H10&gt;0,MIN(Skills!I10,MAX(0,MAX(0,Inputs!$B$44-B1429)-((R1403-1)*IF(Inputs!$B$39="pvp",15,MAX(0.1,Skills!D10-IF(Skills!E10=TRUE,2.5,0))))))/Skills!H10,1)))/Inputs!$B$44),G1403*Q1403))*IF(Inputs!$B$39="pvp",1,1+(Inputs!$B$21+0+Skills!P10+((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0)</f>
        <v/>
      </c>
      <c r="V1403">
        <f>IF(C1403,(H1403*N1403*IF(AND(Inputs!$B$39&lt;&gt;"pvp",Inputs!$B$44&gt;0),((Skills!G10*((R1403-1)*IF(Skills!H10&gt;0,Skills!I10/Skills!H10,1)+IF(Skills!H10&gt;0,MIN(Skills!I10,MAX(0,MAX(0,Inputs!$B$44-B1429)-((R1403-1)*IF(Inputs!$B$39="pvp",15,MAX(0.1,Skills!D10-IF(Skills!E10=TRUE,2.5,0))))))/Skills!H10,1)))/Inputs!$B$44),G1403*Q1403))*IF(Inputs!$B$39="pvp",1,(1+(Inputs!$B$22+Skills!Q10+((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MIN(Skills!R10,Inputs!$B$38))),0)</f>
        <v/>
      </c>
    </row>
    <row r="1404">
      <c r="A1404">
        <f>Skills!A11</f>
        <v/>
      </c>
      <c r="B1404">
        <f>Skills!B11</f>
        <v/>
      </c>
      <c r="C1404">
        <f>Inputs!$B$3&gt;=100</f>
        <v/>
      </c>
      <c r="D1404">
        <f>IF(Skills!C11=1,60+Inputs!$B$26+Inputs!$B$30,IF(Skills!C11=2,90+Inputs!$B$27+Inputs!$B$30,IF(Skills!C11=3,120+Inputs!$B$28+Inputs!$B$30,MAX(0,(Inputs!$B$3-100)*3)+Inputs!$B$29+Inputs!$B$30)))</f>
        <v/>
      </c>
      <c r="E1404">
        <f>INDEX(FactorTable!$B$2:$Y$301, MATCH(ROUND(MIN(300,MAX(1,D1404)),0), FactorTable!$A$2:$A$301,0), Skills!M11+1)</f>
        <v/>
      </c>
      <c r="F1404">
        <f>IF(Skills!N11=TRUE,(Skills!L11/10)*(E1404/1000),Skills!L11/10)+Skills!O11</f>
        <v/>
      </c>
      <c r="G1404" t="inlineStr"/>
      <c r="H1404" t="inlineStr"/>
      <c r="I1404" t="inlineStr">
        <is>
          <t>1</t>
        </is>
      </c>
      <c r="J1404" t="inlineStr"/>
      <c r="K1404" t="inlineStr"/>
      <c r="L1404" t="inlineStr"/>
      <c r="M1404" t="inlineStr"/>
      <c r="N1404" t="inlineStr"/>
      <c r="O1404" t="inlineStr"/>
      <c r="P1404" t="inlineStr"/>
      <c r="Q1404" t="inlineStr"/>
      <c r="R1404" t="inlineStr"/>
      <c r="S1404" t="inlineStr"/>
    </row>
    <row r="1405">
      <c r="A1405">
        <f>Skills!A12</f>
        <v/>
      </c>
      <c r="B1405">
        <f>Skills!B12</f>
        <v/>
      </c>
      <c r="C1405">
        <f>Inputs!$B$3&gt;=63</f>
        <v/>
      </c>
      <c r="D1405">
        <f>IF(Skills!C12=1,60+Inputs!$B$26+Inputs!$B$30,IF(Skills!C12=2,90+Inputs!$B$27+Inputs!$B$30,IF(Skills!C12=3,120+Inputs!$B$28+Inputs!$B$30,MAX(0,(Inputs!$B$3-100)*3)+Inputs!$B$29+Inputs!$B$30)))</f>
        <v/>
      </c>
      <c r="E1405">
        <f>INDEX(FactorTable!$B$2:$Y$301, MATCH(ROUND(MIN(300,MAX(1,D1405)),0), FactorTable!$A$2:$A$301,0), Skills!M12+1)</f>
        <v/>
      </c>
      <c r="F1405">
        <f>IF(Skills!N12=TRUE,(Skills!L12/10)*(E1405/1000),Skills!L12/10)+Skills!O12</f>
        <v/>
      </c>
      <c r="G1405">
        <f>Skills!G12*IF(Skills!H12&gt;0,Skills!I12/Skills!H12,1)</f>
        <v/>
      </c>
      <c r="H1405">
        <f>1-(1-Skills!J12/100)^Skills!K12</f>
        <v/>
      </c>
      <c r="I1405" t="inlineStr">
        <is>
          <t>1</t>
        </is>
      </c>
      <c r="J1405">
        <f>((Inputs!$B$6*(1+Inputs!$B$7/100))+(((Inputs!$B$13*(1+Inputs!$B$14/100))-(Inputs!$B$13*(1+Inputs!$B$14/100)))+0.25*(Inputs!$B$15-Inputs!$B$15))*(1+Inputs!$B$7/100))*(F1405/100)</f>
        <v/>
      </c>
      <c r="K1405">
        <f>J1405*(1+(((Inputs!$B$13+IF(Inputs!$B$3&gt;=38,(10*INDEX(FactorTable!$B$2:$Y$301, MATCH(ROUND(MIN(300,MAX(1,Inputs!$B$3)),0), FactorTable!$A$2:$A$301,0), 23)/1000)/100*(Inputs!$B$8*(1+Inputs!$B$9/100)),0))*(1+Inputs!$B$14/100))*0.01+Inputs!$B$15*0.0025)/100)*(1+Inputs!$B$16/100)*(1+Inputs!$B$17/100)*(5000/(6000+Inputs!$B$43*(1-(Inputs!$B$20+0)/100)))*(1+(Inputs!$B$25+((C1418=TRUE)*(F1418-Calc!F25))+((C1419=TRUE)*(F1419-Calc!F26))+B1428)/100)*(1+0.75*IF(C1404=TRUE,F1404,0)/100)*(1+(IF(Skills!A12="DARK_IMPALE",Inputs!$B$18+0,Inputs!$B$19+((C1416=TRUE)*(F1416-Calc!F23))))/100)*((1+(((C1406=TRUE)*F1406*IF(AND(Inputs!$B$39&lt;&gt;"pvp",Inputs!$B$44&gt;0),(((R1406-1)*(Skills!T13*(1+Inputs!$B$35/100))+MIN((Skills!T13*(1+Inputs!$B$35/100)),MAX(0,Inputs!$B$44-((R1406-1)*Skills!D13))))/Inputs!$B$44),IF(Inputs!$B$39="pvp",MIN((Skills!T13*(1+Inputs!$B$35/100)),15)/15,(Skills!T13*(1+Inputs!$B$35/100))/Skills!D13)))+((C1407=TRUE)*F1407*IF(AND(Inputs!$B$39&lt;&gt;"pvp",Inputs!$B$44&gt;0),(((R1407-1)*(Skills!T14*(1+Inputs!$B$35/100))+MIN((Skills!T14*(1+Inputs!$B$35/100)),MAX(0,Inputs!$B$44-((R1407-1)*Skills!D14))))/Inputs!$B$44),IF(Inputs!$B$39="pvp",MIN((Skills!T14*(1+Inputs!$B$35/100)),15)/15,(Skills!T14*(1+Inputs!$B$35/100))/Skills!D14)))+((C1408=TRUE)*F1408*IF(AND(Inputs!$B$39&lt;&gt;"pvp",Inputs!$B$44&gt;0),(((R1408-1)*(Skills!T15*(1+Inputs!$B$35/100))+MIN((Skills!T15*(1+Inputs!$B$35/100)),MAX(0,Inputs!$B$44-((R1408-1)*Skills!D15))))/Inputs!$B$44),IF(Inputs!$B$39="pvp",MIN((Skills!T15*(1+Inputs!$B$35/100)),15)/15,(Skills!T15*(1+Inputs!$B$35/100))/Skills!D15)))+((C1409=TRUE)*F1409*IF(AND(Inputs!$B$39&lt;&gt;"pvp",Inputs!$B$44&gt;0),(((R1409-1)*(Skills!T16*(1+Inputs!$B$35/100))+MIN((Skills!T16*(1+Inputs!$B$35/100)),MAX(0,Inputs!$B$44-((R1409-1)*Skills!D16))))/Inputs!$B$44),IF(Inputs!$B$39="pvp",MIN((Skills!T16*(1+Inputs!$B$35/100)),15)/15,(Skills!T16*(1+Inputs!$B$35/100))/Skills!D16)))+0)/100)*I1405)</f>
        <v/>
      </c>
      <c r="L1405">
        <f>K1405*(MIN(Inputs!$B$23+((C1415=TRUE)*(F1415-Calc!F22)),Inputs!$B$24+((C1417=TRUE)*(F1417-Calc!F24)))/100+(Inputs!$B$24+((C1417=TRUE)*(F1417-Calc!F24)))/100)/2</f>
        <v/>
      </c>
      <c r="M1405">
        <f>L1405*(1+(Inputs!$B$11+0+B1427)/100)</f>
        <v/>
      </c>
      <c r="N1405">
        <f>L1405*(1-MIN((Inputs!$B$10+0+B1422),100)/100)+M1405*(MIN((Inputs!$B$10+0+B1422),100)/100)</f>
        <v/>
      </c>
      <c r="O1405">
        <f>(1-Summary!$B$55)*T1405+Summary!$B$55*V1405</f>
        <v/>
      </c>
      <c r="P1405">
        <f>IF(B1432=0,0,O1405/B1432)</f>
        <v/>
      </c>
      <c r="Q1405">
        <f>IFERROR(1/IF(Inputs!$B$39="pvp",15,MAX(0.1,Skills!D12-IF(Skills!E12=TRUE,2.5,0))),0)</f>
        <v/>
      </c>
      <c r="R1405">
        <f>IF(AND(Inputs!$B$39&lt;&gt;"pvp",Inputs!$B$44&gt;0),IF(MAX(0,Inputs!$B$44-B1429)&lt;=0,0,(INT(MAX(0,Inputs!$B$44-B1429)/IF(Inputs!$B$39="pvp",15,MAX(0.1,Skills!D12-IF(Skills!E12=TRUE,2.5,0))))+1)),0)</f>
        <v/>
      </c>
      <c r="S1405">
        <f>IFERROR(O1405/N1405,0)</f>
        <v/>
      </c>
      <c r="T1405">
        <f>IF(C1405,(H1405*N1405*IF(AND(Inputs!$B$39&lt;&gt;"pvp",Inputs!$B$44&gt;0),((Skills!G12*((R1405-1)*IF(Skills!H12&gt;0,Skills!I12/Skills!H12,1)+IF(Skills!H12&gt;0,MIN(Skills!I12,MAX(0,MAX(0,Inputs!$B$44-B1429)-((R1405-1)*IF(Inputs!$B$39="pvp",15,MAX(0.1,Skills!D12-IF(Skills!E12=TRUE,2.5,0))))))/Skills!H12,1)))/Inputs!$B$44),G1405*Q1405))*IF(Inputs!$B$39="pvp",1,1+(Inputs!$B$21+0+Skills!P12+((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0)</f>
        <v/>
      </c>
      <c r="V1405">
        <f>IF(C1405,(H1405*N1405*IF(AND(Inputs!$B$39&lt;&gt;"pvp",Inputs!$B$44&gt;0),((Skills!G12*((R1405-1)*IF(Skills!H12&gt;0,Skills!I12/Skills!H12,1)+IF(Skills!H12&gt;0,MIN(Skills!I12,MAX(0,MAX(0,Inputs!$B$44-B1429)-((R1405-1)*IF(Inputs!$B$39="pvp",15,MAX(0.1,Skills!D12-IF(Skills!E12=TRUE,2.5,0))))))/Skills!H12,1)))/Inputs!$B$44),G1405*Q1405))*IF(Inputs!$B$39="pvp",1,(1+(Inputs!$B$22+Skills!Q12+((C1410=TRUE)*F1410*IF(AND(Inputs!$B$39&lt;&gt;"pvp",Inputs!$B$44&gt;0),(((R1410-1)*(Skills!T17*(1+Inputs!$B$35/100))+MIN((Skills!T17*(1+Inputs!$B$35/100)),MAX(0,Inputs!$B$44-((R1410-1)*Skills!D17))))/Inputs!$B$44),IF(Inputs!$B$39="pvp",MIN((Skills!T17*(1+Inputs!$B$35/100)),15)/15,(Skills!T17*(1+Inputs!$B$35/100))/Skills!D17)))+((C1407=TRUE)*IF(Inputs!$B$39="pvp",20,(1-Summary!$B$55)*(20)+Summary!$B$55*(0))*IF(AND(Inputs!$B$39&lt;&gt;"pvp",Inputs!$B$44&gt;0),(((R1407-1)*(Skills!T14*(1+Inputs!$B$35/100))+MIN((Skills!T14*(1+Inputs!$B$35/100)),MAX(0,Inputs!$B$44-((R1407-1)*Skills!D14))))/Inputs!$B$44),IF(Inputs!$B$39="pvp",MIN((Skills!T14*(1+Inputs!$B$35/100)),15)/15,(Skills!T14*(1+Inputs!$B$35/100))/Skills!D14))))/100)*(MIN(Skills!R12,Inputs!$B$38))),0)</f>
        <v/>
      </c>
    </row>
    <row r="1406">
      <c r="A1406">
        <f>Skills!A13</f>
        <v/>
      </c>
      <c r="B1406">
        <f>Skills!B13</f>
        <v/>
      </c>
      <c r="C1406">
        <f>Inputs!$B$3&gt;=69</f>
        <v/>
      </c>
      <c r="D1406">
        <f>IF(Skills!C13=1,60+Inputs!$B$26+Inputs!$B$30,IF(Skills!C13=2,90+Inputs!$B$27+Inputs!$B$30,IF(Skills!C13=3,120+Inputs!$B$28+Inputs!$B$30,MAX(0,(Inputs!$B$3-100)*3)+Inputs!$B$29+Inputs!$B$30)))</f>
        <v/>
      </c>
      <c r="E1406">
        <f>INDEX(FactorTable!$B$2:$Y$301, MATCH(ROUND(MIN(300,MAX(1,D1406)),0), FactorTable!$A$2:$A$301,0), Skills!M13+1)</f>
        <v/>
      </c>
      <c r="F1406">
        <f>IF(Skills!N13=TRUE,(Skills!L13/10)*(E1406/1000),Skills!L13/10)+Skills!O13</f>
        <v/>
      </c>
      <c r="G1406">
        <f>Skills!G13*IF(Skills!H13&gt;0,Skills!I13/Skills!H13,1)</f>
        <v/>
      </c>
      <c r="H1406">
        <f>1-(1-Skills!J13/100)^Skills!K13</f>
        <v/>
      </c>
      <c r="I1406" t="inlineStr">
        <is>
          <t>1</t>
        </is>
      </c>
      <c r="J1406" t="inlineStr"/>
      <c r="K1406" t="inlineStr"/>
      <c r="L1406" t="inlineStr"/>
      <c r="M1406" t="inlineStr"/>
      <c r="N1406" t="inlineStr"/>
      <c r="O1406">
        <f>(1-Summary!$B$55)*T1406+Summary!$B$55*V1406</f>
        <v/>
      </c>
      <c r="P1406">
        <f>IF(B1432=0,0,O1406/B1432)</f>
        <v/>
      </c>
      <c r="Q1406">
        <f>IFERROR(1/IF(Inputs!$B$39="pvp",15,MAX(0.1,Skills!D13-IF(Skills!E13=TRUE,2.5,0))),0)</f>
        <v/>
      </c>
      <c r="R1406">
        <f>IF(AND(Inputs!$B$39&lt;&gt;"pvp",Inputs!$B$44&gt;0),IF(Inputs!$B$44&lt;=0,0,(INT(Inputs!$B$44/IF(Inputs!$B$39="pvp",15,MAX(0.1,Skills!D13-IF(Skills!E13=TRUE,2.5,0))))+1)),0)</f>
        <v/>
      </c>
      <c r="S1406">
        <f>IFERROR(O1406/N1406,0)</f>
        <v/>
      </c>
      <c r="T1406" t="n">
        <v>0</v>
      </c>
      <c r="V1406" t="n">
        <v>0</v>
      </c>
    </row>
    <row r="1407">
      <c r="A1407">
        <f>Skills!A14</f>
        <v/>
      </c>
      <c r="B1407">
        <f>Skills!B14</f>
        <v/>
      </c>
      <c r="C1407">
        <f>Inputs!$B$3&gt;=115</f>
        <v/>
      </c>
      <c r="D1407">
        <f>IF(Skills!C14=1,60+Inputs!$B$26+Inputs!$B$30,IF(Skills!C14=2,90+Inputs!$B$27+Inputs!$B$30,IF(Skills!C14=3,120+Inputs!$B$28+Inputs!$B$30,MAX(0,(Inputs!$B$3-100)*3)+Inputs!$B$29+Inputs!$B$30)))</f>
        <v/>
      </c>
      <c r="E1407">
        <f>INDEX(FactorTable!$B$2:$Y$301, MATCH(ROUND(MIN(300,MAX(1,D1407)),0), FactorTable!$A$2:$A$301,0), Skills!M14+1)</f>
        <v/>
      </c>
      <c r="F1407">
        <f>IF(Skills!N14=TRUE,(Skills!L14/10)*(E1407/1000),Skills!L14/10)+Skills!O14</f>
        <v/>
      </c>
      <c r="G1407">
        <f>Skills!G14*IF(Skills!H14&gt;0,Skills!I14/Skills!H14,1)</f>
        <v/>
      </c>
      <c r="H1407">
        <f>1-(1-Skills!J14/100)^Skills!K14</f>
        <v/>
      </c>
      <c r="I1407" t="inlineStr">
        <is>
          <t>1</t>
        </is>
      </c>
      <c r="J1407" t="inlineStr"/>
      <c r="K1407" t="inlineStr"/>
      <c r="L1407" t="inlineStr"/>
      <c r="M1407" t="inlineStr"/>
      <c r="N1407" t="inlineStr"/>
      <c r="O1407">
        <f>(1-Summary!$B$55)*T1407+Summary!$B$55*V1407</f>
        <v/>
      </c>
      <c r="P1407">
        <f>IF(B1432=0,0,O1407/B1432)</f>
        <v/>
      </c>
      <c r="Q1407">
        <f>IFERROR(1/IF(Inputs!$B$39="pvp",15,MAX(0.1,Skills!D14-IF(Skills!E14=TRUE,2.5,0))),0)</f>
        <v/>
      </c>
      <c r="R1407">
        <f>IF(AND(Inputs!$B$39&lt;&gt;"pvp",Inputs!$B$44&gt;0),IF(Inputs!$B$44&lt;=0,0,(INT(Inputs!$B$44/IF(Inputs!$B$39="pvp",15,MAX(0.1,Skills!D14-IF(Skills!E14=TRUE,2.5,0))))+1)),0)</f>
        <v/>
      </c>
      <c r="S1407">
        <f>IFERROR(O1407/N1407,0)</f>
        <v/>
      </c>
      <c r="T1407" t="n">
        <v>0</v>
      </c>
      <c r="V1407" t="n">
        <v>0</v>
      </c>
    </row>
    <row r="1408">
      <c r="A1408">
        <f>Skills!A15</f>
        <v/>
      </c>
      <c r="B1408">
        <f>Skills!B15</f>
        <v/>
      </c>
      <c r="C1408">
        <f>Inputs!$B$3&gt;=66</f>
        <v/>
      </c>
      <c r="D1408">
        <f>IF(Skills!C15=1,60+Inputs!$B$26+Inputs!$B$30,IF(Skills!C15=2,90+Inputs!$B$27+Inputs!$B$30,IF(Skills!C15=3,120+Inputs!$B$28+Inputs!$B$30,MAX(0,(Inputs!$B$3-100)*3)+Inputs!$B$29+Inputs!$B$30)))</f>
        <v/>
      </c>
      <c r="E1408">
        <f>INDEX(FactorTable!$B$2:$Y$301, MATCH(ROUND(MIN(300,MAX(1,D1408)),0), FactorTable!$A$2:$A$301,0), Skills!M15+1)</f>
        <v/>
      </c>
      <c r="F1408">
        <f>IF(Skills!N15=TRUE,(Skills!L15/10)*(E1408/1000),Skills!L15/10)+Skills!O15</f>
        <v/>
      </c>
      <c r="G1408">
        <f>Skills!G15*IF(Skills!H15&gt;0,Skills!I15/Skills!H15,1)</f>
        <v/>
      </c>
      <c r="H1408">
        <f>1-(1-Skills!J15/100)^Skills!K15</f>
        <v/>
      </c>
      <c r="I1408" t="inlineStr">
        <is>
          <t>1</t>
        </is>
      </c>
      <c r="J1408" t="inlineStr"/>
      <c r="K1408" t="inlineStr"/>
      <c r="L1408" t="inlineStr"/>
      <c r="M1408" t="inlineStr"/>
      <c r="N1408" t="inlineStr"/>
      <c r="O1408">
        <f>(1-Summary!$B$55)*T1408+Summary!$B$55*V1408</f>
        <v/>
      </c>
      <c r="P1408">
        <f>IF(B1432=0,0,O1408/B1432)</f>
        <v/>
      </c>
      <c r="Q1408">
        <f>IFERROR(1/IF(Inputs!$B$39="pvp",15,MAX(0.1,Skills!D15-IF(Skills!E15=TRUE,2.5,0))),0)</f>
        <v/>
      </c>
      <c r="R1408">
        <f>IF(AND(Inputs!$B$39&lt;&gt;"pvp",Inputs!$B$44&gt;0),IF(Inputs!$B$44&lt;=0,0,(INT(Inputs!$B$44/IF(Inputs!$B$39="pvp",15,MAX(0.1,Skills!D15-IF(Skills!E15=TRUE,2.5,0))))+1)),0)</f>
        <v/>
      </c>
      <c r="S1408">
        <f>IFERROR(O1408/N1408,0)</f>
        <v/>
      </c>
      <c r="T1408" t="n">
        <v>0</v>
      </c>
      <c r="V1408" t="n">
        <v>0</v>
      </c>
    </row>
    <row r="1409">
      <c r="A1409">
        <f>Skills!A16</f>
        <v/>
      </c>
      <c r="B1409">
        <f>Skills!B16</f>
        <v/>
      </c>
      <c r="C1409">
        <f>Inputs!$B$3&gt;=45</f>
        <v/>
      </c>
      <c r="D1409">
        <f>IF(Skills!C16=1,60+Inputs!$B$26+Inputs!$B$30,IF(Skills!C16=2,90+Inputs!$B$27+Inputs!$B$30,IF(Skills!C16=3,120+Inputs!$B$28+Inputs!$B$30,MAX(0,(Inputs!$B$3-100)*3)+Inputs!$B$29+Inputs!$B$30)))</f>
        <v/>
      </c>
      <c r="E1409">
        <f>INDEX(FactorTable!$B$2:$Y$301, MATCH(ROUND(MIN(300,MAX(1,D1409)),0), FactorTable!$A$2:$A$301,0), Skills!M16+1)</f>
        <v/>
      </c>
      <c r="F1409">
        <f>IF(Skills!N16=TRUE,(Skills!L16/10)*(E1409/1000),Skills!L16/10)+Skills!O16</f>
        <v/>
      </c>
      <c r="G1409">
        <f>Skills!G16*IF(Skills!H16&gt;0,Skills!I16/Skills!H16,1)</f>
        <v/>
      </c>
      <c r="H1409">
        <f>1-(1-Skills!J16/100)^Skills!K16</f>
        <v/>
      </c>
      <c r="I1409" t="inlineStr">
        <is>
          <t>1</t>
        </is>
      </c>
      <c r="J1409" t="inlineStr"/>
      <c r="K1409" t="inlineStr"/>
      <c r="L1409" t="inlineStr"/>
      <c r="M1409" t="inlineStr"/>
      <c r="N1409" t="inlineStr"/>
      <c r="O1409">
        <f>(1-Summary!$B$55)*T1409+Summary!$B$55*V1409</f>
        <v/>
      </c>
      <c r="P1409">
        <f>IF(B1432=0,0,O1409/B1432)</f>
        <v/>
      </c>
      <c r="Q1409">
        <f>IFERROR(1/IF(Inputs!$B$39="pvp",15,MAX(0.1,Skills!D16-IF(Skills!E16=TRUE,2.5,0))),0)</f>
        <v/>
      </c>
      <c r="R1409">
        <f>IF(AND(Inputs!$B$39&lt;&gt;"pvp",Inputs!$B$44&gt;0),IF(Inputs!$B$44&lt;=0,0,(INT(Inputs!$B$44/IF(Inputs!$B$39="pvp",15,MAX(0.1,Skills!D16-IF(Skills!E16=TRUE,2.5,0))))+1)),0)</f>
        <v/>
      </c>
      <c r="S1409">
        <f>IFERROR(O1409/N1409,0)</f>
        <v/>
      </c>
      <c r="T1409" t="n">
        <v>0</v>
      </c>
      <c r="V1409" t="n">
        <v>0</v>
      </c>
    </row>
    <row r="1410">
      <c r="A1410">
        <f>Skills!A17</f>
        <v/>
      </c>
      <c r="B1410">
        <f>Skills!B17</f>
        <v/>
      </c>
      <c r="C1410">
        <f>Inputs!$B$3&gt;=35</f>
        <v/>
      </c>
      <c r="D1410">
        <f>IF(Skills!C17=1,60+Inputs!$B$26+Inputs!$B$30,IF(Skills!C17=2,90+Inputs!$B$27+Inputs!$B$30,IF(Skills!C17=3,120+Inputs!$B$28+Inputs!$B$30,MAX(0,(Inputs!$B$3-100)*3)+Inputs!$B$29+Inputs!$B$30)))</f>
        <v/>
      </c>
      <c r="E1410">
        <f>INDEX(FactorTable!$B$2:$Y$301, MATCH(ROUND(MIN(300,MAX(1,D1410)),0), FactorTable!$A$2:$A$301,0), Skills!M17+1)</f>
        <v/>
      </c>
      <c r="F1410">
        <f>IF(Skills!N17=TRUE,(Skills!L17/10)*(E1410/1000),Skills!L17/10)+Skills!O17</f>
        <v/>
      </c>
      <c r="G1410">
        <f>Skills!G17*IF(Skills!H17&gt;0,Skills!I17/Skills!H17,1)</f>
        <v/>
      </c>
      <c r="H1410">
        <f>1-(1-Skills!J17/100)^Skills!K17</f>
        <v/>
      </c>
      <c r="I1410" t="inlineStr">
        <is>
          <t>1</t>
        </is>
      </c>
      <c r="J1410" t="inlineStr"/>
      <c r="K1410" t="inlineStr"/>
      <c r="L1410" t="inlineStr"/>
      <c r="M1410" t="inlineStr"/>
      <c r="N1410" t="inlineStr"/>
      <c r="O1410">
        <f>(1-Summary!$B$55)*T1410+Summary!$B$55*V1410</f>
        <v/>
      </c>
      <c r="P1410">
        <f>IF(B1432=0,0,O1410/B1432)</f>
        <v/>
      </c>
      <c r="Q1410">
        <f>IFERROR(1/IF(Inputs!$B$39="pvp",15,MAX(0.1,Skills!D17-IF(Skills!E17=TRUE,2.5,0))),0)</f>
        <v/>
      </c>
      <c r="R1410">
        <f>IF(AND(Inputs!$B$39&lt;&gt;"pvp",Inputs!$B$44&gt;0),IF(Inputs!$B$44&lt;=0,0,(INT(Inputs!$B$44/IF(Inputs!$B$39="pvp",15,MAX(0.1,Skills!D17-IF(Skills!E17=TRUE,2.5,0))))+1)),0)</f>
        <v/>
      </c>
      <c r="S1410">
        <f>IFERROR(O1410/N1410,0)</f>
        <v/>
      </c>
      <c r="T1410" t="n">
        <v>0</v>
      </c>
      <c r="V1410" t="n">
        <v>0</v>
      </c>
    </row>
    <row r="1411">
      <c r="A1411">
        <f>Skills!A18</f>
        <v/>
      </c>
      <c r="B1411">
        <f>Skills!B18</f>
        <v/>
      </c>
      <c r="C1411">
        <f>Inputs!$B$3&gt;=72</f>
        <v/>
      </c>
      <c r="D1411">
        <f>IF(Skills!C18=1,60+Inputs!$B$26+Inputs!$B$30,IF(Skills!C18=2,90+Inputs!$B$27+Inputs!$B$30,IF(Skills!C18=3,120+Inputs!$B$28+Inputs!$B$30,MAX(0,(Inputs!$B$3-100)*3)+Inputs!$B$29+Inputs!$B$30)))</f>
        <v/>
      </c>
      <c r="E1411">
        <f>INDEX(FactorTable!$B$2:$Y$301, MATCH(ROUND(MIN(300,MAX(1,D1411)),0), FactorTable!$A$2:$A$301,0), Skills!M18+1)</f>
        <v/>
      </c>
      <c r="F1411">
        <f>IF(Skills!N18=TRUE,(Skills!L18/10)*(E1411/1000),Skills!L18/10)+Skills!O18</f>
        <v/>
      </c>
      <c r="G1411">
        <f>Skills!G18*IF(Skills!H18&gt;0,Skills!I18/Skills!H18,1)</f>
        <v/>
      </c>
      <c r="H1411">
        <f>1-(1-Skills!J18/100)^Skills!K18</f>
        <v/>
      </c>
      <c r="I1411" t="inlineStr">
        <is>
          <t>1</t>
        </is>
      </c>
      <c r="J1411" t="inlineStr"/>
      <c r="K1411" t="inlineStr"/>
      <c r="L1411" t="inlineStr"/>
      <c r="M1411" t="inlineStr"/>
      <c r="N1411" t="inlineStr"/>
      <c r="O1411">
        <f>(1-Summary!$B$55)*T1411+Summary!$B$55*V1411</f>
        <v/>
      </c>
      <c r="P1411">
        <f>IF(B1432=0,0,O1411/B1432)</f>
        <v/>
      </c>
      <c r="Q1411">
        <f>IFERROR(1/IF(Inputs!$B$39="pvp",15,MAX(0.1,Skills!D18-IF(Skills!E18=TRUE,2.5,0))),0)</f>
        <v/>
      </c>
      <c r="R1411">
        <f>IF(AND(Inputs!$B$39&lt;&gt;"pvp",Inputs!$B$44&gt;0),IF(Inputs!$B$44&lt;=0,0,(INT(Inputs!$B$44/IF(Inputs!$B$39="pvp",15,MAX(0.1,Skills!D18-IF(Skills!E18=TRUE,2.5,0))))+1)),0)</f>
        <v/>
      </c>
      <c r="S1411">
        <f>IFERROR(O1411/N1411,0)</f>
        <v/>
      </c>
      <c r="T1411" t="n">
        <v>0</v>
      </c>
      <c r="V1411" t="n">
        <v>0</v>
      </c>
    </row>
    <row r="1412">
      <c r="A1412">
        <f>Skills!A19</f>
        <v/>
      </c>
      <c r="B1412">
        <f>Skills!B19</f>
        <v/>
      </c>
      <c r="C1412">
        <f>Inputs!$B$3&gt;=72</f>
        <v/>
      </c>
      <c r="D1412">
        <f>IF(Skills!C19=1,60+Inputs!$B$26+Inputs!$B$30,IF(Skills!C19=2,90+Inputs!$B$27+Inputs!$B$30,IF(Skills!C19=3,120+Inputs!$B$28+Inputs!$B$30,MAX(0,(Inputs!$B$3-100)*3)+Inputs!$B$29+Inputs!$B$30)))</f>
        <v/>
      </c>
      <c r="E1412">
        <f>INDEX(FactorTable!$B$2:$Y$301, MATCH(ROUND(MIN(300,MAX(1,D1412)),0), FactorTable!$A$2:$A$301,0), Skills!M19+1)</f>
        <v/>
      </c>
      <c r="F1412">
        <f>IF(Skills!N19=TRUE,(Skills!L19/10)*(E1412/1000),Skills!L19/10)+Skills!O19</f>
        <v/>
      </c>
      <c r="G1412">
        <f>Skills!G19*IF(Skills!H19&gt;0,Skills!I19/Skills!H19,1)</f>
        <v/>
      </c>
      <c r="H1412">
        <f>1-(1-Skills!J19/100)^Skills!K19</f>
        <v/>
      </c>
      <c r="I1412" t="inlineStr">
        <is>
          <t>1</t>
        </is>
      </c>
      <c r="J1412" t="inlineStr"/>
      <c r="K1412" t="inlineStr"/>
      <c r="L1412" t="inlineStr"/>
      <c r="M1412" t="inlineStr"/>
      <c r="N1412" t="inlineStr"/>
      <c r="O1412">
        <f>(1-Summary!$B$55)*T1412+Summary!$B$55*V1412</f>
        <v/>
      </c>
      <c r="P1412">
        <f>IF(B1432=0,0,O1412/B1432)</f>
        <v/>
      </c>
      <c r="Q1412">
        <f>IFERROR(1/IF(Inputs!$B$39="pvp",15,MAX(0.1,Skills!D19-IF(Skills!E19=TRUE,2.5,0))),0)</f>
        <v/>
      </c>
      <c r="R1412">
        <f>IF(AND(Inputs!$B$39&lt;&gt;"pvp",Inputs!$B$44&gt;0),IF(Inputs!$B$44&lt;=0,0,(INT(Inputs!$B$44/IF(Inputs!$B$39="pvp",15,MAX(0.1,Skills!D19-IF(Skills!E19=TRUE,2.5,0))))+1)),0)</f>
        <v/>
      </c>
      <c r="S1412">
        <f>IFERROR(O1412/N1412,0)</f>
        <v/>
      </c>
      <c r="T1412" t="n">
        <v>0</v>
      </c>
      <c r="V1412" t="n">
        <v>0</v>
      </c>
    </row>
    <row r="1413">
      <c r="A1413">
        <f>Skills!A20</f>
        <v/>
      </c>
      <c r="B1413">
        <f>Skills!B20</f>
        <v/>
      </c>
      <c r="C1413">
        <f>TRUE</f>
        <v/>
      </c>
      <c r="D1413">
        <f>IF(Skills!C20=1,60+Inputs!$B$26+Inputs!$B$30,IF(Skills!C20=2,90+Inputs!$B$27+Inputs!$B$30,IF(Skills!C20=3,120+Inputs!$B$28+Inputs!$B$30,MAX(0,(Inputs!$B$3-100)*3)+Inputs!$B$29+Inputs!$B$30)))</f>
        <v/>
      </c>
      <c r="E1413">
        <f>INDEX(FactorTable!$B$2:$Y$301, MATCH(ROUND(MIN(300,MAX(1,D1413)),0), FactorTable!$A$2:$A$301,0), Skills!M20+1)</f>
        <v/>
      </c>
      <c r="F1413">
        <f>IF(Skills!N20=TRUE,(Skills!L20/10)*(E1413/1000),Skills!L20/10)+Skills!O20</f>
        <v/>
      </c>
      <c r="G1413">
        <f>Skills!G20*IF(Skills!H20&gt;0,Skills!I20/Skills!H20,1)</f>
        <v/>
      </c>
      <c r="H1413">
        <f>1-(1-Skills!J20/100)^Skills!K20</f>
        <v/>
      </c>
      <c r="I1413" t="inlineStr">
        <is>
          <t>1</t>
        </is>
      </c>
      <c r="J1413" t="inlineStr"/>
      <c r="K1413" t="inlineStr"/>
      <c r="L1413" t="inlineStr"/>
      <c r="M1413" t="inlineStr"/>
      <c r="N1413" t="inlineStr"/>
      <c r="O1413">
        <f>(1-Summary!$B$55)*T1413+Summary!$B$55*V1413</f>
        <v/>
      </c>
      <c r="P1413">
        <f>IF(B1432=0,0,O1413/B1432)</f>
        <v/>
      </c>
      <c r="Q1413">
        <f>IFERROR(1/IF(Inputs!$B$39="pvp",15,MAX(0.1,Skills!D20-IF(Skills!E20=TRUE,2.5,0))),0)</f>
        <v/>
      </c>
      <c r="R1413">
        <f>IF(AND(Inputs!$B$39&lt;&gt;"pvp",Inputs!$B$44&gt;0),IF(Inputs!$B$44&lt;=0,0,(INT(Inputs!$B$44/IF(Inputs!$B$39="pvp",15,MAX(0.1,Skills!D20-IF(Skills!E20=TRUE,2.5,0))))+1)),0)</f>
        <v/>
      </c>
      <c r="S1413">
        <f>IFERROR(O1413/N1413,0)</f>
        <v/>
      </c>
      <c r="T1413" t="n">
        <v>0</v>
      </c>
      <c r="V1413" t="n">
        <v>0</v>
      </c>
    </row>
    <row r="1414">
      <c r="A1414">
        <f>Skills!A21</f>
        <v/>
      </c>
      <c r="B1414">
        <f>Skills!B21</f>
        <v/>
      </c>
      <c r="C1414">
        <f>Inputs!$B$3&gt;=33</f>
        <v/>
      </c>
      <c r="D1414">
        <f>IF(Skills!C21=1,60+Inputs!$B$26+Inputs!$B$30,IF(Skills!C21=2,90+Inputs!$B$27+Inputs!$B$30,IF(Skills!C21=3,120+Inputs!$B$28+Inputs!$B$30,MAX(0,(Inputs!$B$3-100)*3)+Inputs!$B$29+Inputs!$B$30)))</f>
        <v/>
      </c>
      <c r="E1414">
        <f>INDEX(FactorTable!$B$2:$Y$301, MATCH(ROUND(MIN(300,MAX(1,D1414)),0), FactorTable!$A$2:$A$301,0), Skills!M21+1)</f>
        <v/>
      </c>
      <c r="F1414">
        <f>IF(Skills!N21=TRUE,(Skills!L21/10)*(E1414/1000),Skills!L21/10)+Skills!O21</f>
        <v/>
      </c>
      <c r="G1414">
        <f>Skills!G21*IF(Skills!H21&gt;0,Skills!I21/Skills!H21,1)</f>
        <v/>
      </c>
      <c r="H1414">
        <f>1-(1-Skills!J21/100)^Skills!K21</f>
        <v/>
      </c>
      <c r="I1414" t="inlineStr">
        <is>
          <t>1</t>
        </is>
      </c>
      <c r="J1414" t="inlineStr"/>
      <c r="K1414" t="inlineStr"/>
      <c r="L1414" t="inlineStr"/>
      <c r="M1414" t="inlineStr"/>
      <c r="N1414" t="inlineStr"/>
      <c r="O1414">
        <f>(1-Summary!$B$55)*T1414+Summary!$B$55*V1414</f>
        <v/>
      </c>
      <c r="P1414">
        <f>IF(B1432=0,0,O1414/B1432)</f>
        <v/>
      </c>
      <c r="Q1414" t="n">
        <v>0</v>
      </c>
      <c r="R1414" t="n">
        <v>0</v>
      </c>
      <c r="S1414">
        <f>IFERROR(O1414/N1414,0)</f>
        <v/>
      </c>
      <c r="T1414" t="n">
        <v>0</v>
      </c>
      <c r="V1414" t="n">
        <v>0</v>
      </c>
    </row>
    <row r="1415">
      <c r="A1415">
        <f>Skills!A22</f>
        <v/>
      </c>
      <c r="B1415">
        <f>Skills!B22</f>
        <v/>
      </c>
      <c r="C1415">
        <f>Inputs!$B$3&gt;=43</f>
        <v/>
      </c>
      <c r="D1415">
        <f>IF(Skills!C22=1,60+Inputs!$B$26+Inputs!$B$30,IF(Skills!C22=2,90+Inputs!$B$27+Inputs!$B$30,IF(Skills!C22=3,120+Inputs!$B$28+Inputs!$B$30,MAX(0,(Inputs!$B$3-100)*3)+Inputs!$B$29+Inputs!$B$30)))</f>
        <v/>
      </c>
      <c r="E1415">
        <f>INDEX(FactorTable!$B$2:$Y$301, MATCH(ROUND(MIN(300,MAX(1,D1415)),0), FactorTable!$A$2:$A$301,0), Skills!M22+1)</f>
        <v/>
      </c>
      <c r="F1415">
        <f>IF(Skills!N22=TRUE,(Skills!L22/10)*(E1415/1000),Skills!L22/10)+Skills!O22</f>
        <v/>
      </c>
      <c r="G1415">
        <f>Skills!G22*IF(Skills!H22&gt;0,Skills!I22/Skills!H22,1)</f>
        <v/>
      </c>
      <c r="H1415">
        <f>1-(1-Skills!J22/100)^Skills!K22</f>
        <v/>
      </c>
      <c r="I1415" t="inlineStr">
        <is>
          <t>1</t>
        </is>
      </c>
      <c r="J1415" t="inlineStr"/>
      <c r="K1415" t="inlineStr"/>
      <c r="L1415" t="inlineStr"/>
      <c r="M1415" t="inlineStr"/>
      <c r="N1415" t="inlineStr"/>
      <c r="O1415">
        <f>(1-Summary!$B$55)*T1415+Summary!$B$55*V1415</f>
        <v/>
      </c>
      <c r="P1415">
        <f>IF(B1432=0,0,O1415/B1432)</f>
        <v/>
      </c>
      <c r="Q1415" t="n">
        <v>0</v>
      </c>
      <c r="R1415" t="n">
        <v>0</v>
      </c>
      <c r="S1415">
        <f>IFERROR(O1415/N1415,0)</f>
        <v/>
      </c>
      <c r="T1415" t="n">
        <v>0</v>
      </c>
      <c r="V1415" t="n">
        <v>0</v>
      </c>
    </row>
    <row r="1416">
      <c r="A1416">
        <f>Skills!A23</f>
        <v/>
      </c>
      <c r="B1416">
        <f>Skills!B23</f>
        <v/>
      </c>
      <c r="C1416">
        <f>Inputs!$B$3&gt;=120</f>
        <v/>
      </c>
      <c r="D1416">
        <f>IF(Skills!C23=1,60+Inputs!$B$26+Inputs!$B$30,IF(Skills!C23=2,90+Inputs!$B$27+Inputs!$B$30,IF(Skills!C23=3,120+Inputs!$B$28+Inputs!$B$30,MAX(0,(Inputs!$B$3-100)*3)+Inputs!$B$29+Inputs!$B$30)))</f>
        <v/>
      </c>
      <c r="E1416">
        <f>INDEX(FactorTable!$B$2:$Y$301, MATCH(ROUND(MIN(300,MAX(1,D1416)),0), FactorTable!$A$2:$A$301,0), Skills!M23+1)</f>
        <v/>
      </c>
      <c r="F1416">
        <f>IF(Skills!N23=TRUE,(Skills!L23/10)*(E1416/1000),Skills!L23/10)+Skills!O23</f>
        <v/>
      </c>
      <c r="G1416">
        <f>Skills!G23*IF(Skills!H23&gt;0,Skills!I23/Skills!H23,1)</f>
        <v/>
      </c>
      <c r="H1416">
        <f>1-(1-Skills!J23/100)^Skills!K23</f>
        <v/>
      </c>
      <c r="I1416" t="inlineStr">
        <is>
          <t>1</t>
        </is>
      </c>
      <c r="J1416" t="inlineStr"/>
      <c r="K1416" t="inlineStr"/>
      <c r="L1416" t="inlineStr"/>
      <c r="M1416" t="inlineStr"/>
      <c r="N1416" t="inlineStr"/>
      <c r="O1416">
        <f>(1-Summary!$B$55)*T1416+Summary!$B$55*V1416</f>
        <v/>
      </c>
      <c r="P1416">
        <f>IF(B1432=0,0,O1416/B1432)</f>
        <v/>
      </c>
      <c r="Q1416" t="n">
        <v>0</v>
      </c>
      <c r="R1416" t="n">
        <v>0</v>
      </c>
      <c r="S1416">
        <f>IFERROR(O1416/N1416,0)</f>
        <v/>
      </c>
      <c r="T1416" t="n">
        <v>0</v>
      </c>
      <c r="V1416" t="n">
        <v>0</v>
      </c>
    </row>
    <row r="1417">
      <c r="A1417">
        <f>Skills!A24</f>
        <v/>
      </c>
      <c r="B1417">
        <f>Skills!B24</f>
        <v/>
      </c>
      <c r="C1417">
        <f>Inputs!$B$3&gt;=120</f>
        <v/>
      </c>
      <c r="D1417">
        <f>IF(Skills!C24=1,60+Inputs!$B$26+Inputs!$B$30,IF(Skills!C24=2,90+Inputs!$B$27+Inputs!$B$30,IF(Skills!C24=3,120+Inputs!$B$28+Inputs!$B$30,MAX(0,(Inputs!$B$3-100)*3)+Inputs!$B$29+Inputs!$B$30)))</f>
        <v/>
      </c>
      <c r="E1417">
        <f>INDEX(FactorTable!$B$2:$Y$301, MATCH(ROUND(MIN(300,MAX(1,D1417)),0), FactorTable!$A$2:$A$301,0), Skills!M24+1)</f>
        <v/>
      </c>
      <c r="F1417">
        <f>IF(Skills!N24=TRUE,(Skills!L24/10)*(E1417/1000),Skills!L24/10)+Skills!O24</f>
        <v/>
      </c>
      <c r="G1417">
        <f>Skills!G24*IF(Skills!H24&gt;0,Skills!I24/Skills!H24,1)</f>
        <v/>
      </c>
      <c r="H1417">
        <f>1-(1-Skills!J24/100)^Skills!K24</f>
        <v/>
      </c>
      <c r="I1417" t="inlineStr">
        <is>
          <t>1</t>
        </is>
      </c>
      <c r="J1417" t="inlineStr"/>
      <c r="K1417" t="inlineStr"/>
      <c r="L1417" t="inlineStr"/>
      <c r="M1417" t="inlineStr"/>
      <c r="N1417" t="inlineStr"/>
      <c r="O1417">
        <f>(1-Summary!$B$55)*T1417+Summary!$B$55*V1417</f>
        <v/>
      </c>
      <c r="P1417">
        <f>IF(B1432=0,0,O1417/B1432)</f>
        <v/>
      </c>
      <c r="Q1417" t="n">
        <v>0</v>
      </c>
      <c r="R1417" t="n">
        <v>0</v>
      </c>
      <c r="S1417">
        <f>IFERROR(O1417/N1417,0)</f>
        <v/>
      </c>
      <c r="T1417" t="n">
        <v>0</v>
      </c>
      <c r="V1417" t="n">
        <v>0</v>
      </c>
    </row>
    <row r="1418">
      <c r="A1418">
        <f>Skills!A25</f>
        <v/>
      </c>
      <c r="B1418">
        <f>Skills!B25</f>
        <v/>
      </c>
      <c r="C1418">
        <f>Inputs!$B$3&gt;=125</f>
        <v/>
      </c>
      <c r="D1418">
        <f>IF(Skills!C25=1,60+Inputs!$B$26+Inputs!$B$30,IF(Skills!C25=2,90+Inputs!$B$27+Inputs!$B$30,IF(Skills!C25=3,120+Inputs!$B$28+Inputs!$B$30,MAX(0,(Inputs!$B$3-100)*3)+Inputs!$B$29+Inputs!$B$30)))</f>
        <v/>
      </c>
      <c r="E1418">
        <f>INDEX(FactorTable!$B$2:$Y$301, MATCH(ROUND(MIN(300,MAX(1,D1418)),0), FactorTable!$A$2:$A$301,0), Skills!M25+1)</f>
        <v/>
      </c>
      <c r="F1418">
        <f>IF(Skills!N25=TRUE,(Skills!L25/10)*(E1418/1000),Skills!L25/10)+Skills!O25</f>
        <v/>
      </c>
      <c r="G1418">
        <f>Skills!G25*IF(Skills!H25&gt;0,Skills!I25/Skills!H25,1)</f>
        <v/>
      </c>
      <c r="H1418">
        <f>1-(1-Skills!J25/100)^Skills!K25</f>
        <v/>
      </c>
      <c r="I1418" t="inlineStr">
        <is>
          <t>1</t>
        </is>
      </c>
      <c r="J1418" t="inlineStr"/>
      <c r="K1418" t="inlineStr"/>
      <c r="L1418" t="inlineStr"/>
      <c r="M1418" t="inlineStr"/>
      <c r="N1418" t="inlineStr"/>
      <c r="O1418">
        <f>(1-Summary!$B$55)*T1418+Summary!$B$55*V1418</f>
        <v/>
      </c>
      <c r="P1418">
        <f>IF(B1432=0,0,O1418/B1432)</f>
        <v/>
      </c>
      <c r="Q1418" t="n">
        <v>0</v>
      </c>
      <c r="R1418" t="n">
        <v>0</v>
      </c>
      <c r="S1418">
        <f>IFERROR(O1418/N1418,0)</f>
        <v/>
      </c>
      <c r="T1418" t="n">
        <v>0</v>
      </c>
      <c r="V1418" t="n">
        <v>0</v>
      </c>
    </row>
    <row r="1419">
      <c r="A1419">
        <f>Skills!A26</f>
        <v/>
      </c>
      <c r="B1419">
        <f>Skills!B26</f>
        <v/>
      </c>
      <c r="C1419">
        <f>Inputs!$B$3&gt;=107</f>
        <v/>
      </c>
      <c r="D1419">
        <f>IF(Skills!C26=1,60+Inputs!$B$26+Inputs!$B$30,IF(Skills!C26=2,90+Inputs!$B$27+Inputs!$B$30,IF(Skills!C26=3,120+Inputs!$B$28+Inputs!$B$30,MAX(0,(Inputs!$B$3-100)*3)+Inputs!$B$29+Inputs!$B$30)))</f>
        <v/>
      </c>
      <c r="E1419">
        <f>INDEX(FactorTable!$B$2:$Y$301, MATCH(ROUND(MIN(300,MAX(1,D1419)),0), FactorTable!$A$2:$A$301,0), Skills!M26+1)</f>
        <v/>
      </c>
      <c r="F1419">
        <f>IF(Skills!N26=TRUE,(Skills!L26/10)*(E1419/1000),Skills!L26/10)+Skills!O26</f>
        <v/>
      </c>
      <c r="G1419">
        <f>Skills!G26*IF(Skills!H26&gt;0,Skills!I26/Skills!H26,1)</f>
        <v/>
      </c>
      <c r="H1419">
        <f>1-(1-Skills!J26/100)^Skills!K26</f>
        <v/>
      </c>
      <c r="I1419" t="inlineStr">
        <is>
          <t>1</t>
        </is>
      </c>
      <c r="J1419" t="inlineStr"/>
      <c r="K1419" t="inlineStr"/>
      <c r="L1419" t="inlineStr"/>
      <c r="M1419" t="inlineStr"/>
      <c r="N1419" t="inlineStr"/>
      <c r="O1419">
        <f>(1-Summary!$B$55)*T1419+Summary!$B$55*V1419</f>
        <v/>
      </c>
      <c r="P1419">
        <f>IF(B1432=0,0,O1419/B1432)</f>
        <v/>
      </c>
      <c r="Q1419" t="n">
        <v>0</v>
      </c>
      <c r="R1419" t="n">
        <v>0</v>
      </c>
      <c r="S1419">
        <f>IFERROR(O1419/N1419,0)</f>
        <v/>
      </c>
      <c r="T1419" t="n">
        <v>0</v>
      </c>
      <c r="V1419" t="n">
        <v>0</v>
      </c>
    </row>
    <row r="1421">
      <c r="A1421" t="inlineStr">
        <is>
          <t>Attack% Bucket Multiplier</t>
        </is>
      </c>
      <c r="B1421">
        <f>(1+(((C1406=TRUE)*F1406*IF(AND(Inputs!$B$39&lt;&gt;"pvp",Inputs!$B$44&gt;0),(((R1406-1)*(Skills!T13*(1+Inputs!$B$35/100))+MIN((Skills!T13*(1+Inputs!$B$35/100)),MAX(0,Inputs!$B$44-((R1406-1)*Skills!D13))))/Inputs!$B$44),IF(Inputs!$B$39="pvp",MIN((Skills!T13*(1+Inputs!$B$35/100)),15)/15,(Skills!T13*(1+Inputs!$B$35/100))/Skills!D13)))+((C1407=TRUE)*F1407*IF(AND(Inputs!$B$39&lt;&gt;"pvp",Inputs!$B$44&gt;0),(((R1407-1)*(Skills!T14*(1+Inputs!$B$35/100))+MIN((Skills!T14*(1+Inputs!$B$35/100)),MAX(0,Inputs!$B$44-((R1407-1)*Skills!D14))))/Inputs!$B$44),IF(Inputs!$B$39="pvp",MIN((Skills!T14*(1+Inputs!$B$35/100)),15)/15,(Skills!T14*(1+Inputs!$B$35/100))/Skills!D14)))+((C1408=TRUE)*F1408*IF(AND(Inputs!$B$39&lt;&gt;"pvp",Inputs!$B$44&gt;0),(((R1408-1)*(Skills!T15*(1+Inputs!$B$35/100))+MIN((Skills!T15*(1+Inputs!$B$35/100)),MAX(0,Inputs!$B$44-((R1408-1)*Skills!D15))))/Inputs!$B$44),IF(Inputs!$B$39="pvp",MIN((Skills!T15*(1+Inputs!$B$35/100)),15)/15,(Skills!T15*(1+Inputs!$B$35/100))/Skills!D15)))+((C1409=TRUE)*F1409*IF(AND(Inputs!$B$39&lt;&gt;"pvp",Inputs!$B$44&gt;0),(((R1409-1)*(Skills!T16*(1+Inputs!$B$35/100))+MIN((Skills!T16*(1+Inputs!$B$35/100)),MAX(0,Inputs!$B$44-((R1409-1)*Skills!D16))))/Inputs!$B$44),IF(Inputs!$B$39="pvp",MIN((Skills!T16*(1+Inputs!$B$35/100)),15)/15,(Skills!T16*(1+Inputs!$B$35/100))/Skills!D16)))+0)/100)</f>
        <v/>
      </c>
    </row>
    <row r="1422">
      <c r="A1422" t="inlineStr">
        <is>
          <t>Global Crit Rate Bonus % (Lord of Darkness)</t>
        </is>
      </c>
      <c r="B1422">
        <f>((C1411=TRUE)*F1411*(Skills!J18/100)*IF(AND(Inputs!$B$39&lt;&gt;"pvp",Inputs!$B$44&gt;0),(((R1411-1)*(Skills!T18*(1+Inputs!$B$35/100))+MIN((Skills!T18*(1+Inputs!$B$35/100)),MAX(0,Inputs!$B$44-((R1411-1)*Skills!D18))))/Inputs!$B$44),IF(Inputs!$B$39="pvp",MIN((Skills!T18*(1+Inputs!$B$35/100)),15)/15,(Skills!T18*(1+Inputs!$B$35/100))/Skills!D18)))</f>
        <v/>
      </c>
    </row>
    <row r="1423">
      <c r="A1423" t="inlineStr">
        <is>
          <t>Attack Speed Buff Bonus %</t>
        </is>
      </c>
      <c r="B1423">
        <f>((C1413=TRUE)*F1413*IF(AND(Inputs!$B$39&lt;&gt;"pvp",Inputs!$B$44&gt;0),(((R1413-1)*(Skills!T20*(1+Inputs!$B$35/100))+MIN((Skills!T20*(1+Inputs!$B$35/100)),MAX(0,Inputs!$B$44-((R1413-1)*Skills!D20))))/Inputs!$B$44),IF(Inputs!$B$39="pvp",MIN((Skills!T20*(1+Inputs!$B$35/100)),15)/15,(Skills!T20*(1+Inputs!$B$35/100))/Skills!D20)))</f>
        <v/>
      </c>
    </row>
    <row r="1424">
      <c r="A1424" t="inlineStr">
        <is>
          <t>Actions Per Second</t>
        </is>
      </c>
      <c r="B1424">
        <f>1+MIN(150,150*(1-(1-(Inputs!$B$12+((C1414=TRUE)*(F1414-Calc!F21)))/150)*(1-B1423/150)))/100</f>
        <v/>
      </c>
    </row>
    <row r="1425">
      <c r="A1425" t="inlineStr">
        <is>
          <t>Skill + Buff Cast Rate</t>
        </is>
      </c>
      <c r="B1425">
        <f>IF(AND(Inputs!$B$39&lt;&gt;"pvp",Inputs!$B$44&gt;0),SUMPRODUCT((Skills!E2:E26=TRUE)*(C1395:C1419=TRUE)*R1395:R1419*Skills!F2:F26)/Inputs!$B$44,SUMPRODUCT((Skills!E2:E26=TRUE)*(C1395:C1419=TRUE)*Q1395:Q1419*Skills!F2:F26))</f>
        <v/>
      </c>
    </row>
    <row r="1426">
      <c r="A1426" t="inlineStr">
        <is>
          <t>Dark Impale Casts Per Second</t>
        </is>
      </c>
      <c r="B1426">
        <f>MAX(0,B1424-B1425)</f>
        <v/>
      </c>
    </row>
    <row r="1427">
      <c r="A1427" t="inlineStr">
        <is>
          <t>Global Critical Damage Bonus % (Lord of Darkness)</t>
        </is>
      </c>
      <c r="B1427">
        <f>((C1412=TRUE)*F1412*(Skills!J19/100)*IF(AND(Inputs!$B$39&lt;&gt;"pvp",Inputs!$B$44&gt;0),(((R1412-1)*(Skills!T19*(1+Inputs!$B$35/100))+MIN((Skills!T19*(1+Inputs!$B$35/100)),MAX(0,Inputs!$B$44-((R1412-1)*Skills!D19))))/Inputs!$B$44),IF(Inputs!$B$39="pvp",MIN((Skills!T19*(1+Inputs!$B$35/100)),15)/15,(Skills!T19*(1+Inputs!$B$35/100))/Skills!D19)))</f>
        <v/>
      </c>
    </row>
    <row r="1428">
      <c r="A1428" t="inlineStr">
        <is>
          <t>Global Final Damage Bonus % (unused)</t>
        </is>
      </c>
      <c r="B1428" t="n">
        <v>0</v>
      </c>
    </row>
    <row r="1429">
      <c r="A1429" t="inlineStr">
        <is>
          <t>Buff-Casting Startup Delay (s, fixed-duration only)</t>
        </is>
      </c>
      <c r="B1429">
        <f>IF(AND(Inputs!$B$39&lt;&gt;"pvp",Inputs!$B$44&gt;0),SUMPRODUCT((Skills!T2:T26&gt;0)*(Skills!E2:E26=TRUE)*(C1395:C1419=TRUE))/B1424,0)</f>
        <v/>
      </c>
    </row>
    <row r="1430">
      <c r="A1430" t="inlineStr">
        <is>
          <t>Boss-Only Total DPS (this block's swept value)</t>
        </is>
      </c>
      <c r="B1430">
        <f>SUM(T1395:T1419)</f>
        <v/>
      </c>
    </row>
    <row r="1431">
      <c r="A1431" t="inlineStr">
        <is>
          <t>Normal-Only Total DPS (this block's swept value)</t>
        </is>
      </c>
      <c r="B1431">
        <f>SUM(V1395:V1419)</f>
        <v/>
      </c>
    </row>
    <row r="1432">
      <c r="A1432" s="5" t="inlineStr">
        <is>
          <t>TOTAL DPS</t>
        </is>
      </c>
      <c r="B1432" s="5">
        <f>SUM(O1395:O1419)</f>
        <v/>
      </c>
    </row>
    <row r="1435">
      <c r="A1435" s="5" t="inlineStr">
        <is>
          <t>Stat: CDR = 3.0s</t>
        </is>
      </c>
    </row>
    <row r="1436">
      <c r="A1436" s="9" t="inlineStr">
        <is>
          <t>Key</t>
        </is>
      </c>
      <c r="B1436" s="9" t="inlineStr">
        <is>
          <t>Name</t>
        </is>
      </c>
      <c r="C1436" s="9" t="inlineStr">
        <is>
          <t>Unlocked</t>
        </is>
      </c>
      <c r="D1436" s="9" t="inlineStr">
        <is>
          <t>InputLevel</t>
        </is>
      </c>
      <c r="E1436" s="9" t="inlineStr">
        <is>
          <t>Factor</t>
        </is>
      </c>
      <c r="F1436" s="9" t="inlineStr">
        <is>
          <t>CoefficientPercent</t>
        </is>
      </c>
      <c r="G1436" s="9" t="inlineStr">
        <is>
          <t>EffectiveHits</t>
        </is>
      </c>
      <c r="H1436" s="9" t="inlineStr">
        <is>
          <t>ProcProbability</t>
        </is>
      </c>
      <c r="I1436" s="9" t="inlineStr">
        <is>
          <t>MapleHeroMultiplier</t>
        </is>
      </c>
      <c r="J1436" s="9" t="inlineStr">
        <is>
          <t>BaseDamage</t>
        </is>
      </c>
      <c r="K1436" s="9" t="inlineStr">
        <is>
          <t>BaseHitDamage</t>
        </is>
      </c>
      <c r="L1436" s="9" t="inlineStr">
        <is>
          <t>NonCritAvg</t>
        </is>
      </c>
      <c r="M1436" s="9" t="inlineStr">
        <is>
          <t>CritAvg</t>
        </is>
      </c>
      <c r="N1436" s="9" t="inlineStr">
        <is>
          <t>ExpectedDamage(perHit)</t>
        </is>
      </c>
      <c r="O1436" s="9" t="inlineStr">
        <is>
          <t>DPS</t>
        </is>
      </c>
      <c r="P1436" s="9" t="inlineStr">
        <is>
          <t>% of Total</t>
        </is>
      </c>
      <c r="Q1436" s="9" t="inlineStr">
        <is>
          <t>InvCooldown</t>
        </is>
      </c>
      <c r="R1436" s="9" t="inlineStr">
        <is>
          <t>CastsInFight</t>
        </is>
      </c>
      <c r="S1436" s="9" t="inlineStr">
        <is>
          <t>HitRate(perSec)</t>
        </is>
      </c>
      <c r="U1436" t="inlineStr">
        <is>
          <t>helpers</t>
        </is>
      </c>
    </row>
    <row r="1437">
      <c r="A1437">
        <f>Skills!A2</f>
        <v/>
      </c>
      <c r="B1437">
        <f>Skills!B2</f>
        <v/>
      </c>
      <c r="C1437">
        <f>Inputs!$B$3&gt;=100</f>
        <v/>
      </c>
      <c r="D1437" t="inlineStr"/>
      <c r="E1437" t="inlineStr"/>
      <c r="F1437">
        <f>U1439+Skills!O2</f>
        <v/>
      </c>
      <c r="G1437">
        <f>Skills!G2*IF(Skills!H2&gt;0,Skills!I2/Skills!H2,1)</f>
        <v/>
      </c>
      <c r="H1437">
        <f>1-(1-Skills!J2/100)^Skills!K2</f>
        <v/>
      </c>
      <c r="I1437" t="inlineStr">
        <is>
          <t>1</t>
        </is>
      </c>
      <c r="J1437">
        <f>((Inputs!$B$6*(1+Inputs!$B$7/100))+(((Inputs!$B$13*(1+Inputs!$B$14/100))-(Inputs!$B$13*(1+Inputs!$B$14/100)))+0.25*(Inputs!$B$15-Inputs!$B$15))*(1+Inputs!$B$7/100))*(F1437/100)</f>
        <v/>
      </c>
      <c r="K1437">
        <f>J1437*(1+(((Inputs!$B$13+IF(Inputs!$B$3&gt;=38,(10*INDEX(FactorTable!$B$2:$Y$301, MATCH(ROUND(MIN(300,MAX(1,Inputs!$B$3)),0), FactorTable!$A$2:$A$301,0), 23)/1000)/100*(Inputs!$B$8*(1+Inputs!$B$9/100)),0))*(1+Inputs!$B$14/100))*0.01+Inputs!$B$15*0.0025)/100)*(1+Inputs!$B$16/100)*(1+Inputs!$B$17/100)*(5000/(6000+Inputs!$B$43*(1-(Inputs!$B$20+0)/100)))*(1+(Inputs!$B$25+((C1460=TRUE)*(F1460-Calc!F25))+((C1461=TRUE)*(F1461-Calc!F26))+B1470)/100)*(1+(IF(Skills!A2="DARK_IMPALE",Inputs!$B$18+0,Inputs!$B$19+((C1458=TRUE)*(F1458-Calc!F23))))/100)*((1+(((C1448=TRUE)*F1448*IF(AND(Inputs!$B$39&lt;&gt;"pvp",Inputs!$B$44&gt;0),(((R1448-1)*(Skills!T13*(1+Inputs!$B$35/100))+MIN((Skills!T13*(1+Inputs!$B$35/100)),MAX(0,Inputs!$B$44-((R1448-1)*Skills!D13))))/Inputs!$B$44),IF(Inputs!$B$39="pvp",MIN((Skills!T13*(1+Inputs!$B$35/100)),15)/15,(Skills!T13*(1+Inputs!$B$35/100))/Skills!D13)))+((C1449=TRUE)*F1449*IF(AND(Inputs!$B$39&lt;&gt;"pvp",Inputs!$B$44&gt;0),(((R1449-1)*(Skills!T14*(1+Inputs!$B$35/100))+MIN((Skills!T14*(1+Inputs!$B$35/100)),MAX(0,Inputs!$B$44-((R1449-1)*Skills!D14))))/Inputs!$B$44),IF(Inputs!$B$39="pvp",MIN((Skills!T14*(1+Inputs!$B$35/100)),15)/15,(Skills!T14*(1+Inputs!$B$35/100))/Skills!D14)))+((C1450=TRUE)*F1450*IF(AND(Inputs!$B$39&lt;&gt;"pvp",Inputs!$B$44&gt;0),(((R1450-1)*(Skills!T15*(1+Inputs!$B$35/100))+MIN((Skills!T15*(1+Inputs!$B$35/100)),MAX(0,Inputs!$B$44-((R1450-1)*Skills!D15))))/Inputs!$B$44),IF(Inputs!$B$39="pvp",MIN((Skills!T15*(1+Inputs!$B$35/100)),15)/15,(Skills!T15*(1+Inputs!$B$35/100))/Skills!D15)))+((C1451=TRUE)*F1451*IF(AND(Inputs!$B$39&lt;&gt;"pvp",Inputs!$B$44&gt;0),(((R1451-1)*(Skills!T16*(1+Inputs!$B$35/100))+MIN((Skills!T16*(1+Inputs!$B$35/100)),MAX(0,Inputs!$B$44-((R1451-1)*Skills!D16))))/Inputs!$B$44),IF(Inputs!$B$39="pvp",MIN((Skills!T16*(1+Inputs!$B$35/100)),15)/15,(Skills!T16*(1+Inputs!$B$35/100))/Skills!D16)))+0)/100)*I1437)</f>
        <v/>
      </c>
      <c r="L1437">
        <f>K1437*(MIN(Inputs!$B$23+((C1457=TRUE)*(F1457-Calc!F22)),Inputs!$B$24+((C1459=TRUE)*(F1459-Calc!F24)))/100+(Inputs!$B$24+((C1459=TRUE)*(F1459-Calc!F24)))/100)/2</f>
        <v/>
      </c>
      <c r="M1437">
        <f>L1437*(1+(Inputs!$B$11+0+B1469)/100)</f>
        <v/>
      </c>
      <c r="N1437">
        <f>L1437*(1-MIN((Inputs!$B$10+0+B1464),100)/100)+M1437*(MIN((Inputs!$B$10+0+B1464),100)/100)</f>
        <v/>
      </c>
      <c r="O1437">
        <f>(1-Summary!$B$55)*T1437+Summary!$B$55*V1437</f>
        <v/>
      </c>
      <c r="P1437">
        <f>IF(B1474=0,0,O1437/B1474)</f>
        <v/>
      </c>
      <c r="Q1437" t="n">
        <v>0</v>
      </c>
      <c r="R1437" t="n">
        <v>0</v>
      </c>
      <c r="S1437">
        <f>IFERROR(O1437/N1437,0)</f>
        <v/>
      </c>
      <c r="T1437">
        <f>IF(C1437,(Skills!G2*N1437*B1468)*IF(Inputs!$B$39="pvp",1,1+(Inputs!$B$21+0+Skills!P2+((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0)</f>
        <v/>
      </c>
      <c r="U1437">
        <f>MAX(0,(Inputs!$B$3-100)*3)+Inputs!$B$29+Inputs!$B$30</f>
        <v/>
      </c>
      <c r="V1437">
        <f>IF(C1437,(Skills!G2*N1437*B1468)*IF(Inputs!$B$39="pvp",1,(1+(Inputs!$B$22+Skills!Q2+((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MIN((6+Inputs!$B$34),Inputs!$B$38))),0)</f>
        <v/>
      </c>
    </row>
    <row r="1438">
      <c r="A1438">
        <f>Skills!A3</f>
        <v/>
      </c>
      <c r="B1438">
        <f>Skills!B3</f>
        <v/>
      </c>
      <c r="C1438">
        <f>Inputs!$B$3&gt;=50</f>
        <v/>
      </c>
      <c r="D1438">
        <f>IF(Skills!C3=1,60+Inputs!$B$26+Inputs!$B$30,IF(Skills!C3=2,90+Inputs!$B$27+Inputs!$B$30,IF(Skills!C3=3,120+Inputs!$B$28+Inputs!$B$30,MAX(0,(Inputs!$B$3-100)*3)+Inputs!$B$29+Inputs!$B$30)))</f>
        <v/>
      </c>
      <c r="E1438">
        <f>INDEX(FactorTable!$B$2:$Y$301, MATCH(ROUND(MIN(300,MAX(1,D1438)),0), FactorTable!$A$2:$A$301,0), Skills!M3+1)</f>
        <v/>
      </c>
      <c r="F1438">
        <f>IF(Skills!N3=TRUE,(Skills!L3/10)*(E1438/1000),Skills!L3/10)+Skills!O3</f>
        <v/>
      </c>
      <c r="G1438" t="inlineStr"/>
      <c r="H1438" t="inlineStr"/>
      <c r="I1438" t="inlineStr">
        <is>
          <t>1</t>
        </is>
      </c>
      <c r="J1438" t="inlineStr"/>
      <c r="K1438" t="inlineStr"/>
      <c r="L1438" t="inlineStr"/>
      <c r="M1438" t="inlineStr"/>
      <c r="N1438" t="inlineStr"/>
      <c r="O1438" t="inlineStr"/>
      <c r="P1438" t="inlineStr"/>
      <c r="Q1438" t="inlineStr"/>
      <c r="R1438" t="inlineStr"/>
      <c r="S1438" t="inlineStr"/>
      <c r="U1438">
        <f>INDEX(FactorTable!$B$2:$Y$301, MATCH(ROUND(MIN(300,MAX(1,U1437)),0), FactorTable!$A$2:$A$301,0), 22)</f>
        <v/>
      </c>
    </row>
    <row r="1439">
      <c r="A1439">
        <f>Skills!A4</f>
        <v/>
      </c>
      <c r="B1439">
        <f>Skills!B4</f>
        <v/>
      </c>
      <c r="C1439">
        <f>Inputs!$B$3&gt;=105</f>
        <v/>
      </c>
      <c r="D1439">
        <f>IF(Skills!C4=1,60+Inputs!$B$26+Inputs!$B$30,IF(Skills!C4=2,90+Inputs!$B$27+Inputs!$B$30,IF(Skills!C4=3,120+Inputs!$B$28+Inputs!$B$30,MAX(0,(Inputs!$B$3-100)*3)+Inputs!$B$29+Inputs!$B$30)))</f>
        <v/>
      </c>
      <c r="E1439">
        <f>INDEX(FactorTable!$B$2:$Y$301, MATCH(ROUND(MIN(300,MAX(1,D1439)),0), FactorTable!$A$2:$A$301,0), Skills!M4+1)</f>
        <v/>
      </c>
      <c r="F1439">
        <f>IF(Skills!N4=TRUE,(Skills!L4/10)*(E1439/1000),Skills!L4/10)+Skills!O4</f>
        <v/>
      </c>
      <c r="G1439" t="inlineStr"/>
      <c r="H1439" t="inlineStr"/>
      <c r="I1439" t="inlineStr">
        <is>
          <t>1</t>
        </is>
      </c>
      <c r="J1439" t="inlineStr"/>
      <c r="K1439" t="inlineStr"/>
      <c r="L1439" t="inlineStr"/>
      <c r="M1439" t="inlineStr"/>
      <c r="N1439" t="inlineStr"/>
      <c r="O1439" t="inlineStr"/>
      <c r="P1439" t="inlineStr"/>
      <c r="Q1439" t="inlineStr"/>
      <c r="R1439" t="inlineStr"/>
      <c r="S1439" t="inlineStr"/>
      <c r="U1439">
        <f>290*U1438/1000</f>
        <v/>
      </c>
    </row>
    <row r="1440">
      <c r="A1440">
        <f>Skills!A5</f>
        <v/>
      </c>
      <c r="B1440">
        <f>Skills!B5</f>
        <v/>
      </c>
      <c r="C1440">
        <f>Inputs!$B$3&gt;=117</f>
        <v/>
      </c>
      <c r="D1440">
        <f>IF(Skills!C5=1,60+Inputs!$B$26+Inputs!$B$30,IF(Skills!C5=2,90+Inputs!$B$27+Inputs!$B$30,IF(Skills!C5=3,120+Inputs!$B$28+Inputs!$B$30,MAX(0,(Inputs!$B$3-100)*3)+Inputs!$B$29+Inputs!$B$30)))</f>
        <v/>
      </c>
      <c r="E1440">
        <f>INDEX(FactorTable!$B$2:$Y$301, MATCH(ROUND(MIN(300,MAX(1,D1440)),0), FactorTable!$A$2:$A$301,0), Skills!M5+1)</f>
        <v/>
      </c>
      <c r="F1440">
        <f>IF(Skills!N5=TRUE,(Skills!L5/10)*(E1440/1000),Skills!L5/10)+Skills!O5</f>
        <v/>
      </c>
      <c r="G1440">
        <f>Skills!G5*IF(Skills!H5&gt;0,Skills!I5/Skills!H5,1)</f>
        <v/>
      </c>
      <c r="H1440">
        <f>1-(1-Skills!J5/100)^Skills!K5</f>
        <v/>
      </c>
      <c r="I1440" t="inlineStr">
        <is>
          <t>1</t>
        </is>
      </c>
      <c r="J1440">
        <f>((Inputs!$B$6*(1+Inputs!$B$7/100))+(((Inputs!$B$13*(1+Inputs!$B$14/100))-(Inputs!$B$13*(1+Inputs!$B$14/100)))+0.25*(Inputs!$B$15-Inputs!$B$15))*(1+Inputs!$B$7/100))*(F1440/100)</f>
        <v/>
      </c>
      <c r="K1440">
        <f>J1440*(1+(((Inputs!$B$13+IF(Inputs!$B$3&gt;=38,(10*INDEX(FactorTable!$B$2:$Y$301, MATCH(ROUND(MIN(300,MAX(1,Inputs!$B$3)),0), FactorTable!$A$2:$A$301,0), 23)/1000)/100*(Inputs!$B$8*(1+Inputs!$B$9/100)),0))*(1+Inputs!$B$14/100))*0.01+Inputs!$B$15*0.0025)/100)*(1+Inputs!$B$16/100)*(1+Inputs!$B$17/100)*(5000/(6000+Inputs!$B$43*(1-(Inputs!$B$20+0)/100)))*(1+(Inputs!$B$25+((C1460=TRUE)*(F1460-Calc!F25))+((C1461=TRUE)*(F1461-Calc!F26))+B1470)/100)*(1+(IF(Skills!A5="DARK_IMPALE",Inputs!$B$18+0,Inputs!$B$19+((C1458=TRUE)*(F1458-Calc!F23))))/100)*((1+(((C1448=TRUE)*F1448*IF(AND(Inputs!$B$39&lt;&gt;"pvp",Inputs!$B$44&gt;0),(((R1448-1)*(Skills!T13*(1+Inputs!$B$35/100))+MIN((Skills!T13*(1+Inputs!$B$35/100)),MAX(0,Inputs!$B$44-((R1448-1)*Skills!D13))))/Inputs!$B$44),IF(Inputs!$B$39="pvp",MIN((Skills!T13*(1+Inputs!$B$35/100)),15)/15,(Skills!T13*(1+Inputs!$B$35/100))/Skills!D13)))+((C1449=TRUE)*F1449*IF(AND(Inputs!$B$39&lt;&gt;"pvp",Inputs!$B$44&gt;0),(((R1449-1)*(Skills!T14*(1+Inputs!$B$35/100))+MIN((Skills!T14*(1+Inputs!$B$35/100)),MAX(0,Inputs!$B$44-((R1449-1)*Skills!D14))))/Inputs!$B$44),IF(Inputs!$B$39="pvp",MIN((Skills!T14*(1+Inputs!$B$35/100)),15)/15,(Skills!T14*(1+Inputs!$B$35/100))/Skills!D14)))+((C1450=TRUE)*F1450*IF(AND(Inputs!$B$39&lt;&gt;"pvp",Inputs!$B$44&gt;0),(((R1450-1)*(Skills!T15*(1+Inputs!$B$35/100))+MIN((Skills!T15*(1+Inputs!$B$35/100)),MAX(0,Inputs!$B$44-((R1450-1)*Skills!D15))))/Inputs!$B$44),IF(Inputs!$B$39="pvp",MIN((Skills!T15*(1+Inputs!$B$35/100)),15)/15,(Skills!T15*(1+Inputs!$B$35/100))/Skills!D15)))+((C1451=TRUE)*F1451*IF(AND(Inputs!$B$39&lt;&gt;"pvp",Inputs!$B$44&gt;0),(((R1451-1)*(Skills!T16*(1+Inputs!$B$35/100))+MIN((Skills!T16*(1+Inputs!$B$35/100)),MAX(0,Inputs!$B$44-((R1451-1)*Skills!D16))))/Inputs!$B$44),IF(Inputs!$B$39="pvp",MIN((Skills!T16*(1+Inputs!$B$35/100)),15)/15,(Skills!T16*(1+Inputs!$B$35/100))/Skills!D16)))+0)/100)*I1440)</f>
        <v/>
      </c>
      <c r="L1440">
        <f>K1440*(MIN(Inputs!$B$23+((C1457=TRUE)*(F1457-Calc!F22)),Inputs!$B$24+((C1459=TRUE)*(F1459-Calc!F24)))/100+(Inputs!$B$24+((C1459=TRUE)*(F1459-Calc!F24)))/100)/2</f>
        <v/>
      </c>
      <c r="M1440">
        <f>L1440*(1+(Inputs!$B$11+0+B1469)/100)</f>
        <v/>
      </c>
      <c r="N1440">
        <f>L1440*(1-MIN((Inputs!$B$10+0+B1464),100)/100)+M1440*(MIN((Inputs!$B$10+0+B1464),100)/100)</f>
        <v/>
      </c>
      <c r="O1440">
        <f>(1-Summary!$B$55)*T1440+Summary!$B$55*V1440</f>
        <v/>
      </c>
      <c r="P1440">
        <f>IF(B1474=0,0,O1440/B1474)</f>
        <v/>
      </c>
      <c r="Q1440">
        <f>IFERROR(1/IF(Inputs!$B$39="pvp",15,MAX(0.1,Skills!D5-IF(Skills!E5=TRUE,3.0,0))),0)</f>
        <v/>
      </c>
      <c r="R1440">
        <f>IF(AND(Inputs!$B$39&lt;&gt;"pvp",Inputs!$B$44&gt;0),IF(MAX(0,Inputs!$B$44-B1471)&lt;=0,0,(INT(MAX(0,Inputs!$B$44-B1471)/IF(Inputs!$B$39="pvp",15,MAX(0.1,Skills!D5-IF(Skills!E5=TRUE,3.0,0))))+1)),0)</f>
        <v/>
      </c>
      <c r="S1440">
        <f>IFERROR(O1440/N1440,0)</f>
        <v/>
      </c>
      <c r="T1440">
        <f>IF(C1440,(H1440*N1440*IF(AND(Inputs!$B$39&lt;&gt;"pvp",Inputs!$B$44&gt;0),((Skills!G5*((R1440-1)*IF(Skills!H5&gt;0,Skills!I5/Skills!H5,1)+IF(Skills!H5&gt;0,MIN(Skills!I5,MAX(0,MAX(0,Inputs!$B$44-B1471)-((R1440-1)*IF(Inputs!$B$39="pvp",15,MAX(0.1,Skills!D5-IF(Skills!E5=TRUE,3.0,0))))))/Skills!H5,1)))/Inputs!$B$44),G1440*Q1440))*IF(Inputs!$B$39="pvp",1,1+(Inputs!$B$21+0+Skills!P5+((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0)</f>
        <v/>
      </c>
      <c r="V1440">
        <f>IF(C1440,(H1440*N1440*IF(AND(Inputs!$B$39&lt;&gt;"pvp",Inputs!$B$44&gt;0),((Skills!G5*((R1440-1)*IF(Skills!H5&gt;0,Skills!I5/Skills!H5,1)+IF(Skills!H5&gt;0,MIN(Skills!I5,MAX(0,MAX(0,Inputs!$B$44-B1471)-((R1440-1)*IF(Inputs!$B$39="pvp",15,MAX(0.1,Skills!D5-IF(Skills!E5=TRUE,3.0,0))))))/Skills!H5,1)))/Inputs!$B$44),G1440*Q1440))*IF(Inputs!$B$39="pvp",1,(1+(Inputs!$B$22+Skills!Q5+((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MIN(Skills!R5,Inputs!$B$38))),0)</f>
        <v/>
      </c>
    </row>
    <row r="1441">
      <c r="A1441">
        <f>Skills!A6</f>
        <v/>
      </c>
      <c r="B1441">
        <f>Skills!B6</f>
        <v/>
      </c>
      <c r="C1441">
        <f>Inputs!$B$3&gt;=103</f>
        <v/>
      </c>
      <c r="D1441">
        <f>IF(Skills!C6=1,60+Inputs!$B$26+Inputs!$B$30,IF(Skills!C6=2,90+Inputs!$B$27+Inputs!$B$30,IF(Skills!C6=3,120+Inputs!$B$28+Inputs!$B$30,MAX(0,(Inputs!$B$3-100)*3)+Inputs!$B$29+Inputs!$B$30)))</f>
        <v/>
      </c>
      <c r="E1441">
        <f>INDEX(FactorTable!$B$2:$Y$301, MATCH(ROUND(MIN(300,MAX(1,D1441)),0), FactorTable!$A$2:$A$301,0), Skills!M6+1)</f>
        <v/>
      </c>
      <c r="F1441">
        <f>IF(Skills!N6=TRUE,(Skills!L6/10)*(E1441/1000),Skills!L6/10)+Skills!O6</f>
        <v/>
      </c>
      <c r="G1441">
        <f>Skills!G6*IF(Skills!H6&gt;0,Skills!I6/Skills!H6,1)</f>
        <v/>
      </c>
      <c r="H1441">
        <f>1-(1-Skills!J6/100)^Skills!K6</f>
        <v/>
      </c>
      <c r="I1441" t="inlineStr">
        <is>
          <t>1</t>
        </is>
      </c>
      <c r="J1441">
        <f>((Inputs!$B$6*(1+Inputs!$B$7/100))+(((Inputs!$B$13*(1+Inputs!$B$14/100))-(Inputs!$B$13*(1+Inputs!$B$14/100)))+0.25*(Inputs!$B$15-Inputs!$B$15))*(1+Inputs!$B$7/100))*(F1441/100)</f>
        <v/>
      </c>
      <c r="K1441">
        <f>J1441*(1+(((Inputs!$B$13+IF(Inputs!$B$3&gt;=38,(10*INDEX(FactorTable!$B$2:$Y$301, MATCH(ROUND(MIN(300,MAX(1,Inputs!$B$3)),0), FactorTable!$A$2:$A$301,0), 23)/1000)/100*(Inputs!$B$8*(1+Inputs!$B$9/100)),0))*(1+Inputs!$B$14/100))*0.01+Inputs!$B$15*0.0025)/100)*(1+Inputs!$B$16/100)*(1+Inputs!$B$17/100)*(5000/(6000+Inputs!$B$43*(1-(Inputs!$B$20+0)/100)))*(1+(Inputs!$B$25+((C1460=TRUE)*(F1460-Calc!F25))+((C1461=TRUE)*(F1461-Calc!F26))+B1470)/100)*(1+(IF(Skills!A6="DARK_IMPALE",Inputs!$B$18+0,Inputs!$B$19+((C1458=TRUE)*(F1458-Calc!F23))))/100)*((1+(((C1448=TRUE)*F1448*IF(AND(Inputs!$B$39&lt;&gt;"pvp",Inputs!$B$44&gt;0),(((R1448-1)*(Skills!T13*(1+Inputs!$B$35/100))+MIN((Skills!T13*(1+Inputs!$B$35/100)),MAX(0,Inputs!$B$44-((R1448-1)*Skills!D13))))/Inputs!$B$44),IF(Inputs!$B$39="pvp",MIN((Skills!T13*(1+Inputs!$B$35/100)),15)/15,(Skills!T13*(1+Inputs!$B$35/100))/Skills!D13)))+((C1449=TRUE)*F1449*IF(AND(Inputs!$B$39&lt;&gt;"pvp",Inputs!$B$44&gt;0),(((R1449-1)*(Skills!T14*(1+Inputs!$B$35/100))+MIN((Skills!T14*(1+Inputs!$B$35/100)),MAX(0,Inputs!$B$44-((R1449-1)*Skills!D14))))/Inputs!$B$44),IF(Inputs!$B$39="pvp",MIN((Skills!T14*(1+Inputs!$B$35/100)),15)/15,(Skills!T14*(1+Inputs!$B$35/100))/Skills!D14)))+((C1450=TRUE)*F1450*IF(AND(Inputs!$B$39&lt;&gt;"pvp",Inputs!$B$44&gt;0),(((R1450-1)*(Skills!T15*(1+Inputs!$B$35/100))+MIN((Skills!T15*(1+Inputs!$B$35/100)),MAX(0,Inputs!$B$44-((R1450-1)*Skills!D15))))/Inputs!$B$44),IF(Inputs!$B$39="pvp",MIN((Skills!T15*(1+Inputs!$B$35/100)),15)/15,(Skills!T15*(1+Inputs!$B$35/100))/Skills!D15)))+((C1451=TRUE)*F1451*IF(AND(Inputs!$B$39&lt;&gt;"pvp",Inputs!$B$44&gt;0),(((R1451-1)*(Skills!T16*(1+Inputs!$B$35/100))+MIN((Skills!T16*(1+Inputs!$B$35/100)),MAX(0,Inputs!$B$44-((R1451-1)*Skills!D16))))/Inputs!$B$44),IF(Inputs!$B$39="pvp",MIN((Skills!T16*(1+Inputs!$B$35/100)),15)/15,(Skills!T16*(1+Inputs!$B$35/100))/Skills!D16)))+0)/100)*I1441)</f>
        <v/>
      </c>
      <c r="L1441">
        <f>K1441*(MIN(Inputs!$B$23+((C1457=TRUE)*(F1457-Calc!F22)),Inputs!$B$24+((C1459=TRUE)*(F1459-Calc!F24)))/100+(Inputs!$B$24+((C1459=TRUE)*(F1459-Calc!F24)))/100)/2</f>
        <v/>
      </c>
      <c r="M1441">
        <f>L1441*(1+(Inputs!$B$11+0+B1469)/100)</f>
        <v/>
      </c>
      <c r="N1441">
        <f>L1441*(1-MIN((Inputs!$B$10+0+B1464),100)/100)+M1441*(MIN((Inputs!$B$10+0+B1464),100)/100)</f>
        <v/>
      </c>
      <c r="O1441">
        <f>(1-Summary!$B$55)*T1441+Summary!$B$55*V1441</f>
        <v/>
      </c>
      <c r="P1441">
        <f>IF(B1474=0,0,O1441/B1474)</f>
        <v/>
      </c>
      <c r="Q1441">
        <f>IFERROR(1/IF(Inputs!$B$39="pvp",15,MAX(0.1,Skills!D6-IF(Skills!E6=TRUE,3.0,0))),0)</f>
        <v/>
      </c>
      <c r="R1441">
        <f>IF(AND(Inputs!$B$39&lt;&gt;"pvp",Inputs!$B$44&gt;0),IF(MAX(0,Inputs!$B$44-B1471)&lt;=0,0,(INT(MAX(0,Inputs!$B$44-B1471)/IF(Inputs!$B$39="pvp",15,MAX(0.1,Skills!D6-IF(Skills!E6=TRUE,3.0,0))))+1)),0)</f>
        <v/>
      </c>
      <c r="S1441">
        <f>IFERROR(O1441/N1441,0)</f>
        <v/>
      </c>
      <c r="T1441">
        <f>IF(C1441,(H1441*N1441*IF(AND(Inputs!$B$39&lt;&gt;"pvp",Inputs!$B$44&gt;0),((Skills!G6*((R1441-1)*IF(Skills!H6&gt;0,Skills!I6/Skills!H6,1)+IF(Skills!H6&gt;0,MIN(Skills!I6,MAX(0,MAX(0,Inputs!$B$44-B1471)-((R1441-1)*IF(Inputs!$B$39="pvp",15,MAX(0.1,Skills!D6-IF(Skills!E6=TRUE,3.0,0))))))/Skills!H6,1)))/Inputs!$B$44),G1441*Q1441))*IF(Inputs!$B$39="pvp",1,1+(Inputs!$B$21+0+Skills!P6+((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0)</f>
        <v/>
      </c>
      <c r="V1441">
        <f>IF(C1441,(H1441*N1441*IF(AND(Inputs!$B$39&lt;&gt;"pvp",Inputs!$B$44&gt;0),((Skills!G6*((R1441-1)*IF(Skills!H6&gt;0,Skills!I6/Skills!H6,1)+IF(Skills!H6&gt;0,MIN(Skills!I6,MAX(0,MAX(0,Inputs!$B$44-B1471)-((R1441-1)*IF(Inputs!$B$39="pvp",15,MAX(0.1,Skills!D6-IF(Skills!E6=TRUE,3.0,0))))))/Skills!H6,1)))/Inputs!$B$44),G1441*Q1441))*IF(Inputs!$B$39="pvp",1,(1+(Inputs!$B$22+Skills!Q6+((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MIN(Skills!R6,Inputs!$B$38))),0)</f>
        <v/>
      </c>
    </row>
    <row r="1442">
      <c r="A1442">
        <f>Skills!A7</f>
        <v/>
      </c>
      <c r="B1442">
        <f>Skills!B7</f>
        <v/>
      </c>
      <c r="C1442">
        <f>Inputs!$B$3&gt;=40</f>
        <v/>
      </c>
      <c r="D1442">
        <f>IF(Skills!C7=1,60+Inputs!$B$26+Inputs!$B$30,IF(Skills!C7=2,90+Inputs!$B$27+Inputs!$B$30,IF(Skills!C7=3,120+Inputs!$B$28+Inputs!$B$30,MAX(0,(Inputs!$B$3-100)*3)+Inputs!$B$29+Inputs!$B$30)))</f>
        <v/>
      </c>
      <c r="E1442">
        <f>INDEX(FactorTable!$B$2:$Y$301, MATCH(ROUND(MIN(300,MAX(1,D1442)),0), FactorTable!$A$2:$A$301,0), Skills!M7+1)</f>
        <v/>
      </c>
      <c r="F1442">
        <f>IF(Skills!N7=TRUE,(Skills!L7/10)*(E1442/1000),Skills!L7/10)+Skills!O7</f>
        <v/>
      </c>
      <c r="G1442">
        <f>Skills!G7*IF(Skills!H7&gt;0,Skills!I7/Skills!H7,1)</f>
        <v/>
      </c>
      <c r="H1442">
        <f>1-(1-Skills!J7/100)^Skills!K7</f>
        <v/>
      </c>
      <c r="I1442" t="inlineStr">
        <is>
          <t>1</t>
        </is>
      </c>
      <c r="J1442">
        <f>((Inputs!$B$6*(1+Inputs!$B$7/100))+(((Inputs!$B$13*(1+Inputs!$B$14/100))-(Inputs!$B$13*(1+Inputs!$B$14/100)))+0.25*(Inputs!$B$15-Inputs!$B$15))*(1+Inputs!$B$7/100))*(F1442/100)</f>
        <v/>
      </c>
      <c r="K1442">
        <f>J1442*(1+(((Inputs!$B$13+IF(Inputs!$B$3&gt;=38,(10*INDEX(FactorTable!$B$2:$Y$301, MATCH(ROUND(MIN(300,MAX(1,Inputs!$B$3)),0), FactorTable!$A$2:$A$301,0), 23)/1000)/100*(Inputs!$B$8*(1+Inputs!$B$9/100)),0))*(1+Inputs!$B$14/100))*0.01+Inputs!$B$15*0.0025)/100)*(1+Inputs!$B$16/100)*(1+Inputs!$B$17/100)*(5000/(6000+Inputs!$B$43*(1-(Inputs!$B$20+0)/100)))*(1+(Inputs!$B$25+((C1460=TRUE)*(F1460-Calc!F25))+((C1461=TRUE)*(F1461-Calc!F26))+B1470)/100)*(1+0.75*IF(C1446=TRUE,F1446,0)/100)*(1+(IF(Skills!A7="DARK_IMPALE",Inputs!$B$18+0,Inputs!$B$19+((C1458=TRUE)*(F1458-Calc!F23))))/100)*((1+(((C1448=TRUE)*F1448*IF(AND(Inputs!$B$39&lt;&gt;"pvp",Inputs!$B$44&gt;0),(((R1448-1)*(Skills!T13*(1+Inputs!$B$35/100))+MIN((Skills!T13*(1+Inputs!$B$35/100)),MAX(0,Inputs!$B$44-((R1448-1)*Skills!D13))))/Inputs!$B$44),IF(Inputs!$B$39="pvp",MIN((Skills!T13*(1+Inputs!$B$35/100)),15)/15,(Skills!T13*(1+Inputs!$B$35/100))/Skills!D13)))+((C1449=TRUE)*F1449*IF(AND(Inputs!$B$39&lt;&gt;"pvp",Inputs!$B$44&gt;0),(((R1449-1)*(Skills!T14*(1+Inputs!$B$35/100))+MIN((Skills!T14*(1+Inputs!$B$35/100)),MAX(0,Inputs!$B$44-((R1449-1)*Skills!D14))))/Inputs!$B$44),IF(Inputs!$B$39="pvp",MIN((Skills!T14*(1+Inputs!$B$35/100)),15)/15,(Skills!T14*(1+Inputs!$B$35/100))/Skills!D14)))+((C1450=TRUE)*F1450*IF(AND(Inputs!$B$39&lt;&gt;"pvp",Inputs!$B$44&gt;0),(((R1450-1)*(Skills!T15*(1+Inputs!$B$35/100))+MIN((Skills!T15*(1+Inputs!$B$35/100)),MAX(0,Inputs!$B$44-((R1450-1)*Skills!D15))))/Inputs!$B$44),IF(Inputs!$B$39="pvp",MIN((Skills!T15*(1+Inputs!$B$35/100)),15)/15,(Skills!T15*(1+Inputs!$B$35/100))/Skills!D15)))+((C1451=TRUE)*F1451*IF(AND(Inputs!$B$39&lt;&gt;"pvp",Inputs!$B$44&gt;0),(((R1451-1)*(Skills!T16*(1+Inputs!$B$35/100))+MIN((Skills!T16*(1+Inputs!$B$35/100)),MAX(0,Inputs!$B$44-((R1451-1)*Skills!D16))))/Inputs!$B$44),IF(Inputs!$B$39="pvp",MIN((Skills!T16*(1+Inputs!$B$35/100)),15)/15,(Skills!T16*(1+Inputs!$B$35/100))/Skills!D16)))+0)/100)*I1442)</f>
        <v/>
      </c>
      <c r="L1442">
        <f>K1442*(MIN(Inputs!$B$23+((C1457=TRUE)*(F1457-Calc!F22)),Inputs!$B$24+((C1459=TRUE)*(F1459-Calc!F24)))/100+(Inputs!$B$24+((C1459=TRUE)*(F1459-Calc!F24)))/100)/2</f>
        <v/>
      </c>
      <c r="M1442">
        <f>L1442*(1+(Inputs!$B$11+0+B1469)/100)</f>
        <v/>
      </c>
      <c r="N1442">
        <f>L1442*(1-MIN((Inputs!$B$10+0+B1464),100)/100)+M1442*(MIN((Inputs!$B$10+0+B1464),100)/100)</f>
        <v/>
      </c>
      <c r="O1442">
        <f>(1-Summary!$B$55)*T1442+Summary!$B$55*V1442</f>
        <v/>
      </c>
      <c r="P1442">
        <f>IF(B1474=0,0,O1442/B1474)</f>
        <v/>
      </c>
      <c r="Q1442">
        <f>IFERROR(1/IF(Inputs!$B$39="pvp",15,MAX(0.1,Skills!D7-IF(Skills!E7=TRUE,3.0,0))),0)</f>
        <v/>
      </c>
      <c r="R1442">
        <f>IF(AND(Inputs!$B$39&lt;&gt;"pvp",Inputs!$B$44&gt;0),IF(MAX(0,Inputs!$B$44-B1471)&lt;=0,0,(INT(MAX(0,Inputs!$B$44-B1471)/IF(Inputs!$B$39="pvp",15,MAX(0.1,Skills!D7-IF(Skills!E7=TRUE,3.0,0))))+1)),0)</f>
        <v/>
      </c>
      <c r="S1442">
        <f>IFERROR(O1442/N1442,0)</f>
        <v/>
      </c>
      <c r="T1442">
        <f>IF(C1442,(H1442*N1442*IF(AND(Inputs!$B$39&lt;&gt;"pvp",Inputs!$B$44&gt;0),((Skills!G7*((R1442-1)*IF(Skills!H7&gt;0,Skills!I7/Skills!H7,1)+IF(Skills!H7&gt;0,MIN(Skills!I7,MAX(0,MAX(0,Inputs!$B$44-B1471)-((R1442-1)*IF(Inputs!$B$39="pvp",15,MAX(0.1,Skills!D7-IF(Skills!E7=TRUE,3.0,0))))))/Skills!H7,1)))/Inputs!$B$44),G1442*Q1442))*IF(Inputs!$B$39="pvp",1,1+(Inputs!$B$21+0+Skills!P7+((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0)</f>
        <v/>
      </c>
      <c r="V1442">
        <f>IF(C1442,(H1442*N1442*IF(AND(Inputs!$B$39&lt;&gt;"pvp",Inputs!$B$44&gt;0),((Skills!G7*((R1442-1)*IF(Skills!H7&gt;0,Skills!I7/Skills!H7,1)+IF(Skills!H7&gt;0,MIN(Skills!I7,MAX(0,MAX(0,Inputs!$B$44-B1471)-((R1442-1)*IF(Inputs!$B$39="pvp",15,MAX(0.1,Skills!D7-IF(Skills!E7=TRUE,3.0,0))))))/Skills!H7,1)))/Inputs!$B$44),G1442*Q1442))*IF(Inputs!$B$39="pvp",1,(1+(Inputs!$B$22+Skills!Q7+((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MIN(Skills!R7,Inputs!$B$38))),0)</f>
        <v/>
      </c>
    </row>
    <row r="1443">
      <c r="A1443">
        <f>Skills!A8</f>
        <v/>
      </c>
      <c r="B1443">
        <f>Skills!B8</f>
        <v/>
      </c>
      <c r="C1443">
        <f>Inputs!$B$3&gt;=75</f>
        <v/>
      </c>
      <c r="D1443">
        <f>IF(Skills!C8=1,60+Inputs!$B$26+Inputs!$B$30,IF(Skills!C8=2,90+Inputs!$B$27+Inputs!$B$30,IF(Skills!C8=3,120+Inputs!$B$28+Inputs!$B$30,MAX(0,(Inputs!$B$3-100)*3)+Inputs!$B$29+Inputs!$B$30)))</f>
        <v/>
      </c>
      <c r="E1443">
        <f>INDEX(FactorTable!$B$2:$Y$301, MATCH(ROUND(MIN(300,MAX(1,D1443)),0), FactorTable!$A$2:$A$301,0), Skills!M8+1)</f>
        <v/>
      </c>
      <c r="F1443">
        <f>IF(Skills!N8=TRUE,(Skills!L8/10)*(E1443/1000),Skills!L8/10)+Skills!O8</f>
        <v/>
      </c>
      <c r="G1443" t="inlineStr"/>
      <c r="H1443" t="inlineStr"/>
      <c r="I1443" t="inlineStr">
        <is>
          <t>1</t>
        </is>
      </c>
      <c r="J1443" t="inlineStr"/>
      <c r="K1443" t="inlineStr"/>
      <c r="L1443" t="inlineStr"/>
      <c r="M1443" t="inlineStr"/>
      <c r="N1443" t="inlineStr"/>
      <c r="O1443" t="inlineStr"/>
      <c r="P1443" t="inlineStr"/>
      <c r="Q1443" t="inlineStr"/>
      <c r="R1443" t="inlineStr"/>
      <c r="S1443" t="inlineStr"/>
    </row>
    <row r="1444">
      <c r="A1444">
        <f>Skills!A9</f>
        <v/>
      </c>
      <c r="B1444">
        <f>Skills!B9</f>
        <v/>
      </c>
      <c r="C1444">
        <f>Inputs!$B$3&gt;=60</f>
        <v/>
      </c>
      <c r="D1444">
        <f>IF(Skills!C9=1,60+Inputs!$B$26+Inputs!$B$30,IF(Skills!C9=2,90+Inputs!$B$27+Inputs!$B$30,IF(Skills!C9=3,120+Inputs!$B$28+Inputs!$B$30,MAX(0,(Inputs!$B$3-100)*3)+Inputs!$B$29+Inputs!$B$30)))</f>
        <v/>
      </c>
      <c r="E1444">
        <f>INDEX(FactorTable!$B$2:$Y$301, MATCH(ROUND(MIN(300,MAX(1,D1444)),0), FactorTable!$A$2:$A$301,0), Skills!M9+1)</f>
        <v/>
      </c>
      <c r="F1444">
        <f>IF(Skills!N9=TRUE,(Skills!L9/10)*(E1444/1000),Skills!L9/10)+Skills!O9</f>
        <v/>
      </c>
      <c r="G1444">
        <f>Skills!G9*IF(Skills!H9&gt;0,Skills!I9/Skills!H9,1)</f>
        <v/>
      </c>
      <c r="H1444">
        <f>1-(1-Skills!J9/100)^Skills!K9</f>
        <v/>
      </c>
      <c r="I1444" t="inlineStr">
        <is>
          <t>1</t>
        </is>
      </c>
      <c r="J1444">
        <f>((Inputs!$B$6*(1+Inputs!$B$7/100))+(((Inputs!$B$13*(1+Inputs!$B$14/100))-(Inputs!$B$13*(1+Inputs!$B$14/100)))+0.25*(Inputs!$B$15-Inputs!$B$15))*(1+Inputs!$B$7/100))*(F1444/100)</f>
        <v/>
      </c>
      <c r="K1444">
        <f>J1444*(1+(((Inputs!$B$13+IF(Inputs!$B$3&gt;=38,(10*INDEX(FactorTable!$B$2:$Y$301, MATCH(ROUND(MIN(300,MAX(1,Inputs!$B$3)),0), FactorTable!$A$2:$A$301,0), 23)/1000)/100*(Inputs!$B$8*(1+Inputs!$B$9/100)),0))*(1+Inputs!$B$14/100))*0.01+Inputs!$B$15*0.0025)/100)*(1+Inputs!$B$16/100)*(1+Inputs!$B$17/100)*(5000/(6000+Inputs!$B$43*(1-(Inputs!$B$20+0)/100)))*(1+(Inputs!$B$25+((C1460=TRUE)*(F1460-Calc!F25))+((C1461=TRUE)*(F1461-Calc!F26))+B1470)/100)*(1+1.0*IF(C1446=TRUE,F1446,0)/100)*(1+(IF(Skills!A9="DARK_IMPALE",Inputs!$B$18+0,Inputs!$B$19+((C1458=TRUE)*(F1458-Calc!F23))))/100)*((1+(((C1448=TRUE)*F1448*IF(AND(Inputs!$B$39&lt;&gt;"pvp",Inputs!$B$44&gt;0),(((R1448-1)*(Skills!T13*(1+Inputs!$B$35/100))+MIN((Skills!T13*(1+Inputs!$B$35/100)),MAX(0,Inputs!$B$44-((R1448-1)*Skills!D13))))/Inputs!$B$44),IF(Inputs!$B$39="pvp",MIN((Skills!T13*(1+Inputs!$B$35/100)),15)/15,(Skills!T13*(1+Inputs!$B$35/100))/Skills!D13)))+((C1449=TRUE)*F1449*IF(AND(Inputs!$B$39&lt;&gt;"pvp",Inputs!$B$44&gt;0),(((R1449-1)*(Skills!T14*(1+Inputs!$B$35/100))+MIN((Skills!T14*(1+Inputs!$B$35/100)),MAX(0,Inputs!$B$44-((R1449-1)*Skills!D14))))/Inputs!$B$44),IF(Inputs!$B$39="pvp",MIN((Skills!T14*(1+Inputs!$B$35/100)),15)/15,(Skills!T14*(1+Inputs!$B$35/100))/Skills!D14)))+((C1450=TRUE)*F1450*IF(AND(Inputs!$B$39&lt;&gt;"pvp",Inputs!$B$44&gt;0),(((R1450-1)*(Skills!T15*(1+Inputs!$B$35/100))+MIN((Skills!T15*(1+Inputs!$B$35/100)),MAX(0,Inputs!$B$44-((R1450-1)*Skills!D15))))/Inputs!$B$44),IF(Inputs!$B$39="pvp",MIN((Skills!T15*(1+Inputs!$B$35/100)),15)/15,(Skills!T15*(1+Inputs!$B$35/100))/Skills!D15)))+((C1451=TRUE)*F1451*IF(AND(Inputs!$B$39&lt;&gt;"pvp",Inputs!$B$44&gt;0),(((R1451-1)*(Skills!T16*(1+Inputs!$B$35/100))+MIN((Skills!T16*(1+Inputs!$B$35/100)),MAX(0,Inputs!$B$44-((R1451-1)*Skills!D16))))/Inputs!$B$44),IF(Inputs!$B$39="pvp",MIN((Skills!T16*(1+Inputs!$B$35/100)),15)/15,(Skills!T16*(1+Inputs!$B$35/100))/Skills!D16)))+0)/100)*I1444)</f>
        <v/>
      </c>
      <c r="L1444">
        <f>K1444*(MIN(Inputs!$B$23+((C1457=TRUE)*(F1457-Calc!F22)),Inputs!$B$24+((C1459=TRUE)*(F1459-Calc!F24)))/100+(Inputs!$B$24+((C1459=TRUE)*(F1459-Calc!F24)))/100)/2</f>
        <v/>
      </c>
      <c r="M1444">
        <f>L1444*(1+(Inputs!$B$11+0+B1469)/100)</f>
        <v/>
      </c>
      <c r="N1444">
        <f>L1444*(1-MIN((Inputs!$B$10+0+B1464),100)/100)+M1444*(MIN((Inputs!$B$10+0+B1464),100)/100)</f>
        <v/>
      </c>
      <c r="O1444">
        <f>(1-Summary!$B$55)*T1444+Summary!$B$55*V1444</f>
        <v/>
      </c>
      <c r="P1444">
        <f>IF(B1474=0,0,O1444/B1474)</f>
        <v/>
      </c>
      <c r="Q1444">
        <f>IFERROR(1/IF(Inputs!$B$39="pvp",15,MAX(0.1,Skills!D9-IF(Skills!E9=TRUE,3.0,0))),0)</f>
        <v/>
      </c>
      <c r="R1444">
        <f>IF(AND(Inputs!$B$39&lt;&gt;"pvp",Inputs!$B$44&gt;0),IF(MAX(0,Inputs!$B$44-B1471)&lt;=0,0,(INT(MAX(0,Inputs!$B$44-B1471)/IF(Inputs!$B$39="pvp",15,MAX(0.1,Skills!D9-IF(Skills!E9=TRUE,3.0,0))))+1)),0)</f>
        <v/>
      </c>
      <c r="S1444">
        <f>IFERROR(O1444/N1444,0)</f>
        <v/>
      </c>
      <c r="T1444">
        <f>IF(C1444,(H1444*N1444*IF(AND(Inputs!$B$39&lt;&gt;"pvp",Inputs!$B$44&gt;0),((Skills!G9*((R1444-1)*IF(Skills!H9&gt;0,Skills!I9/Skills!H9,1)+IF(Skills!H9&gt;0,MIN(Skills!I9,MAX(0,MAX(0,Inputs!$B$44-B1471)-((R1444-1)*IF(Inputs!$B$39="pvp",15,MAX(0.1,Skills!D9-IF(Skills!E9=TRUE,3.0,0))))))/Skills!H9,1)))/Inputs!$B$44),G1444*Q1444))*IF(Inputs!$B$39="pvp",1,1+(Inputs!$B$21+0+Skills!P9+((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0)</f>
        <v/>
      </c>
      <c r="V1444">
        <f>IF(C1444,(H1444*N1444*IF(AND(Inputs!$B$39&lt;&gt;"pvp",Inputs!$B$44&gt;0),((Skills!G9*((R1444-1)*IF(Skills!H9&gt;0,Skills!I9/Skills!H9,1)+IF(Skills!H9&gt;0,MIN(Skills!I9,MAX(0,MAX(0,Inputs!$B$44-B1471)-((R1444-1)*IF(Inputs!$B$39="pvp",15,MAX(0.1,Skills!D9-IF(Skills!E9=TRUE,3.0,0))))))/Skills!H9,1)))/Inputs!$B$44),G1444*Q1444))*IF(Inputs!$B$39="pvp",1,(1+(Inputs!$B$22+Skills!Q9+((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MIN(Skills!R9,Inputs!$B$38))),0)</f>
        <v/>
      </c>
    </row>
    <row r="1445">
      <c r="A1445">
        <f>Skills!A10</f>
        <v/>
      </c>
      <c r="B1445">
        <f>Skills!B10</f>
        <v/>
      </c>
      <c r="C1445">
        <f>Inputs!$B$3&gt;=110</f>
        <v/>
      </c>
      <c r="D1445">
        <f>IF(Skills!C10=1,60+Inputs!$B$26+Inputs!$B$30,IF(Skills!C10=2,90+Inputs!$B$27+Inputs!$B$30,IF(Skills!C10=3,120+Inputs!$B$28+Inputs!$B$30,MAX(0,(Inputs!$B$3-100)*3)+Inputs!$B$29+Inputs!$B$30)))</f>
        <v/>
      </c>
      <c r="E1445">
        <f>INDEX(FactorTable!$B$2:$Y$301, MATCH(ROUND(MIN(300,MAX(1,D1445)),0), FactorTable!$A$2:$A$301,0), Skills!M10+1)</f>
        <v/>
      </c>
      <c r="F1445">
        <f>IF(Skills!N10=TRUE,(Skills!L10/10)*(E1445/1000),Skills!L10/10)+Skills!O10</f>
        <v/>
      </c>
      <c r="G1445">
        <f>Skills!G10*IF(Skills!H10&gt;0,Skills!I10/Skills!H10,1)</f>
        <v/>
      </c>
      <c r="H1445">
        <f>1-(1-Skills!J10/100)^Skills!K10</f>
        <v/>
      </c>
      <c r="I1445" t="inlineStr">
        <is>
          <t>1</t>
        </is>
      </c>
      <c r="J1445">
        <f>((Inputs!$B$6*(1+Inputs!$B$7/100))+(((Inputs!$B$13*(1+Inputs!$B$14/100))-(Inputs!$B$13*(1+Inputs!$B$14/100)))+0.25*(Inputs!$B$15-Inputs!$B$15))*(1+Inputs!$B$7/100))*(F1445/100)</f>
        <v/>
      </c>
      <c r="K1445">
        <f>J1445*(1+(((Inputs!$B$13+IF(Inputs!$B$3&gt;=38,(10*INDEX(FactorTable!$B$2:$Y$301, MATCH(ROUND(MIN(300,MAX(1,Inputs!$B$3)),0), FactorTable!$A$2:$A$301,0), 23)/1000)/100*(Inputs!$B$8*(1+Inputs!$B$9/100)),0))*(1+Inputs!$B$14/100))*0.01+Inputs!$B$15*0.0025)/100)*(1+Inputs!$B$16/100)*(1+Inputs!$B$17/100)*(5000/(6000+Inputs!$B$43*(1-(Inputs!$B$20+0)/100)))*(1+(Inputs!$B$25+((C1460=TRUE)*(F1460-Calc!F25))+((C1461=TRUE)*(F1461-Calc!F26))+B1470)/100)*(1+(IF(Skills!A10="DARK_IMPALE",Inputs!$B$18+0,Inputs!$B$19+((C1458=TRUE)*(F1458-Calc!F23))))/100)*((1+(((C1448=TRUE)*F1448*IF(AND(Inputs!$B$39&lt;&gt;"pvp",Inputs!$B$44&gt;0),(((R1448-1)*(Skills!T13*(1+Inputs!$B$35/100))+MIN((Skills!T13*(1+Inputs!$B$35/100)),MAX(0,Inputs!$B$44-((R1448-1)*Skills!D13))))/Inputs!$B$44),IF(Inputs!$B$39="pvp",MIN((Skills!T13*(1+Inputs!$B$35/100)),15)/15,(Skills!T13*(1+Inputs!$B$35/100))/Skills!D13)))+((C1449=TRUE)*F1449*IF(AND(Inputs!$B$39&lt;&gt;"pvp",Inputs!$B$44&gt;0),(((R1449-1)*(Skills!T14*(1+Inputs!$B$35/100))+MIN((Skills!T14*(1+Inputs!$B$35/100)),MAX(0,Inputs!$B$44-((R1449-1)*Skills!D14))))/Inputs!$B$44),IF(Inputs!$B$39="pvp",MIN((Skills!T14*(1+Inputs!$B$35/100)),15)/15,(Skills!T14*(1+Inputs!$B$35/100))/Skills!D14)))+((C1450=TRUE)*F1450*IF(AND(Inputs!$B$39&lt;&gt;"pvp",Inputs!$B$44&gt;0),(((R1450-1)*(Skills!T15*(1+Inputs!$B$35/100))+MIN((Skills!T15*(1+Inputs!$B$35/100)),MAX(0,Inputs!$B$44-((R1450-1)*Skills!D15))))/Inputs!$B$44),IF(Inputs!$B$39="pvp",MIN((Skills!T15*(1+Inputs!$B$35/100)),15)/15,(Skills!T15*(1+Inputs!$B$35/100))/Skills!D15)))+((C1451=TRUE)*F1451*IF(AND(Inputs!$B$39&lt;&gt;"pvp",Inputs!$B$44&gt;0),(((R1451-1)*(Skills!T16*(1+Inputs!$B$35/100))+MIN((Skills!T16*(1+Inputs!$B$35/100)),MAX(0,Inputs!$B$44-((R1451-1)*Skills!D16))))/Inputs!$B$44),IF(Inputs!$B$39="pvp",MIN((Skills!T16*(1+Inputs!$B$35/100)),15)/15,(Skills!T16*(1+Inputs!$B$35/100))/Skills!D16)))+0)/100)*I1445)</f>
        <v/>
      </c>
      <c r="L1445">
        <f>K1445*(MIN(Inputs!$B$23+((C1457=TRUE)*(F1457-Calc!F22)),Inputs!$B$24+((C1459=TRUE)*(F1459-Calc!F24)))/100+(Inputs!$B$24+((C1459=TRUE)*(F1459-Calc!F24)))/100)/2</f>
        <v/>
      </c>
      <c r="M1445">
        <f>L1445*(1+(Inputs!$B$11+0+B1469)/100)</f>
        <v/>
      </c>
      <c r="N1445">
        <f>L1445*(1-MIN((Inputs!$B$10+0+B1464),100)/100)+M1445*(MIN((Inputs!$B$10+0+B1464),100)/100)</f>
        <v/>
      </c>
      <c r="O1445">
        <f>(1-Summary!$B$55)*T1445+Summary!$B$55*V1445</f>
        <v/>
      </c>
      <c r="P1445">
        <f>IF(B1474=0,0,O1445/B1474)</f>
        <v/>
      </c>
      <c r="Q1445">
        <f>IFERROR(1/IF(Inputs!$B$39="pvp",15,MAX(0.1,Skills!D10-IF(Skills!E10=TRUE,3.0,0))),0)</f>
        <v/>
      </c>
      <c r="R1445">
        <f>IF(AND(Inputs!$B$39&lt;&gt;"pvp",Inputs!$B$44&gt;0),IF(MAX(0,Inputs!$B$44-B1471)&lt;=0,0,(INT(MAX(0,Inputs!$B$44-B1471)/IF(Inputs!$B$39="pvp",15,MAX(0.1,Skills!D10-IF(Skills!E10=TRUE,3.0,0))))+1)),0)</f>
        <v/>
      </c>
      <c r="S1445">
        <f>IFERROR(O1445/N1445,0)</f>
        <v/>
      </c>
      <c r="T1445">
        <f>IF(C1445,(H1445*N1445*IF(AND(Inputs!$B$39&lt;&gt;"pvp",Inputs!$B$44&gt;0),((Skills!G10*((R1445-1)*IF(Skills!H10&gt;0,Skills!I10/Skills!H10,1)+IF(Skills!H10&gt;0,MIN(Skills!I10,MAX(0,MAX(0,Inputs!$B$44-B1471)-((R1445-1)*IF(Inputs!$B$39="pvp",15,MAX(0.1,Skills!D10-IF(Skills!E10=TRUE,3.0,0))))))/Skills!H10,1)))/Inputs!$B$44),G1445*Q1445))*IF(Inputs!$B$39="pvp",1,1+(Inputs!$B$21+0+Skills!P10+((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0)</f>
        <v/>
      </c>
      <c r="V1445">
        <f>IF(C1445,(H1445*N1445*IF(AND(Inputs!$B$39&lt;&gt;"pvp",Inputs!$B$44&gt;0),((Skills!G10*((R1445-1)*IF(Skills!H10&gt;0,Skills!I10/Skills!H10,1)+IF(Skills!H10&gt;0,MIN(Skills!I10,MAX(0,MAX(0,Inputs!$B$44-B1471)-((R1445-1)*IF(Inputs!$B$39="pvp",15,MAX(0.1,Skills!D10-IF(Skills!E10=TRUE,3.0,0))))))/Skills!H10,1)))/Inputs!$B$44),G1445*Q1445))*IF(Inputs!$B$39="pvp",1,(1+(Inputs!$B$22+Skills!Q10+((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MIN(Skills!R10,Inputs!$B$38))),0)</f>
        <v/>
      </c>
    </row>
    <row r="1446">
      <c r="A1446">
        <f>Skills!A11</f>
        <v/>
      </c>
      <c r="B1446">
        <f>Skills!B11</f>
        <v/>
      </c>
      <c r="C1446">
        <f>Inputs!$B$3&gt;=100</f>
        <v/>
      </c>
      <c r="D1446">
        <f>IF(Skills!C11=1,60+Inputs!$B$26+Inputs!$B$30,IF(Skills!C11=2,90+Inputs!$B$27+Inputs!$B$30,IF(Skills!C11=3,120+Inputs!$B$28+Inputs!$B$30,MAX(0,(Inputs!$B$3-100)*3)+Inputs!$B$29+Inputs!$B$30)))</f>
        <v/>
      </c>
      <c r="E1446">
        <f>INDEX(FactorTable!$B$2:$Y$301, MATCH(ROUND(MIN(300,MAX(1,D1446)),0), FactorTable!$A$2:$A$301,0), Skills!M11+1)</f>
        <v/>
      </c>
      <c r="F1446">
        <f>IF(Skills!N11=TRUE,(Skills!L11/10)*(E1446/1000),Skills!L11/10)+Skills!O11</f>
        <v/>
      </c>
      <c r="G1446" t="inlineStr"/>
      <c r="H1446" t="inlineStr"/>
      <c r="I1446" t="inlineStr">
        <is>
          <t>1</t>
        </is>
      </c>
      <c r="J1446" t="inlineStr"/>
      <c r="K1446" t="inlineStr"/>
      <c r="L1446" t="inlineStr"/>
      <c r="M1446" t="inlineStr"/>
      <c r="N1446" t="inlineStr"/>
      <c r="O1446" t="inlineStr"/>
      <c r="P1446" t="inlineStr"/>
      <c r="Q1446" t="inlineStr"/>
      <c r="R1446" t="inlineStr"/>
      <c r="S1446" t="inlineStr"/>
    </row>
    <row r="1447">
      <c r="A1447">
        <f>Skills!A12</f>
        <v/>
      </c>
      <c r="B1447">
        <f>Skills!B12</f>
        <v/>
      </c>
      <c r="C1447">
        <f>Inputs!$B$3&gt;=63</f>
        <v/>
      </c>
      <c r="D1447">
        <f>IF(Skills!C12=1,60+Inputs!$B$26+Inputs!$B$30,IF(Skills!C12=2,90+Inputs!$B$27+Inputs!$B$30,IF(Skills!C12=3,120+Inputs!$B$28+Inputs!$B$30,MAX(0,(Inputs!$B$3-100)*3)+Inputs!$B$29+Inputs!$B$30)))</f>
        <v/>
      </c>
      <c r="E1447">
        <f>INDEX(FactorTable!$B$2:$Y$301, MATCH(ROUND(MIN(300,MAX(1,D1447)),0), FactorTable!$A$2:$A$301,0), Skills!M12+1)</f>
        <v/>
      </c>
      <c r="F1447">
        <f>IF(Skills!N12=TRUE,(Skills!L12/10)*(E1447/1000),Skills!L12/10)+Skills!O12</f>
        <v/>
      </c>
      <c r="G1447">
        <f>Skills!G12*IF(Skills!H12&gt;0,Skills!I12/Skills!H12,1)</f>
        <v/>
      </c>
      <c r="H1447">
        <f>1-(1-Skills!J12/100)^Skills!K12</f>
        <v/>
      </c>
      <c r="I1447" t="inlineStr">
        <is>
          <t>1</t>
        </is>
      </c>
      <c r="J1447">
        <f>((Inputs!$B$6*(1+Inputs!$B$7/100))+(((Inputs!$B$13*(1+Inputs!$B$14/100))-(Inputs!$B$13*(1+Inputs!$B$14/100)))+0.25*(Inputs!$B$15-Inputs!$B$15))*(1+Inputs!$B$7/100))*(F1447/100)</f>
        <v/>
      </c>
      <c r="K1447">
        <f>J1447*(1+(((Inputs!$B$13+IF(Inputs!$B$3&gt;=38,(10*INDEX(FactorTable!$B$2:$Y$301, MATCH(ROUND(MIN(300,MAX(1,Inputs!$B$3)),0), FactorTable!$A$2:$A$301,0), 23)/1000)/100*(Inputs!$B$8*(1+Inputs!$B$9/100)),0))*(1+Inputs!$B$14/100))*0.01+Inputs!$B$15*0.0025)/100)*(1+Inputs!$B$16/100)*(1+Inputs!$B$17/100)*(5000/(6000+Inputs!$B$43*(1-(Inputs!$B$20+0)/100)))*(1+(Inputs!$B$25+((C1460=TRUE)*(F1460-Calc!F25))+((C1461=TRUE)*(F1461-Calc!F26))+B1470)/100)*(1+0.75*IF(C1446=TRUE,F1446,0)/100)*(1+(IF(Skills!A12="DARK_IMPALE",Inputs!$B$18+0,Inputs!$B$19+((C1458=TRUE)*(F1458-Calc!F23))))/100)*((1+(((C1448=TRUE)*F1448*IF(AND(Inputs!$B$39&lt;&gt;"pvp",Inputs!$B$44&gt;0),(((R1448-1)*(Skills!T13*(1+Inputs!$B$35/100))+MIN((Skills!T13*(1+Inputs!$B$35/100)),MAX(0,Inputs!$B$44-((R1448-1)*Skills!D13))))/Inputs!$B$44),IF(Inputs!$B$39="pvp",MIN((Skills!T13*(1+Inputs!$B$35/100)),15)/15,(Skills!T13*(1+Inputs!$B$35/100))/Skills!D13)))+((C1449=TRUE)*F1449*IF(AND(Inputs!$B$39&lt;&gt;"pvp",Inputs!$B$44&gt;0),(((R1449-1)*(Skills!T14*(1+Inputs!$B$35/100))+MIN((Skills!T14*(1+Inputs!$B$35/100)),MAX(0,Inputs!$B$44-((R1449-1)*Skills!D14))))/Inputs!$B$44),IF(Inputs!$B$39="pvp",MIN((Skills!T14*(1+Inputs!$B$35/100)),15)/15,(Skills!T14*(1+Inputs!$B$35/100))/Skills!D14)))+((C1450=TRUE)*F1450*IF(AND(Inputs!$B$39&lt;&gt;"pvp",Inputs!$B$44&gt;0),(((R1450-1)*(Skills!T15*(1+Inputs!$B$35/100))+MIN((Skills!T15*(1+Inputs!$B$35/100)),MAX(0,Inputs!$B$44-((R1450-1)*Skills!D15))))/Inputs!$B$44),IF(Inputs!$B$39="pvp",MIN((Skills!T15*(1+Inputs!$B$35/100)),15)/15,(Skills!T15*(1+Inputs!$B$35/100))/Skills!D15)))+((C1451=TRUE)*F1451*IF(AND(Inputs!$B$39&lt;&gt;"pvp",Inputs!$B$44&gt;0),(((R1451-1)*(Skills!T16*(1+Inputs!$B$35/100))+MIN((Skills!T16*(1+Inputs!$B$35/100)),MAX(0,Inputs!$B$44-((R1451-1)*Skills!D16))))/Inputs!$B$44),IF(Inputs!$B$39="pvp",MIN((Skills!T16*(1+Inputs!$B$35/100)),15)/15,(Skills!T16*(1+Inputs!$B$35/100))/Skills!D16)))+0)/100)*I1447)</f>
        <v/>
      </c>
      <c r="L1447">
        <f>K1447*(MIN(Inputs!$B$23+((C1457=TRUE)*(F1457-Calc!F22)),Inputs!$B$24+((C1459=TRUE)*(F1459-Calc!F24)))/100+(Inputs!$B$24+((C1459=TRUE)*(F1459-Calc!F24)))/100)/2</f>
        <v/>
      </c>
      <c r="M1447">
        <f>L1447*(1+(Inputs!$B$11+0+B1469)/100)</f>
        <v/>
      </c>
      <c r="N1447">
        <f>L1447*(1-MIN((Inputs!$B$10+0+B1464),100)/100)+M1447*(MIN((Inputs!$B$10+0+B1464),100)/100)</f>
        <v/>
      </c>
      <c r="O1447">
        <f>(1-Summary!$B$55)*T1447+Summary!$B$55*V1447</f>
        <v/>
      </c>
      <c r="P1447">
        <f>IF(B1474=0,0,O1447/B1474)</f>
        <v/>
      </c>
      <c r="Q1447">
        <f>IFERROR(1/IF(Inputs!$B$39="pvp",15,MAX(0.1,Skills!D12-IF(Skills!E12=TRUE,3.0,0))),0)</f>
        <v/>
      </c>
      <c r="R1447">
        <f>IF(AND(Inputs!$B$39&lt;&gt;"pvp",Inputs!$B$44&gt;0),IF(MAX(0,Inputs!$B$44-B1471)&lt;=0,0,(INT(MAX(0,Inputs!$B$44-B1471)/IF(Inputs!$B$39="pvp",15,MAX(0.1,Skills!D12-IF(Skills!E12=TRUE,3.0,0))))+1)),0)</f>
        <v/>
      </c>
      <c r="S1447">
        <f>IFERROR(O1447/N1447,0)</f>
        <v/>
      </c>
      <c r="T1447">
        <f>IF(C1447,(H1447*N1447*IF(AND(Inputs!$B$39&lt;&gt;"pvp",Inputs!$B$44&gt;0),((Skills!G12*((R1447-1)*IF(Skills!H12&gt;0,Skills!I12/Skills!H12,1)+IF(Skills!H12&gt;0,MIN(Skills!I12,MAX(0,MAX(0,Inputs!$B$44-B1471)-((R1447-1)*IF(Inputs!$B$39="pvp",15,MAX(0.1,Skills!D12-IF(Skills!E12=TRUE,3.0,0))))))/Skills!H12,1)))/Inputs!$B$44),G1447*Q1447))*IF(Inputs!$B$39="pvp",1,1+(Inputs!$B$21+0+Skills!P12+((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0)</f>
        <v/>
      </c>
      <c r="V1447">
        <f>IF(C1447,(H1447*N1447*IF(AND(Inputs!$B$39&lt;&gt;"pvp",Inputs!$B$44&gt;0),((Skills!G12*((R1447-1)*IF(Skills!H12&gt;0,Skills!I12/Skills!H12,1)+IF(Skills!H12&gt;0,MIN(Skills!I12,MAX(0,MAX(0,Inputs!$B$44-B1471)-((R1447-1)*IF(Inputs!$B$39="pvp",15,MAX(0.1,Skills!D12-IF(Skills!E12=TRUE,3.0,0))))))/Skills!H12,1)))/Inputs!$B$44),G1447*Q1447))*IF(Inputs!$B$39="pvp",1,(1+(Inputs!$B$22+Skills!Q12+((C1452=TRUE)*F1452*IF(AND(Inputs!$B$39&lt;&gt;"pvp",Inputs!$B$44&gt;0),(((R1452-1)*(Skills!T17*(1+Inputs!$B$35/100))+MIN((Skills!T17*(1+Inputs!$B$35/100)),MAX(0,Inputs!$B$44-((R1452-1)*Skills!D17))))/Inputs!$B$44),IF(Inputs!$B$39="pvp",MIN((Skills!T17*(1+Inputs!$B$35/100)),15)/15,(Skills!T17*(1+Inputs!$B$35/100))/Skills!D17)))+((C1449=TRUE)*IF(Inputs!$B$39="pvp",20,(1-Summary!$B$55)*(20)+Summary!$B$55*(0))*IF(AND(Inputs!$B$39&lt;&gt;"pvp",Inputs!$B$44&gt;0),(((R1449-1)*(Skills!T14*(1+Inputs!$B$35/100))+MIN((Skills!T14*(1+Inputs!$B$35/100)),MAX(0,Inputs!$B$44-((R1449-1)*Skills!D14))))/Inputs!$B$44),IF(Inputs!$B$39="pvp",MIN((Skills!T14*(1+Inputs!$B$35/100)),15)/15,(Skills!T14*(1+Inputs!$B$35/100))/Skills!D14))))/100)*(MIN(Skills!R12,Inputs!$B$38))),0)</f>
        <v/>
      </c>
    </row>
    <row r="1448">
      <c r="A1448">
        <f>Skills!A13</f>
        <v/>
      </c>
      <c r="B1448">
        <f>Skills!B13</f>
        <v/>
      </c>
      <c r="C1448">
        <f>Inputs!$B$3&gt;=69</f>
        <v/>
      </c>
      <c r="D1448">
        <f>IF(Skills!C13=1,60+Inputs!$B$26+Inputs!$B$30,IF(Skills!C13=2,90+Inputs!$B$27+Inputs!$B$30,IF(Skills!C13=3,120+Inputs!$B$28+Inputs!$B$30,MAX(0,(Inputs!$B$3-100)*3)+Inputs!$B$29+Inputs!$B$30)))</f>
        <v/>
      </c>
      <c r="E1448">
        <f>INDEX(FactorTable!$B$2:$Y$301, MATCH(ROUND(MIN(300,MAX(1,D1448)),0), FactorTable!$A$2:$A$301,0), Skills!M13+1)</f>
        <v/>
      </c>
      <c r="F1448">
        <f>IF(Skills!N13=TRUE,(Skills!L13/10)*(E1448/1000),Skills!L13/10)+Skills!O13</f>
        <v/>
      </c>
      <c r="G1448">
        <f>Skills!G13*IF(Skills!H13&gt;0,Skills!I13/Skills!H13,1)</f>
        <v/>
      </c>
      <c r="H1448">
        <f>1-(1-Skills!J13/100)^Skills!K13</f>
        <v/>
      </c>
      <c r="I1448" t="inlineStr">
        <is>
          <t>1</t>
        </is>
      </c>
      <c r="J1448" t="inlineStr"/>
      <c r="K1448" t="inlineStr"/>
      <c r="L1448" t="inlineStr"/>
      <c r="M1448" t="inlineStr"/>
      <c r="N1448" t="inlineStr"/>
      <c r="O1448">
        <f>(1-Summary!$B$55)*T1448+Summary!$B$55*V1448</f>
        <v/>
      </c>
      <c r="P1448">
        <f>IF(B1474=0,0,O1448/B1474)</f>
        <v/>
      </c>
      <c r="Q1448">
        <f>IFERROR(1/IF(Inputs!$B$39="pvp",15,MAX(0.1,Skills!D13-IF(Skills!E13=TRUE,3.0,0))),0)</f>
        <v/>
      </c>
      <c r="R1448">
        <f>IF(AND(Inputs!$B$39&lt;&gt;"pvp",Inputs!$B$44&gt;0),IF(Inputs!$B$44&lt;=0,0,(INT(Inputs!$B$44/IF(Inputs!$B$39="pvp",15,MAX(0.1,Skills!D13-IF(Skills!E13=TRUE,3.0,0))))+1)),0)</f>
        <v/>
      </c>
      <c r="S1448">
        <f>IFERROR(O1448/N1448,0)</f>
        <v/>
      </c>
      <c r="T1448" t="n">
        <v>0</v>
      </c>
      <c r="V1448" t="n">
        <v>0</v>
      </c>
    </row>
    <row r="1449">
      <c r="A1449">
        <f>Skills!A14</f>
        <v/>
      </c>
      <c r="B1449">
        <f>Skills!B14</f>
        <v/>
      </c>
      <c r="C1449">
        <f>Inputs!$B$3&gt;=115</f>
        <v/>
      </c>
      <c r="D1449">
        <f>IF(Skills!C14=1,60+Inputs!$B$26+Inputs!$B$30,IF(Skills!C14=2,90+Inputs!$B$27+Inputs!$B$30,IF(Skills!C14=3,120+Inputs!$B$28+Inputs!$B$30,MAX(0,(Inputs!$B$3-100)*3)+Inputs!$B$29+Inputs!$B$30)))</f>
        <v/>
      </c>
      <c r="E1449">
        <f>INDEX(FactorTable!$B$2:$Y$301, MATCH(ROUND(MIN(300,MAX(1,D1449)),0), FactorTable!$A$2:$A$301,0), Skills!M14+1)</f>
        <v/>
      </c>
      <c r="F1449">
        <f>IF(Skills!N14=TRUE,(Skills!L14/10)*(E1449/1000),Skills!L14/10)+Skills!O14</f>
        <v/>
      </c>
      <c r="G1449">
        <f>Skills!G14*IF(Skills!H14&gt;0,Skills!I14/Skills!H14,1)</f>
        <v/>
      </c>
      <c r="H1449">
        <f>1-(1-Skills!J14/100)^Skills!K14</f>
        <v/>
      </c>
      <c r="I1449" t="inlineStr">
        <is>
          <t>1</t>
        </is>
      </c>
      <c r="J1449" t="inlineStr"/>
      <c r="K1449" t="inlineStr"/>
      <c r="L1449" t="inlineStr"/>
      <c r="M1449" t="inlineStr"/>
      <c r="N1449" t="inlineStr"/>
      <c r="O1449">
        <f>(1-Summary!$B$55)*T1449+Summary!$B$55*V1449</f>
        <v/>
      </c>
      <c r="P1449">
        <f>IF(B1474=0,0,O1449/B1474)</f>
        <v/>
      </c>
      <c r="Q1449">
        <f>IFERROR(1/IF(Inputs!$B$39="pvp",15,MAX(0.1,Skills!D14-IF(Skills!E14=TRUE,3.0,0))),0)</f>
        <v/>
      </c>
      <c r="R1449">
        <f>IF(AND(Inputs!$B$39&lt;&gt;"pvp",Inputs!$B$44&gt;0),IF(Inputs!$B$44&lt;=0,0,(INT(Inputs!$B$44/IF(Inputs!$B$39="pvp",15,MAX(0.1,Skills!D14-IF(Skills!E14=TRUE,3.0,0))))+1)),0)</f>
        <v/>
      </c>
      <c r="S1449">
        <f>IFERROR(O1449/N1449,0)</f>
        <v/>
      </c>
      <c r="T1449" t="n">
        <v>0</v>
      </c>
      <c r="V1449" t="n">
        <v>0</v>
      </c>
    </row>
    <row r="1450">
      <c r="A1450">
        <f>Skills!A15</f>
        <v/>
      </c>
      <c r="B1450">
        <f>Skills!B15</f>
        <v/>
      </c>
      <c r="C1450">
        <f>Inputs!$B$3&gt;=66</f>
        <v/>
      </c>
      <c r="D1450">
        <f>IF(Skills!C15=1,60+Inputs!$B$26+Inputs!$B$30,IF(Skills!C15=2,90+Inputs!$B$27+Inputs!$B$30,IF(Skills!C15=3,120+Inputs!$B$28+Inputs!$B$30,MAX(0,(Inputs!$B$3-100)*3)+Inputs!$B$29+Inputs!$B$30)))</f>
        <v/>
      </c>
      <c r="E1450">
        <f>INDEX(FactorTable!$B$2:$Y$301, MATCH(ROUND(MIN(300,MAX(1,D1450)),0), FactorTable!$A$2:$A$301,0), Skills!M15+1)</f>
        <v/>
      </c>
      <c r="F1450">
        <f>IF(Skills!N15=TRUE,(Skills!L15/10)*(E1450/1000),Skills!L15/10)+Skills!O15</f>
        <v/>
      </c>
      <c r="G1450">
        <f>Skills!G15*IF(Skills!H15&gt;0,Skills!I15/Skills!H15,1)</f>
        <v/>
      </c>
      <c r="H1450">
        <f>1-(1-Skills!J15/100)^Skills!K15</f>
        <v/>
      </c>
      <c r="I1450" t="inlineStr">
        <is>
          <t>1</t>
        </is>
      </c>
      <c r="J1450" t="inlineStr"/>
      <c r="K1450" t="inlineStr"/>
      <c r="L1450" t="inlineStr"/>
      <c r="M1450" t="inlineStr"/>
      <c r="N1450" t="inlineStr"/>
      <c r="O1450">
        <f>(1-Summary!$B$55)*T1450+Summary!$B$55*V1450</f>
        <v/>
      </c>
      <c r="P1450">
        <f>IF(B1474=0,0,O1450/B1474)</f>
        <v/>
      </c>
      <c r="Q1450">
        <f>IFERROR(1/IF(Inputs!$B$39="pvp",15,MAX(0.1,Skills!D15-IF(Skills!E15=TRUE,3.0,0))),0)</f>
        <v/>
      </c>
      <c r="R1450">
        <f>IF(AND(Inputs!$B$39&lt;&gt;"pvp",Inputs!$B$44&gt;0),IF(Inputs!$B$44&lt;=0,0,(INT(Inputs!$B$44/IF(Inputs!$B$39="pvp",15,MAX(0.1,Skills!D15-IF(Skills!E15=TRUE,3.0,0))))+1)),0)</f>
        <v/>
      </c>
      <c r="S1450">
        <f>IFERROR(O1450/N1450,0)</f>
        <v/>
      </c>
      <c r="T1450" t="n">
        <v>0</v>
      </c>
      <c r="V1450" t="n">
        <v>0</v>
      </c>
    </row>
    <row r="1451">
      <c r="A1451">
        <f>Skills!A16</f>
        <v/>
      </c>
      <c r="B1451">
        <f>Skills!B16</f>
        <v/>
      </c>
      <c r="C1451">
        <f>Inputs!$B$3&gt;=45</f>
        <v/>
      </c>
      <c r="D1451">
        <f>IF(Skills!C16=1,60+Inputs!$B$26+Inputs!$B$30,IF(Skills!C16=2,90+Inputs!$B$27+Inputs!$B$30,IF(Skills!C16=3,120+Inputs!$B$28+Inputs!$B$30,MAX(0,(Inputs!$B$3-100)*3)+Inputs!$B$29+Inputs!$B$30)))</f>
        <v/>
      </c>
      <c r="E1451">
        <f>INDEX(FactorTable!$B$2:$Y$301, MATCH(ROUND(MIN(300,MAX(1,D1451)),0), FactorTable!$A$2:$A$301,0), Skills!M16+1)</f>
        <v/>
      </c>
      <c r="F1451">
        <f>IF(Skills!N16=TRUE,(Skills!L16/10)*(E1451/1000),Skills!L16/10)+Skills!O16</f>
        <v/>
      </c>
      <c r="G1451">
        <f>Skills!G16*IF(Skills!H16&gt;0,Skills!I16/Skills!H16,1)</f>
        <v/>
      </c>
      <c r="H1451">
        <f>1-(1-Skills!J16/100)^Skills!K16</f>
        <v/>
      </c>
      <c r="I1451" t="inlineStr">
        <is>
          <t>1</t>
        </is>
      </c>
      <c r="J1451" t="inlineStr"/>
      <c r="K1451" t="inlineStr"/>
      <c r="L1451" t="inlineStr"/>
      <c r="M1451" t="inlineStr"/>
      <c r="N1451" t="inlineStr"/>
      <c r="O1451">
        <f>(1-Summary!$B$55)*T1451+Summary!$B$55*V1451</f>
        <v/>
      </c>
      <c r="P1451">
        <f>IF(B1474=0,0,O1451/B1474)</f>
        <v/>
      </c>
      <c r="Q1451">
        <f>IFERROR(1/IF(Inputs!$B$39="pvp",15,MAX(0.1,Skills!D16-IF(Skills!E16=TRUE,3.0,0))),0)</f>
        <v/>
      </c>
      <c r="R1451">
        <f>IF(AND(Inputs!$B$39&lt;&gt;"pvp",Inputs!$B$44&gt;0),IF(Inputs!$B$44&lt;=0,0,(INT(Inputs!$B$44/IF(Inputs!$B$39="pvp",15,MAX(0.1,Skills!D16-IF(Skills!E16=TRUE,3.0,0))))+1)),0)</f>
        <v/>
      </c>
      <c r="S1451">
        <f>IFERROR(O1451/N1451,0)</f>
        <v/>
      </c>
      <c r="T1451" t="n">
        <v>0</v>
      </c>
      <c r="V1451" t="n">
        <v>0</v>
      </c>
    </row>
    <row r="1452">
      <c r="A1452">
        <f>Skills!A17</f>
        <v/>
      </c>
      <c r="B1452">
        <f>Skills!B17</f>
        <v/>
      </c>
      <c r="C1452">
        <f>Inputs!$B$3&gt;=35</f>
        <v/>
      </c>
      <c r="D1452">
        <f>IF(Skills!C17=1,60+Inputs!$B$26+Inputs!$B$30,IF(Skills!C17=2,90+Inputs!$B$27+Inputs!$B$30,IF(Skills!C17=3,120+Inputs!$B$28+Inputs!$B$30,MAX(0,(Inputs!$B$3-100)*3)+Inputs!$B$29+Inputs!$B$30)))</f>
        <v/>
      </c>
      <c r="E1452">
        <f>INDEX(FactorTable!$B$2:$Y$301, MATCH(ROUND(MIN(300,MAX(1,D1452)),0), FactorTable!$A$2:$A$301,0), Skills!M17+1)</f>
        <v/>
      </c>
      <c r="F1452">
        <f>IF(Skills!N17=TRUE,(Skills!L17/10)*(E1452/1000),Skills!L17/10)+Skills!O17</f>
        <v/>
      </c>
      <c r="G1452">
        <f>Skills!G17*IF(Skills!H17&gt;0,Skills!I17/Skills!H17,1)</f>
        <v/>
      </c>
      <c r="H1452">
        <f>1-(1-Skills!J17/100)^Skills!K17</f>
        <v/>
      </c>
      <c r="I1452" t="inlineStr">
        <is>
          <t>1</t>
        </is>
      </c>
      <c r="J1452" t="inlineStr"/>
      <c r="K1452" t="inlineStr"/>
      <c r="L1452" t="inlineStr"/>
      <c r="M1452" t="inlineStr"/>
      <c r="N1452" t="inlineStr"/>
      <c r="O1452">
        <f>(1-Summary!$B$55)*T1452+Summary!$B$55*V1452</f>
        <v/>
      </c>
      <c r="P1452">
        <f>IF(B1474=0,0,O1452/B1474)</f>
        <v/>
      </c>
      <c r="Q1452">
        <f>IFERROR(1/IF(Inputs!$B$39="pvp",15,MAX(0.1,Skills!D17-IF(Skills!E17=TRUE,3.0,0))),0)</f>
        <v/>
      </c>
      <c r="R1452">
        <f>IF(AND(Inputs!$B$39&lt;&gt;"pvp",Inputs!$B$44&gt;0),IF(Inputs!$B$44&lt;=0,0,(INT(Inputs!$B$44/IF(Inputs!$B$39="pvp",15,MAX(0.1,Skills!D17-IF(Skills!E17=TRUE,3.0,0))))+1)),0)</f>
        <v/>
      </c>
      <c r="S1452">
        <f>IFERROR(O1452/N1452,0)</f>
        <v/>
      </c>
      <c r="T1452" t="n">
        <v>0</v>
      </c>
      <c r="V1452" t="n">
        <v>0</v>
      </c>
    </row>
    <row r="1453">
      <c r="A1453">
        <f>Skills!A18</f>
        <v/>
      </c>
      <c r="B1453">
        <f>Skills!B18</f>
        <v/>
      </c>
      <c r="C1453">
        <f>Inputs!$B$3&gt;=72</f>
        <v/>
      </c>
      <c r="D1453">
        <f>IF(Skills!C18=1,60+Inputs!$B$26+Inputs!$B$30,IF(Skills!C18=2,90+Inputs!$B$27+Inputs!$B$30,IF(Skills!C18=3,120+Inputs!$B$28+Inputs!$B$30,MAX(0,(Inputs!$B$3-100)*3)+Inputs!$B$29+Inputs!$B$30)))</f>
        <v/>
      </c>
      <c r="E1453">
        <f>INDEX(FactorTable!$B$2:$Y$301, MATCH(ROUND(MIN(300,MAX(1,D1453)),0), FactorTable!$A$2:$A$301,0), Skills!M18+1)</f>
        <v/>
      </c>
      <c r="F1453">
        <f>IF(Skills!N18=TRUE,(Skills!L18/10)*(E1453/1000),Skills!L18/10)+Skills!O18</f>
        <v/>
      </c>
      <c r="G1453">
        <f>Skills!G18*IF(Skills!H18&gt;0,Skills!I18/Skills!H18,1)</f>
        <v/>
      </c>
      <c r="H1453">
        <f>1-(1-Skills!J18/100)^Skills!K18</f>
        <v/>
      </c>
      <c r="I1453" t="inlineStr">
        <is>
          <t>1</t>
        </is>
      </c>
      <c r="J1453" t="inlineStr"/>
      <c r="K1453" t="inlineStr"/>
      <c r="L1453" t="inlineStr"/>
      <c r="M1453" t="inlineStr"/>
      <c r="N1453" t="inlineStr"/>
      <c r="O1453">
        <f>(1-Summary!$B$55)*T1453+Summary!$B$55*V1453</f>
        <v/>
      </c>
      <c r="P1453">
        <f>IF(B1474=0,0,O1453/B1474)</f>
        <v/>
      </c>
      <c r="Q1453">
        <f>IFERROR(1/IF(Inputs!$B$39="pvp",15,MAX(0.1,Skills!D18-IF(Skills!E18=TRUE,3.0,0))),0)</f>
        <v/>
      </c>
      <c r="R1453">
        <f>IF(AND(Inputs!$B$39&lt;&gt;"pvp",Inputs!$B$44&gt;0),IF(Inputs!$B$44&lt;=0,0,(INT(Inputs!$B$44/IF(Inputs!$B$39="pvp",15,MAX(0.1,Skills!D18-IF(Skills!E18=TRUE,3.0,0))))+1)),0)</f>
        <v/>
      </c>
      <c r="S1453">
        <f>IFERROR(O1453/N1453,0)</f>
        <v/>
      </c>
      <c r="T1453" t="n">
        <v>0</v>
      </c>
      <c r="V1453" t="n">
        <v>0</v>
      </c>
    </row>
    <row r="1454">
      <c r="A1454">
        <f>Skills!A19</f>
        <v/>
      </c>
      <c r="B1454">
        <f>Skills!B19</f>
        <v/>
      </c>
      <c r="C1454">
        <f>Inputs!$B$3&gt;=72</f>
        <v/>
      </c>
      <c r="D1454">
        <f>IF(Skills!C19=1,60+Inputs!$B$26+Inputs!$B$30,IF(Skills!C19=2,90+Inputs!$B$27+Inputs!$B$30,IF(Skills!C19=3,120+Inputs!$B$28+Inputs!$B$30,MAX(0,(Inputs!$B$3-100)*3)+Inputs!$B$29+Inputs!$B$30)))</f>
        <v/>
      </c>
      <c r="E1454">
        <f>INDEX(FactorTable!$B$2:$Y$301, MATCH(ROUND(MIN(300,MAX(1,D1454)),0), FactorTable!$A$2:$A$301,0), Skills!M19+1)</f>
        <v/>
      </c>
      <c r="F1454">
        <f>IF(Skills!N19=TRUE,(Skills!L19/10)*(E1454/1000),Skills!L19/10)+Skills!O19</f>
        <v/>
      </c>
      <c r="G1454">
        <f>Skills!G19*IF(Skills!H19&gt;0,Skills!I19/Skills!H19,1)</f>
        <v/>
      </c>
      <c r="H1454">
        <f>1-(1-Skills!J19/100)^Skills!K19</f>
        <v/>
      </c>
      <c r="I1454" t="inlineStr">
        <is>
          <t>1</t>
        </is>
      </c>
      <c r="J1454" t="inlineStr"/>
      <c r="K1454" t="inlineStr"/>
      <c r="L1454" t="inlineStr"/>
      <c r="M1454" t="inlineStr"/>
      <c r="N1454" t="inlineStr"/>
      <c r="O1454">
        <f>(1-Summary!$B$55)*T1454+Summary!$B$55*V1454</f>
        <v/>
      </c>
      <c r="P1454">
        <f>IF(B1474=0,0,O1454/B1474)</f>
        <v/>
      </c>
      <c r="Q1454">
        <f>IFERROR(1/IF(Inputs!$B$39="pvp",15,MAX(0.1,Skills!D19-IF(Skills!E19=TRUE,3.0,0))),0)</f>
        <v/>
      </c>
      <c r="R1454">
        <f>IF(AND(Inputs!$B$39&lt;&gt;"pvp",Inputs!$B$44&gt;0),IF(Inputs!$B$44&lt;=0,0,(INT(Inputs!$B$44/IF(Inputs!$B$39="pvp",15,MAX(0.1,Skills!D19-IF(Skills!E19=TRUE,3.0,0))))+1)),0)</f>
        <v/>
      </c>
      <c r="S1454">
        <f>IFERROR(O1454/N1454,0)</f>
        <v/>
      </c>
      <c r="T1454" t="n">
        <v>0</v>
      </c>
      <c r="V1454" t="n">
        <v>0</v>
      </c>
    </row>
    <row r="1455">
      <c r="A1455">
        <f>Skills!A20</f>
        <v/>
      </c>
      <c r="B1455">
        <f>Skills!B20</f>
        <v/>
      </c>
      <c r="C1455">
        <f>TRUE</f>
        <v/>
      </c>
      <c r="D1455">
        <f>IF(Skills!C20=1,60+Inputs!$B$26+Inputs!$B$30,IF(Skills!C20=2,90+Inputs!$B$27+Inputs!$B$30,IF(Skills!C20=3,120+Inputs!$B$28+Inputs!$B$30,MAX(0,(Inputs!$B$3-100)*3)+Inputs!$B$29+Inputs!$B$30)))</f>
        <v/>
      </c>
      <c r="E1455">
        <f>INDEX(FactorTable!$B$2:$Y$301, MATCH(ROUND(MIN(300,MAX(1,D1455)),0), FactorTable!$A$2:$A$301,0), Skills!M20+1)</f>
        <v/>
      </c>
      <c r="F1455">
        <f>IF(Skills!N20=TRUE,(Skills!L20/10)*(E1455/1000),Skills!L20/10)+Skills!O20</f>
        <v/>
      </c>
      <c r="G1455">
        <f>Skills!G20*IF(Skills!H20&gt;0,Skills!I20/Skills!H20,1)</f>
        <v/>
      </c>
      <c r="H1455">
        <f>1-(1-Skills!J20/100)^Skills!K20</f>
        <v/>
      </c>
      <c r="I1455" t="inlineStr">
        <is>
          <t>1</t>
        </is>
      </c>
      <c r="J1455" t="inlineStr"/>
      <c r="K1455" t="inlineStr"/>
      <c r="L1455" t="inlineStr"/>
      <c r="M1455" t="inlineStr"/>
      <c r="N1455" t="inlineStr"/>
      <c r="O1455">
        <f>(1-Summary!$B$55)*T1455+Summary!$B$55*V1455</f>
        <v/>
      </c>
      <c r="P1455">
        <f>IF(B1474=0,0,O1455/B1474)</f>
        <v/>
      </c>
      <c r="Q1455">
        <f>IFERROR(1/IF(Inputs!$B$39="pvp",15,MAX(0.1,Skills!D20-IF(Skills!E20=TRUE,3.0,0))),0)</f>
        <v/>
      </c>
      <c r="R1455">
        <f>IF(AND(Inputs!$B$39&lt;&gt;"pvp",Inputs!$B$44&gt;0),IF(Inputs!$B$44&lt;=0,0,(INT(Inputs!$B$44/IF(Inputs!$B$39="pvp",15,MAX(0.1,Skills!D20-IF(Skills!E20=TRUE,3.0,0))))+1)),0)</f>
        <v/>
      </c>
      <c r="S1455">
        <f>IFERROR(O1455/N1455,0)</f>
        <v/>
      </c>
      <c r="T1455" t="n">
        <v>0</v>
      </c>
      <c r="V1455" t="n">
        <v>0</v>
      </c>
    </row>
    <row r="1456">
      <c r="A1456">
        <f>Skills!A21</f>
        <v/>
      </c>
      <c r="B1456">
        <f>Skills!B21</f>
        <v/>
      </c>
      <c r="C1456">
        <f>Inputs!$B$3&gt;=33</f>
        <v/>
      </c>
      <c r="D1456">
        <f>IF(Skills!C21=1,60+Inputs!$B$26+Inputs!$B$30,IF(Skills!C21=2,90+Inputs!$B$27+Inputs!$B$30,IF(Skills!C21=3,120+Inputs!$B$28+Inputs!$B$30,MAX(0,(Inputs!$B$3-100)*3)+Inputs!$B$29+Inputs!$B$30)))</f>
        <v/>
      </c>
      <c r="E1456">
        <f>INDEX(FactorTable!$B$2:$Y$301, MATCH(ROUND(MIN(300,MAX(1,D1456)),0), FactorTable!$A$2:$A$301,0), Skills!M21+1)</f>
        <v/>
      </c>
      <c r="F1456">
        <f>IF(Skills!N21=TRUE,(Skills!L21/10)*(E1456/1000),Skills!L21/10)+Skills!O21</f>
        <v/>
      </c>
      <c r="G1456">
        <f>Skills!G21*IF(Skills!H21&gt;0,Skills!I21/Skills!H21,1)</f>
        <v/>
      </c>
      <c r="H1456">
        <f>1-(1-Skills!J21/100)^Skills!K21</f>
        <v/>
      </c>
      <c r="I1456" t="inlineStr">
        <is>
          <t>1</t>
        </is>
      </c>
      <c r="J1456" t="inlineStr"/>
      <c r="K1456" t="inlineStr"/>
      <c r="L1456" t="inlineStr"/>
      <c r="M1456" t="inlineStr"/>
      <c r="N1456" t="inlineStr"/>
      <c r="O1456">
        <f>(1-Summary!$B$55)*T1456+Summary!$B$55*V1456</f>
        <v/>
      </c>
      <c r="P1456">
        <f>IF(B1474=0,0,O1456/B1474)</f>
        <v/>
      </c>
      <c r="Q1456" t="n">
        <v>0</v>
      </c>
      <c r="R1456" t="n">
        <v>0</v>
      </c>
      <c r="S1456">
        <f>IFERROR(O1456/N1456,0)</f>
        <v/>
      </c>
      <c r="T1456" t="n">
        <v>0</v>
      </c>
      <c r="V1456" t="n">
        <v>0</v>
      </c>
    </row>
    <row r="1457">
      <c r="A1457">
        <f>Skills!A22</f>
        <v/>
      </c>
      <c r="B1457">
        <f>Skills!B22</f>
        <v/>
      </c>
      <c r="C1457">
        <f>Inputs!$B$3&gt;=43</f>
        <v/>
      </c>
      <c r="D1457">
        <f>IF(Skills!C22=1,60+Inputs!$B$26+Inputs!$B$30,IF(Skills!C22=2,90+Inputs!$B$27+Inputs!$B$30,IF(Skills!C22=3,120+Inputs!$B$28+Inputs!$B$30,MAX(0,(Inputs!$B$3-100)*3)+Inputs!$B$29+Inputs!$B$30)))</f>
        <v/>
      </c>
      <c r="E1457">
        <f>INDEX(FactorTable!$B$2:$Y$301, MATCH(ROUND(MIN(300,MAX(1,D1457)),0), FactorTable!$A$2:$A$301,0), Skills!M22+1)</f>
        <v/>
      </c>
      <c r="F1457">
        <f>IF(Skills!N22=TRUE,(Skills!L22/10)*(E1457/1000),Skills!L22/10)+Skills!O22</f>
        <v/>
      </c>
      <c r="G1457">
        <f>Skills!G22*IF(Skills!H22&gt;0,Skills!I22/Skills!H22,1)</f>
        <v/>
      </c>
      <c r="H1457">
        <f>1-(1-Skills!J22/100)^Skills!K22</f>
        <v/>
      </c>
      <c r="I1457" t="inlineStr">
        <is>
          <t>1</t>
        </is>
      </c>
      <c r="J1457" t="inlineStr"/>
      <c r="K1457" t="inlineStr"/>
      <c r="L1457" t="inlineStr"/>
      <c r="M1457" t="inlineStr"/>
      <c r="N1457" t="inlineStr"/>
      <c r="O1457">
        <f>(1-Summary!$B$55)*T1457+Summary!$B$55*V1457</f>
        <v/>
      </c>
      <c r="P1457">
        <f>IF(B1474=0,0,O1457/B1474)</f>
        <v/>
      </c>
      <c r="Q1457" t="n">
        <v>0</v>
      </c>
      <c r="R1457" t="n">
        <v>0</v>
      </c>
      <c r="S1457">
        <f>IFERROR(O1457/N1457,0)</f>
        <v/>
      </c>
      <c r="T1457" t="n">
        <v>0</v>
      </c>
      <c r="V1457" t="n">
        <v>0</v>
      </c>
    </row>
    <row r="1458">
      <c r="A1458">
        <f>Skills!A23</f>
        <v/>
      </c>
      <c r="B1458">
        <f>Skills!B23</f>
        <v/>
      </c>
      <c r="C1458">
        <f>Inputs!$B$3&gt;=120</f>
        <v/>
      </c>
      <c r="D1458">
        <f>IF(Skills!C23=1,60+Inputs!$B$26+Inputs!$B$30,IF(Skills!C23=2,90+Inputs!$B$27+Inputs!$B$30,IF(Skills!C23=3,120+Inputs!$B$28+Inputs!$B$30,MAX(0,(Inputs!$B$3-100)*3)+Inputs!$B$29+Inputs!$B$30)))</f>
        <v/>
      </c>
      <c r="E1458">
        <f>INDEX(FactorTable!$B$2:$Y$301, MATCH(ROUND(MIN(300,MAX(1,D1458)),0), FactorTable!$A$2:$A$301,0), Skills!M23+1)</f>
        <v/>
      </c>
      <c r="F1458">
        <f>IF(Skills!N23=TRUE,(Skills!L23/10)*(E1458/1000),Skills!L23/10)+Skills!O23</f>
        <v/>
      </c>
      <c r="G1458">
        <f>Skills!G23*IF(Skills!H23&gt;0,Skills!I23/Skills!H23,1)</f>
        <v/>
      </c>
      <c r="H1458">
        <f>1-(1-Skills!J23/100)^Skills!K23</f>
        <v/>
      </c>
      <c r="I1458" t="inlineStr">
        <is>
          <t>1</t>
        </is>
      </c>
      <c r="J1458" t="inlineStr"/>
      <c r="K1458" t="inlineStr"/>
      <c r="L1458" t="inlineStr"/>
      <c r="M1458" t="inlineStr"/>
      <c r="N1458" t="inlineStr"/>
      <c r="O1458">
        <f>(1-Summary!$B$55)*T1458+Summary!$B$55*V1458</f>
        <v/>
      </c>
      <c r="P1458">
        <f>IF(B1474=0,0,O1458/B1474)</f>
        <v/>
      </c>
      <c r="Q1458" t="n">
        <v>0</v>
      </c>
      <c r="R1458" t="n">
        <v>0</v>
      </c>
      <c r="S1458">
        <f>IFERROR(O1458/N1458,0)</f>
        <v/>
      </c>
      <c r="T1458" t="n">
        <v>0</v>
      </c>
      <c r="V1458" t="n">
        <v>0</v>
      </c>
    </row>
    <row r="1459">
      <c r="A1459">
        <f>Skills!A24</f>
        <v/>
      </c>
      <c r="B1459">
        <f>Skills!B24</f>
        <v/>
      </c>
      <c r="C1459">
        <f>Inputs!$B$3&gt;=120</f>
        <v/>
      </c>
      <c r="D1459">
        <f>IF(Skills!C24=1,60+Inputs!$B$26+Inputs!$B$30,IF(Skills!C24=2,90+Inputs!$B$27+Inputs!$B$30,IF(Skills!C24=3,120+Inputs!$B$28+Inputs!$B$30,MAX(0,(Inputs!$B$3-100)*3)+Inputs!$B$29+Inputs!$B$30)))</f>
        <v/>
      </c>
      <c r="E1459">
        <f>INDEX(FactorTable!$B$2:$Y$301, MATCH(ROUND(MIN(300,MAX(1,D1459)),0), FactorTable!$A$2:$A$301,0), Skills!M24+1)</f>
        <v/>
      </c>
      <c r="F1459">
        <f>IF(Skills!N24=TRUE,(Skills!L24/10)*(E1459/1000),Skills!L24/10)+Skills!O24</f>
        <v/>
      </c>
      <c r="G1459">
        <f>Skills!G24*IF(Skills!H24&gt;0,Skills!I24/Skills!H24,1)</f>
        <v/>
      </c>
      <c r="H1459">
        <f>1-(1-Skills!J24/100)^Skills!K24</f>
        <v/>
      </c>
      <c r="I1459" t="inlineStr">
        <is>
          <t>1</t>
        </is>
      </c>
      <c r="J1459" t="inlineStr"/>
      <c r="K1459" t="inlineStr"/>
      <c r="L1459" t="inlineStr"/>
      <c r="M1459" t="inlineStr"/>
      <c r="N1459" t="inlineStr"/>
      <c r="O1459">
        <f>(1-Summary!$B$55)*T1459+Summary!$B$55*V1459</f>
        <v/>
      </c>
      <c r="P1459">
        <f>IF(B1474=0,0,O1459/B1474)</f>
        <v/>
      </c>
      <c r="Q1459" t="n">
        <v>0</v>
      </c>
      <c r="R1459" t="n">
        <v>0</v>
      </c>
      <c r="S1459">
        <f>IFERROR(O1459/N1459,0)</f>
        <v/>
      </c>
      <c r="T1459" t="n">
        <v>0</v>
      </c>
      <c r="V1459" t="n">
        <v>0</v>
      </c>
    </row>
    <row r="1460">
      <c r="A1460">
        <f>Skills!A25</f>
        <v/>
      </c>
      <c r="B1460">
        <f>Skills!B25</f>
        <v/>
      </c>
      <c r="C1460">
        <f>Inputs!$B$3&gt;=125</f>
        <v/>
      </c>
      <c r="D1460">
        <f>IF(Skills!C25=1,60+Inputs!$B$26+Inputs!$B$30,IF(Skills!C25=2,90+Inputs!$B$27+Inputs!$B$30,IF(Skills!C25=3,120+Inputs!$B$28+Inputs!$B$30,MAX(0,(Inputs!$B$3-100)*3)+Inputs!$B$29+Inputs!$B$30)))</f>
        <v/>
      </c>
      <c r="E1460">
        <f>INDEX(FactorTable!$B$2:$Y$301, MATCH(ROUND(MIN(300,MAX(1,D1460)),0), FactorTable!$A$2:$A$301,0), Skills!M25+1)</f>
        <v/>
      </c>
      <c r="F1460">
        <f>IF(Skills!N25=TRUE,(Skills!L25/10)*(E1460/1000),Skills!L25/10)+Skills!O25</f>
        <v/>
      </c>
      <c r="G1460">
        <f>Skills!G25*IF(Skills!H25&gt;0,Skills!I25/Skills!H25,1)</f>
        <v/>
      </c>
      <c r="H1460">
        <f>1-(1-Skills!J25/100)^Skills!K25</f>
        <v/>
      </c>
      <c r="I1460" t="inlineStr">
        <is>
          <t>1</t>
        </is>
      </c>
      <c r="J1460" t="inlineStr"/>
      <c r="K1460" t="inlineStr"/>
      <c r="L1460" t="inlineStr"/>
      <c r="M1460" t="inlineStr"/>
      <c r="N1460" t="inlineStr"/>
      <c r="O1460">
        <f>(1-Summary!$B$55)*T1460+Summary!$B$55*V1460</f>
        <v/>
      </c>
      <c r="P1460">
        <f>IF(B1474=0,0,O1460/B1474)</f>
        <v/>
      </c>
      <c r="Q1460" t="n">
        <v>0</v>
      </c>
      <c r="R1460" t="n">
        <v>0</v>
      </c>
      <c r="S1460">
        <f>IFERROR(O1460/N1460,0)</f>
        <v/>
      </c>
      <c r="T1460" t="n">
        <v>0</v>
      </c>
      <c r="V1460" t="n">
        <v>0</v>
      </c>
    </row>
    <row r="1461">
      <c r="A1461">
        <f>Skills!A26</f>
        <v/>
      </c>
      <c r="B1461">
        <f>Skills!B26</f>
        <v/>
      </c>
      <c r="C1461">
        <f>Inputs!$B$3&gt;=107</f>
        <v/>
      </c>
      <c r="D1461">
        <f>IF(Skills!C26=1,60+Inputs!$B$26+Inputs!$B$30,IF(Skills!C26=2,90+Inputs!$B$27+Inputs!$B$30,IF(Skills!C26=3,120+Inputs!$B$28+Inputs!$B$30,MAX(0,(Inputs!$B$3-100)*3)+Inputs!$B$29+Inputs!$B$30)))</f>
        <v/>
      </c>
      <c r="E1461">
        <f>INDEX(FactorTable!$B$2:$Y$301, MATCH(ROUND(MIN(300,MAX(1,D1461)),0), FactorTable!$A$2:$A$301,0), Skills!M26+1)</f>
        <v/>
      </c>
      <c r="F1461">
        <f>IF(Skills!N26=TRUE,(Skills!L26/10)*(E1461/1000),Skills!L26/10)+Skills!O26</f>
        <v/>
      </c>
      <c r="G1461">
        <f>Skills!G26*IF(Skills!H26&gt;0,Skills!I26/Skills!H26,1)</f>
        <v/>
      </c>
      <c r="H1461">
        <f>1-(1-Skills!J26/100)^Skills!K26</f>
        <v/>
      </c>
      <c r="I1461" t="inlineStr">
        <is>
          <t>1</t>
        </is>
      </c>
      <c r="J1461" t="inlineStr"/>
      <c r="K1461" t="inlineStr"/>
      <c r="L1461" t="inlineStr"/>
      <c r="M1461" t="inlineStr"/>
      <c r="N1461" t="inlineStr"/>
      <c r="O1461">
        <f>(1-Summary!$B$55)*T1461+Summary!$B$55*V1461</f>
        <v/>
      </c>
      <c r="P1461">
        <f>IF(B1474=0,0,O1461/B1474)</f>
        <v/>
      </c>
      <c r="Q1461" t="n">
        <v>0</v>
      </c>
      <c r="R1461" t="n">
        <v>0</v>
      </c>
      <c r="S1461">
        <f>IFERROR(O1461/N1461,0)</f>
        <v/>
      </c>
      <c r="T1461" t="n">
        <v>0</v>
      </c>
      <c r="V1461" t="n">
        <v>0</v>
      </c>
    </row>
    <row r="1463">
      <c r="A1463" t="inlineStr">
        <is>
          <t>Attack% Bucket Multiplier</t>
        </is>
      </c>
      <c r="B1463">
        <f>(1+(((C1448=TRUE)*F1448*IF(AND(Inputs!$B$39&lt;&gt;"pvp",Inputs!$B$44&gt;0),(((R1448-1)*(Skills!T13*(1+Inputs!$B$35/100))+MIN((Skills!T13*(1+Inputs!$B$35/100)),MAX(0,Inputs!$B$44-((R1448-1)*Skills!D13))))/Inputs!$B$44),IF(Inputs!$B$39="pvp",MIN((Skills!T13*(1+Inputs!$B$35/100)),15)/15,(Skills!T13*(1+Inputs!$B$35/100))/Skills!D13)))+((C1449=TRUE)*F1449*IF(AND(Inputs!$B$39&lt;&gt;"pvp",Inputs!$B$44&gt;0),(((R1449-1)*(Skills!T14*(1+Inputs!$B$35/100))+MIN((Skills!T14*(1+Inputs!$B$35/100)),MAX(0,Inputs!$B$44-((R1449-1)*Skills!D14))))/Inputs!$B$44),IF(Inputs!$B$39="pvp",MIN((Skills!T14*(1+Inputs!$B$35/100)),15)/15,(Skills!T14*(1+Inputs!$B$35/100))/Skills!D14)))+((C1450=TRUE)*F1450*IF(AND(Inputs!$B$39&lt;&gt;"pvp",Inputs!$B$44&gt;0),(((R1450-1)*(Skills!T15*(1+Inputs!$B$35/100))+MIN((Skills!T15*(1+Inputs!$B$35/100)),MAX(0,Inputs!$B$44-((R1450-1)*Skills!D15))))/Inputs!$B$44),IF(Inputs!$B$39="pvp",MIN((Skills!T15*(1+Inputs!$B$35/100)),15)/15,(Skills!T15*(1+Inputs!$B$35/100))/Skills!D15)))+((C1451=TRUE)*F1451*IF(AND(Inputs!$B$39&lt;&gt;"pvp",Inputs!$B$44&gt;0),(((R1451-1)*(Skills!T16*(1+Inputs!$B$35/100))+MIN((Skills!T16*(1+Inputs!$B$35/100)),MAX(0,Inputs!$B$44-((R1451-1)*Skills!D16))))/Inputs!$B$44),IF(Inputs!$B$39="pvp",MIN((Skills!T16*(1+Inputs!$B$35/100)),15)/15,(Skills!T16*(1+Inputs!$B$35/100))/Skills!D16)))+0)/100)</f>
        <v/>
      </c>
    </row>
    <row r="1464">
      <c r="A1464" t="inlineStr">
        <is>
          <t>Global Crit Rate Bonus % (Lord of Darkness)</t>
        </is>
      </c>
      <c r="B1464">
        <f>((C1453=TRUE)*F1453*(Skills!J18/100)*IF(AND(Inputs!$B$39&lt;&gt;"pvp",Inputs!$B$44&gt;0),(((R1453-1)*(Skills!T18*(1+Inputs!$B$35/100))+MIN((Skills!T18*(1+Inputs!$B$35/100)),MAX(0,Inputs!$B$44-((R1453-1)*Skills!D18))))/Inputs!$B$44),IF(Inputs!$B$39="pvp",MIN((Skills!T18*(1+Inputs!$B$35/100)),15)/15,(Skills!T18*(1+Inputs!$B$35/100))/Skills!D18)))</f>
        <v/>
      </c>
    </row>
    <row r="1465">
      <c r="A1465" t="inlineStr">
        <is>
          <t>Attack Speed Buff Bonus %</t>
        </is>
      </c>
      <c r="B1465">
        <f>((C1455=TRUE)*F1455*IF(AND(Inputs!$B$39&lt;&gt;"pvp",Inputs!$B$44&gt;0),(((R1455-1)*(Skills!T20*(1+Inputs!$B$35/100))+MIN((Skills!T20*(1+Inputs!$B$35/100)),MAX(0,Inputs!$B$44-((R1455-1)*Skills!D20))))/Inputs!$B$44),IF(Inputs!$B$39="pvp",MIN((Skills!T20*(1+Inputs!$B$35/100)),15)/15,(Skills!T20*(1+Inputs!$B$35/100))/Skills!D20)))</f>
        <v/>
      </c>
    </row>
    <row r="1466">
      <c r="A1466" t="inlineStr">
        <is>
          <t>Actions Per Second</t>
        </is>
      </c>
      <c r="B1466">
        <f>1+MIN(150,150*(1-(1-(Inputs!$B$12+((C1456=TRUE)*(F1456-Calc!F21)))/150)*(1-B1465/150)))/100</f>
        <v/>
      </c>
    </row>
    <row r="1467">
      <c r="A1467" t="inlineStr">
        <is>
          <t>Skill + Buff Cast Rate</t>
        </is>
      </c>
      <c r="B1467">
        <f>IF(AND(Inputs!$B$39&lt;&gt;"pvp",Inputs!$B$44&gt;0),SUMPRODUCT((Skills!E2:E26=TRUE)*(C1437:C1461=TRUE)*R1437:R1461*Skills!F2:F26)/Inputs!$B$44,SUMPRODUCT((Skills!E2:E26=TRUE)*(C1437:C1461=TRUE)*Q1437:Q1461*Skills!F2:F26))</f>
        <v/>
      </c>
    </row>
    <row r="1468">
      <c r="A1468" t="inlineStr">
        <is>
          <t>Dark Impale Casts Per Second</t>
        </is>
      </c>
      <c r="B1468">
        <f>MAX(0,B1466-B1467)</f>
        <v/>
      </c>
    </row>
    <row r="1469">
      <c r="A1469" t="inlineStr">
        <is>
          <t>Global Critical Damage Bonus % (Lord of Darkness)</t>
        </is>
      </c>
      <c r="B1469">
        <f>((C1454=TRUE)*F1454*(Skills!J19/100)*IF(AND(Inputs!$B$39&lt;&gt;"pvp",Inputs!$B$44&gt;0),(((R1454-1)*(Skills!T19*(1+Inputs!$B$35/100))+MIN((Skills!T19*(1+Inputs!$B$35/100)),MAX(0,Inputs!$B$44-((R1454-1)*Skills!D19))))/Inputs!$B$44),IF(Inputs!$B$39="pvp",MIN((Skills!T19*(1+Inputs!$B$35/100)),15)/15,(Skills!T19*(1+Inputs!$B$35/100))/Skills!D19)))</f>
        <v/>
      </c>
    </row>
    <row r="1470">
      <c r="A1470" t="inlineStr">
        <is>
          <t>Global Final Damage Bonus % (unused)</t>
        </is>
      </c>
      <c r="B1470" t="n">
        <v>0</v>
      </c>
    </row>
    <row r="1471">
      <c r="A1471" t="inlineStr">
        <is>
          <t>Buff-Casting Startup Delay (s, fixed-duration only)</t>
        </is>
      </c>
      <c r="B1471">
        <f>IF(AND(Inputs!$B$39&lt;&gt;"pvp",Inputs!$B$44&gt;0),SUMPRODUCT((Skills!T2:T26&gt;0)*(Skills!E2:E26=TRUE)*(C1437:C1461=TRUE))/B1466,0)</f>
        <v/>
      </c>
    </row>
    <row r="1472">
      <c r="A1472" t="inlineStr">
        <is>
          <t>Boss-Only Total DPS (this block's swept value)</t>
        </is>
      </c>
      <c r="B1472">
        <f>SUM(T1437:T1461)</f>
        <v/>
      </c>
    </row>
    <row r="1473">
      <c r="A1473" t="inlineStr">
        <is>
          <t>Normal-Only Total DPS (this block's swept value)</t>
        </is>
      </c>
      <c r="B1473">
        <f>SUM(V1437:V1461)</f>
        <v/>
      </c>
    </row>
    <row r="1474">
      <c r="A1474" s="5" t="inlineStr">
        <is>
          <t>TOTAL DPS</t>
        </is>
      </c>
      <c r="B1474" s="5">
        <f>SUM(O1437:O1461)</f>
        <v/>
      </c>
    </row>
    <row r="1477">
      <c r="A1477" s="5" t="inlineStr">
        <is>
          <t>Stat: CDR = 3.5s</t>
        </is>
      </c>
    </row>
    <row r="1478">
      <c r="A1478" s="9" t="inlineStr">
        <is>
          <t>Key</t>
        </is>
      </c>
      <c r="B1478" s="9" t="inlineStr">
        <is>
          <t>Name</t>
        </is>
      </c>
      <c r="C1478" s="9" t="inlineStr">
        <is>
          <t>Unlocked</t>
        </is>
      </c>
      <c r="D1478" s="9" t="inlineStr">
        <is>
          <t>InputLevel</t>
        </is>
      </c>
      <c r="E1478" s="9" t="inlineStr">
        <is>
          <t>Factor</t>
        </is>
      </c>
      <c r="F1478" s="9" t="inlineStr">
        <is>
          <t>CoefficientPercent</t>
        </is>
      </c>
      <c r="G1478" s="9" t="inlineStr">
        <is>
          <t>EffectiveHits</t>
        </is>
      </c>
      <c r="H1478" s="9" t="inlineStr">
        <is>
          <t>ProcProbability</t>
        </is>
      </c>
      <c r="I1478" s="9" t="inlineStr">
        <is>
          <t>MapleHeroMultiplier</t>
        </is>
      </c>
      <c r="J1478" s="9" t="inlineStr">
        <is>
          <t>BaseDamage</t>
        </is>
      </c>
      <c r="K1478" s="9" t="inlineStr">
        <is>
          <t>BaseHitDamage</t>
        </is>
      </c>
      <c r="L1478" s="9" t="inlineStr">
        <is>
          <t>NonCritAvg</t>
        </is>
      </c>
      <c r="M1478" s="9" t="inlineStr">
        <is>
          <t>CritAvg</t>
        </is>
      </c>
      <c r="N1478" s="9" t="inlineStr">
        <is>
          <t>ExpectedDamage(perHit)</t>
        </is>
      </c>
      <c r="O1478" s="9" t="inlineStr">
        <is>
          <t>DPS</t>
        </is>
      </c>
      <c r="P1478" s="9" t="inlineStr">
        <is>
          <t>% of Total</t>
        </is>
      </c>
      <c r="Q1478" s="9" t="inlineStr">
        <is>
          <t>InvCooldown</t>
        </is>
      </c>
      <c r="R1478" s="9" t="inlineStr">
        <is>
          <t>CastsInFight</t>
        </is>
      </c>
      <c r="S1478" s="9" t="inlineStr">
        <is>
          <t>HitRate(perSec)</t>
        </is>
      </c>
      <c r="U1478" t="inlineStr">
        <is>
          <t>helpers</t>
        </is>
      </c>
    </row>
    <row r="1479">
      <c r="A1479">
        <f>Skills!A2</f>
        <v/>
      </c>
      <c r="B1479">
        <f>Skills!B2</f>
        <v/>
      </c>
      <c r="C1479">
        <f>Inputs!$B$3&gt;=100</f>
        <v/>
      </c>
      <c r="D1479" t="inlineStr"/>
      <c r="E1479" t="inlineStr"/>
      <c r="F1479">
        <f>U1481+Skills!O2</f>
        <v/>
      </c>
      <c r="G1479">
        <f>Skills!G2*IF(Skills!H2&gt;0,Skills!I2/Skills!H2,1)</f>
        <v/>
      </c>
      <c r="H1479">
        <f>1-(1-Skills!J2/100)^Skills!K2</f>
        <v/>
      </c>
      <c r="I1479" t="inlineStr">
        <is>
          <t>1</t>
        </is>
      </c>
      <c r="J1479">
        <f>((Inputs!$B$6*(1+Inputs!$B$7/100))+(((Inputs!$B$13*(1+Inputs!$B$14/100))-(Inputs!$B$13*(1+Inputs!$B$14/100)))+0.25*(Inputs!$B$15-Inputs!$B$15))*(1+Inputs!$B$7/100))*(F1479/100)</f>
        <v/>
      </c>
      <c r="K1479">
        <f>J1479*(1+(((Inputs!$B$13+IF(Inputs!$B$3&gt;=38,(10*INDEX(FactorTable!$B$2:$Y$301, MATCH(ROUND(MIN(300,MAX(1,Inputs!$B$3)),0), FactorTable!$A$2:$A$301,0), 23)/1000)/100*(Inputs!$B$8*(1+Inputs!$B$9/100)),0))*(1+Inputs!$B$14/100))*0.01+Inputs!$B$15*0.0025)/100)*(1+Inputs!$B$16/100)*(1+Inputs!$B$17/100)*(5000/(6000+Inputs!$B$43*(1-(Inputs!$B$20+0)/100)))*(1+(Inputs!$B$25+((C1502=TRUE)*(F1502-Calc!F25))+((C1503=TRUE)*(F1503-Calc!F26))+B1512)/100)*(1+(IF(Skills!A2="DARK_IMPALE",Inputs!$B$18+0,Inputs!$B$19+((C1500=TRUE)*(F1500-Calc!F23))))/100)*((1+(((C1490=TRUE)*F1490*IF(AND(Inputs!$B$39&lt;&gt;"pvp",Inputs!$B$44&gt;0),(((R1490-1)*(Skills!T13*(1+Inputs!$B$35/100))+MIN((Skills!T13*(1+Inputs!$B$35/100)),MAX(0,Inputs!$B$44-((R1490-1)*Skills!D13))))/Inputs!$B$44),IF(Inputs!$B$39="pvp",MIN((Skills!T13*(1+Inputs!$B$35/100)),15)/15,(Skills!T13*(1+Inputs!$B$35/100))/Skills!D13)))+((C1491=TRUE)*F1491*IF(AND(Inputs!$B$39&lt;&gt;"pvp",Inputs!$B$44&gt;0),(((R1491-1)*(Skills!T14*(1+Inputs!$B$35/100))+MIN((Skills!T14*(1+Inputs!$B$35/100)),MAX(0,Inputs!$B$44-((R1491-1)*Skills!D14))))/Inputs!$B$44),IF(Inputs!$B$39="pvp",MIN((Skills!T14*(1+Inputs!$B$35/100)),15)/15,(Skills!T14*(1+Inputs!$B$35/100))/Skills!D14)))+((C1492=TRUE)*F1492*IF(AND(Inputs!$B$39&lt;&gt;"pvp",Inputs!$B$44&gt;0),(((R1492-1)*(Skills!T15*(1+Inputs!$B$35/100))+MIN((Skills!T15*(1+Inputs!$B$35/100)),MAX(0,Inputs!$B$44-((R1492-1)*Skills!D15))))/Inputs!$B$44),IF(Inputs!$B$39="pvp",MIN((Skills!T15*(1+Inputs!$B$35/100)),15)/15,(Skills!T15*(1+Inputs!$B$35/100))/Skills!D15)))+((C1493=TRUE)*F1493*IF(AND(Inputs!$B$39&lt;&gt;"pvp",Inputs!$B$44&gt;0),(((R1493-1)*(Skills!T16*(1+Inputs!$B$35/100))+MIN((Skills!T16*(1+Inputs!$B$35/100)),MAX(0,Inputs!$B$44-((R1493-1)*Skills!D16))))/Inputs!$B$44),IF(Inputs!$B$39="pvp",MIN((Skills!T16*(1+Inputs!$B$35/100)),15)/15,(Skills!T16*(1+Inputs!$B$35/100))/Skills!D16)))+0)/100)*I1479)</f>
        <v/>
      </c>
      <c r="L1479">
        <f>K1479*(MIN(Inputs!$B$23+((C1499=TRUE)*(F1499-Calc!F22)),Inputs!$B$24+((C1501=TRUE)*(F1501-Calc!F24)))/100+(Inputs!$B$24+((C1501=TRUE)*(F1501-Calc!F24)))/100)/2</f>
        <v/>
      </c>
      <c r="M1479">
        <f>L1479*(1+(Inputs!$B$11+0+B1511)/100)</f>
        <v/>
      </c>
      <c r="N1479">
        <f>L1479*(1-MIN((Inputs!$B$10+0+B1506),100)/100)+M1479*(MIN((Inputs!$B$10+0+B1506),100)/100)</f>
        <v/>
      </c>
      <c r="O1479">
        <f>(1-Summary!$B$55)*T1479+Summary!$B$55*V1479</f>
        <v/>
      </c>
      <c r="P1479">
        <f>IF(B1516=0,0,O1479/B1516)</f>
        <v/>
      </c>
      <c r="Q1479" t="n">
        <v>0</v>
      </c>
      <c r="R1479" t="n">
        <v>0</v>
      </c>
      <c r="S1479">
        <f>IFERROR(O1479/N1479,0)</f>
        <v/>
      </c>
      <c r="T1479">
        <f>IF(C1479,(Skills!G2*N1479*B1510)*IF(Inputs!$B$39="pvp",1,1+(Inputs!$B$21+0+Skills!P2+((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0)</f>
        <v/>
      </c>
      <c r="U1479">
        <f>MAX(0,(Inputs!$B$3-100)*3)+Inputs!$B$29+Inputs!$B$30</f>
        <v/>
      </c>
      <c r="V1479">
        <f>IF(C1479,(Skills!G2*N1479*B1510)*IF(Inputs!$B$39="pvp",1,(1+(Inputs!$B$22+Skills!Q2+((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MIN((6+Inputs!$B$34),Inputs!$B$38))),0)</f>
        <v/>
      </c>
    </row>
    <row r="1480">
      <c r="A1480">
        <f>Skills!A3</f>
        <v/>
      </c>
      <c r="B1480">
        <f>Skills!B3</f>
        <v/>
      </c>
      <c r="C1480">
        <f>Inputs!$B$3&gt;=50</f>
        <v/>
      </c>
      <c r="D1480">
        <f>IF(Skills!C3=1,60+Inputs!$B$26+Inputs!$B$30,IF(Skills!C3=2,90+Inputs!$B$27+Inputs!$B$30,IF(Skills!C3=3,120+Inputs!$B$28+Inputs!$B$30,MAX(0,(Inputs!$B$3-100)*3)+Inputs!$B$29+Inputs!$B$30)))</f>
        <v/>
      </c>
      <c r="E1480">
        <f>INDEX(FactorTable!$B$2:$Y$301, MATCH(ROUND(MIN(300,MAX(1,D1480)),0), FactorTable!$A$2:$A$301,0), Skills!M3+1)</f>
        <v/>
      </c>
      <c r="F1480">
        <f>IF(Skills!N3=TRUE,(Skills!L3/10)*(E1480/1000),Skills!L3/10)+Skills!O3</f>
        <v/>
      </c>
      <c r="G1480" t="inlineStr"/>
      <c r="H1480" t="inlineStr"/>
      <c r="I1480" t="inlineStr">
        <is>
          <t>1</t>
        </is>
      </c>
      <c r="J1480" t="inlineStr"/>
      <c r="K1480" t="inlineStr"/>
      <c r="L1480" t="inlineStr"/>
      <c r="M1480" t="inlineStr"/>
      <c r="N1480" t="inlineStr"/>
      <c r="O1480" t="inlineStr"/>
      <c r="P1480" t="inlineStr"/>
      <c r="Q1480" t="inlineStr"/>
      <c r="R1480" t="inlineStr"/>
      <c r="S1480" t="inlineStr"/>
      <c r="U1480">
        <f>INDEX(FactorTable!$B$2:$Y$301, MATCH(ROUND(MIN(300,MAX(1,U1479)),0), FactorTable!$A$2:$A$301,0), 22)</f>
        <v/>
      </c>
    </row>
    <row r="1481">
      <c r="A1481">
        <f>Skills!A4</f>
        <v/>
      </c>
      <c r="B1481">
        <f>Skills!B4</f>
        <v/>
      </c>
      <c r="C1481">
        <f>Inputs!$B$3&gt;=105</f>
        <v/>
      </c>
      <c r="D1481">
        <f>IF(Skills!C4=1,60+Inputs!$B$26+Inputs!$B$30,IF(Skills!C4=2,90+Inputs!$B$27+Inputs!$B$30,IF(Skills!C4=3,120+Inputs!$B$28+Inputs!$B$30,MAX(0,(Inputs!$B$3-100)*3)+Inputs!$B$29+Inputs!$B$30)))</f>
        <v/>
      </c>
      <c r="E1481">
        <f>INDEX(FactorTable!$B$2:$Y$301, MATCH(ROUND(MIN(300,MAX(1,D1481)),0), FactorTable!$A$2:$A$301,0), Skills!M4+1)</f>
        <v/>
      </c>
      <c r="F1481">
        <f>IF(Skills!N4=TRUE,(Skills!L4/10)*(E1481/1000),Skills!L4/10)+Skills!O4</f>
        <v/>
      </c>
      <c r="G1481" t="inlineStr"/>
      <c r="H1481" t="inlineStr"/>
      <c r="I1481" t="inlineStr">
        <is>
          <t>1</t>
        </is>
      </c>
      <c r="J1481" t="inlineStr"/>
      <c r="K1481" t="inlineStr"/>
      <c r="L1481" t="inlineStr"/>
      <c r="M1481" t="inlineStr"/>
      <c r="N1481" t="inlineStr"/>
      <c r="O1481" t="inlineStr"/>
      <c r="P1481" t="inlineStr"/>
      <c r="Q1481" t="inlineStr"/>
      <c r="R1481" t="inlineStr"/>
      <c r="S1481" t="inlineStr"/>
      <c r="U1481">
        <f>290*U1480/1000</f>
        <v/>
      </c>
    </row>
    <row r="1482">
      <c r="A1482">
        <f>Skills!A5</f>
        <v/>
      </c>
      <c r="B1482">
        <f>Skills!B5</f>
        <v/>
      </c>
      <c r="C1482">
        <f>Inputs!$B$3&gt;=117</f>
        <v/>
      </c>
      <c r="D1482">
        <f>IF(Skills!C5=1,60+Inputs!$B$26+Inputs!$B$30,IF(Skills!C5=2,90+Inputs!$B$27+Inputs!$B$30,IF(Skills!C5=3,120+Inputs!$B$28+Inputs!$B$30,MAX(0,(Inputs!$B$3-100)*3)+Inputs!$B$29+Inputs!$B$30)))</f>
        <v/>
      </c>
      <c r="E1482">
        <f>INDEX(FactorTable!$B$2:$Y$301, MATCH(ROUND(MIN(300,MAX(1,D1482)),0), FactorTable!$A$2:$A$301,0), Skills!M5+1)</f>
        <v/>
      </c>
      <c r="F1482">
        <f>IF(Skills!N5=TRUE,(Skills!L5/10)*(E1482/1000),Skills!L5/10)+Skills!O5</f>
        <v/>
      </c>
      <c r="G1482">
        <f>Skills!G5*IF(Skills!H5&gt;0,Skills!I5/Skills!H5,1)</f>
        <v/>
      </c>
      <c r="H1482">
        <f>1-(1-Skills!J5/100)^Skills!K5</f>
        <v/>
      </c>
      <c r="I1482" t="inlineStr">
        <is>
          <t>1</t>
        </is>
      </c>
      <c r="J1482">
        <f>((Inputs!$B$6*(1+Inputs!$B$7/100))+(((Inputs!$B$13*(1+Inputs!$B$14/100))-(Inputs!$B$13*(1+Inputs!$B$14/100)))+0.25*(Inputs!$B$15-Inputs!$B$15))*(1+Inputs!$B$7/100))*(F1482/100)</f>
        <v/>
      </c>
      <c r="K1482">
        <f>J1482*(1+(((Inputs!$B$13+IF(Inputs!$B$3&gt;=38,(10*INDEX(FactorTable!$B$2:$Y$301, MATCH(ROUND(MIN(300,MAX(1,Inputs!$B$3)),0), FactorTable!$A$2:$A$301,0), 23)/1000)/100*(Inputs!$B$8*(1+Inputs!$B$9/100)),0))*(1+Inputs!$B$14/100))*0.01+Inputs!$B$15*0.0025)/100)*(1+Inputs!$B$16/100)*(1+Inputs!$B$17/100)*(5000/(6000+Inputs!$B$43*(1-(Inputs!$B$20+0)/100)))*(1+(Inputs!$B$25+((C1502=TRUE)*(F1502-Calc!F25))+((C1503=TRUE)*(F1503-Calc!F26))+B1512)/100)*(1+(IF(Skills!A5="DARK_IMPALE",Inputs!$B$18+0,Inputs!$B$19+((C1500=TRUE)*(F1500-Calc!F23))))/100)*((1+(((C1490=TRUE)*F1490*IF(AND(Inputs!$B$39&lt;&gt;"pvp",Inputs!$B$44&gt;0),(((R1490-1)*(Skills!T13*(1+Inputs!$B$35/100))+MIN((Skills!T13*(1+Inputs!$B$35/100)),MAX(0,Inputs!$B$44-((R1490-1)*Skills!D13))))/Inputs!$B$44),IF(Inputs!$B$39="pvp",MIN((Skills!T13*(1+Inputs!$B$35/100)),15)/15,(Skills!T13*(1+Inputs!$B$35/100))/Skills!D13)))+((C1491=TRUE)*F1491*IF(AND(Inputs!$B$39&lt;&gt;"pvp",Inputs!$B$44&gt;0),(((R1491-1)*(Skills!T14*(1+Inputs!$B$35/100))+MIN((Skills!T14*(1+Inputs!$B$35/100)),MAX(0,Inputs!$B$44-((R1491-1)*Skills!D14))))/Inputs!$B$44),IF(Inputs!$B$39="pvp",MIN((Skills!T14*(1+Inputs!$B$35/100)),15)/15,(Skills!T14*(1+Inputs!$B$35/100))/Skills!D14)))+((C1492=TRUE)*F1492*IF(AND(Inputs!$B$39&lt;&gt;"pvp",Inputs!$B$44&gt;0),(((R1492-1)*(Skills!T15*(1+Inputs!$B$35/100))+MIN((Skills!T15*(1+Inputs!$B$35/100)),MAX(0,Inputs!$B$44-((R1492-1)*Skills!D15))))/Inputs!$B$44),IF(Inputs!$B$39="pvp",MIN((Skills!T15*(1+Inputs!$B$35/100)),15)/15,(Skills!T15*(1+Inputs!$B$35/100))/Skills!D15)))+((C1493=TRUE)*F1493*IF(AND(Inputs!$B$39&lt;&gt;"pvp",Inputs!$B$44&gt;0),(((R1493-1)*(Skills!T16*(1+Inputs!$B$35/100))+MIN((Skills!T16*(1+Inputs!$B$35/100)),MAX(0,Inputs!$B$44-((R1493-1)*Skills!D16))))/Inputs!$B$44),IF(Inputs!$B$39="pvp",MIN((Skills!T16*(1+Inputs!$B$35/100)),15)/15,(Skills!T16*(1+Inputs!$B$35/100))/Skills!D16)))+0)/100)*I1482)</f>
        <v/>
      </c>
      <c r="L1482">
        <f>K1482*(MIN(Inputs!$B$23+((C1499=TRUE)*(F1499-Calc!F22)),Inputs!$B$24+((C1501=TRUE)*(F1501-Calc!F24)))/100+(Inputs!$B$24+((C1501=TRUE)*(F1501-Calc!F24)))/100)/2</f>
        <v/>
      </c>
      <c r="M1482">
        <f>L1482*(1+(Inputs!$B$11+0+B1511)/100)</f>
        <v/>
      </c>
      <c r="N1482">
        <f>L1482*(1-MIN((Inputs!$B$10+0+B1506),100)/100)+M1482*(MIN((Inputs!$B$10+0+B1506),100)/100)</f>
        <v/>
      </c>
      <c r="O1482">
        <f>(1-Summary!$B$55)*T1482+Summary!$B$55*V1482</f>
        <v/>
      </c>
      <c r="P1482">
        <f>IF(B1516=0,0,O1482/B1516)</f>
        <v/>
      </c>
      <c r="Q1482">
        <f>IFERROR(1/IF(Inputs!$B$39="pvp",15,MAX(0.1,Skills!D5-IF(Skills!E5=TRUE,3.5,0))),0)</f>
        <v/>
      </c>
      <c r="R1482">
        <f>IF(AND(Inputs!$B$39&lt;&gt;"pvp",Inputs!$B$44&gt;0),IF(MAX(0,Inputs!$B$44-B1513)&lt;=0,0,(INT(MAX(0,Inputs!$B$44-B1513)/IF(Inputs!$B$39="pvp",15,MAX(0.1,Skills!D5-IF(Skills!E5=TRUE,3.5,0))))+1)),0)</f>
        <v/>
      </c>
      <c r="S1482">
        <f>IFERROR(O1482/N1482,0)</f>
        <v/>
      </c>
      <c r="T1482">
        <f>IF(C1482,(H1482*N1482*IF(AND(Inputs!$B$39&lt;&gt;"pvp",Inputs!$B$44&gt;0),((Skills!G5*((R1482-1)*IF(Skills!H5&gt;0,Skills!I5/Skills!H5,1)+IF(Skills!H5&gt;0,MIN(Skills!I5,MAX(0,MAX(0,Inputs!$B$44-B1513)-((R1482-1)*IF(Inputs!$B$39="pvp",15,MAX(0.1,Skills!D5-IF(Skills!E5=TRUE,3.5,0))))))/Skills!H5,1)))/Inputs!$B$44),G1482*Q1482))*IF(Inputs!$B$39="pvp",1,1+(Inputs!$B$21+0+Skills!P5+((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0)</f>
        <v/>
      </c>
      <c r="V1482">
        <f>IF(C1482,(H1482*N1482*IF(AND(Inputs!$B$39&lt;&gt;"pvp",Inputs!$B$44&gt;0),((Skills!G5*((R1482-1)*IF(Skills!H5&gt;0,Skills!I5/Skills!H5,1)+IF(Skills!H5&gt;0,MIN(Skills!I5,MAX(0,MAX(0,Inputs!$B$44-B1513)-((R1482-1)*IF(Inputs!$B$39="pvp",15,MAX(0.1,Skills!D5-IF(Skills!E5=TRUE,3.5,0))))))/Skills!H5,1)))/Inputs!$B$44),G1482*Q1482))*IF(Inputs!$B$39="pvp",1,(1+(Inputs!$B$22+Skills!Q5+((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MIN(Skills!R5,Inputs!$B$38))),0)</f>
        <v/>
      </c>
    </row>
    <row r="1483">
      <c r="A1483">
        <f>Skills!A6</f>
        <v/>
      </c>
      <c r="B1483">
        <f>Skills!B6</f>
        <v/>
      </c>
      <c r="C1483">
        <f>Inputs!$B$3&gt;=103</f>
        <v/>
      </c>
      <c r="D1483">
        <f>IF(Skills!C6=1,60+Inputs!$B$26+Inputs!$B$30,IF(Skills!C6=2,90+Inputs!$B$27+Inputs!$B$30,IF(Skills!C6=3,120+Inputs!$B$28+Inputs!$B$30,MAX(0,(Inputs!$B$3-100)*3)+Inputs!$B$29+Inputs!$B$30)))</f>
        <v/>
      </c>
      <c r="E1483">
        <f>INDEX(FactorTable!$B$2:$Y$301, MATCH(ROUND(MIN(300,MAX(1,D1483)),0), FactorTable!$A$2:$A$301,0), Skills!M6+1)</f>
        <v/>
      </c>
      <c r="F1483">
        <f>IF(Skills!N6=TRUE,(Skills!L6/10)*(E1483/1000),Skills!L6/10)+Skills!O6</f>
        <v/>
      </c>
      <c r="G1483">
        <f>Skills!G6*IF(Skills!H6&gt;0,Skills!I6/Skills!H6,1)</f>
        <v/>
      </c>
      <c r="H1483">
        <f>1-(1-Skills!J6/100)^Skills!K6</f>
        <v/>
      </c>
      <c r="I1483" t="inlineStr">
        <is>
          <t>1</t>
        </is>
      </c>
      <c r="J1483">
        <f>((Inputs!$B$6*(1+Inputs!$B$7/100))+(((Inputs!$B$13*(1+Inputs!$B$14/100))-(Inputs!$B$13*(1+Inputs!$B$14/100)))+0.25*(Inputs!$B$15-Inputs!$B$15))*(1+Inputs!$B$7/100))*(F1483/100)</f>
        <v/>
      </c>
      <c r="K1483">
        <f>J1483*(1+(((Inputs!$B$13+IF(Inputs!$B$3&gt;=38,(10*INDEX(FactorTable!$B$2:$Y$301, MATCH(ROUND(MIN(300,MAX(1,Inputs!$B$3)),0), FactorTable!$A$2:$A$301,0), 23)/1000)/100*(Inputs!$B$8*(1+Inputs!$B$9/100)),0))*(1+Inputs!$B$14/100))*0.01+Inputs!$B$15*0.0025)/100)*(1+Inputs!$B$16/100)*(1+Inputs!$B$17/100)*(5000/(6000+Inputs!$B$43*(1-(Inputs!$B$20+0)/100)))*(1+(Inputs!$B$25+((C1502=TRUE)*(F1502-Calc!F25))+((C1503=TRUE)*(F1503-Calc!F26))+B1512)/100)*(1+(IF(Skills!A6="DARK_IMPALE",Inputs!$B$18+0,Inputs!$B$19+((C1500=TRUE)*(F1500-Calc!F23))))/100)*((1+(((C1490=TRUE)*F1490*IF(AND(Inputs!$B$39&lt;&gt;"pvp",Inputs!$B$44&gt;0),(((R1490-1)*(Skills!T13*(1+Inputs!$B$35/100))+MIN((Skills!T13*(1+Inputs!$B$35/100)),MAX(0,Inputs!$B$44-((R1490-1)*Skills!D13))))/Inputs!$B$44),IF(Inputs!$B$39="pvp",MIN((Skills!T13*(1+Inputs!$B$35/100)),15)/15,(Skills!T13*(1+Inputs!$B$35/100))/Skills!D13)))+((C1491=TRUE)*F1491*IF(AND(Inputs!$B$39&lt;&gt;"pvp",Inputs!$B$44&gt;0),(((R1491-1)*(Skills!T14*(1+Inputs!$B$35/100))+MIN((Skills!T14*(1+Inputs!$B$35/100)),MAX(0,Inputs!$B$44-((R1491-1)*Skills!D14))))/Inputs!$B$44),IF(Inputs!$B$39="pvp",MIN((Skills!T14*(1+Inputs!$B$35/100)),15)/15,(Skills!T14*(1+Inputs!$B$35/100))/Skills!D14)))+((C1492=TRUE)*F1492*IF(AND(Inputs!$B$39&lt;&gt;"pvp",Inputs!$B$44&gt;0),(((R1492-1)*(Skills!T15*(1+Inputs!$B$35/100))+MIN((Skills!T15*(1+Inputs!$B$35/100)),MAX(0,Inputs!$B$44-((R1492-1)*Skills!D15))))/Inputs!$B$44),IF(Inputs!$B$39="pvp",MIN((Skills!T15*(1+Inputs!$B$35/100)),15)/15,(Skills!T15*(1+Inputs!$B$35/100))/Skills!D15)))+((C1493=TRUE)*F1493*IF(AND(Inputs!$B$39&lt;&gt;"pvp",Inputs!$B$44&gt;0),(((R1493-1)*(Skills!T16*(1+Inputs!$B$35/100))+MIN((Skills!T16*(1+Inputs!$B$35/100)),MAX(0,Inputs!$B$44-((R1493-1)*Skills!D16))))/Inputs!$B$44),IF(Inputs!$B$39="pvp",MIN((Skills!T16*(1+Inputs!$B$35/100)),15)/15,(Skills!T16*(1+Inputs!$B$35/100))/Skills!D16)))+0)/100)*I1483)</f>
        <v/>
      </c>
      <c r="L1483">
        <f>K1483*(MIN(Inputs!$B$23+((C1499=TRUE)*(F1499-Calc!F22)),Inputs!$B$24+((C1501=TRUE)*(F1501-Calc!F24)))/100+(Inputs!$B$24+((C1501=TRUE)*(F1501-Calc!F24)))/100)/2</f>
        <v/>
      </c>
      <c r="M1483">
        <f>L1483*(1+(Inputs!$B$11+0+B1511)/100)</f>
        <v/>
      </c>
      <c r="N1483">
        <f>L1483*(1-MIN((Inputs!$B$10+0+B1506),100)/100)+M1483*(MIN((Inputs!$B$10+0+B1506),100)/100)</f>
        <v/>
      </c>
      <c r="O1483">
        <f>(1-Summary!$B$55)*T1483+Summary!$B$55*V1483</f>
        <v/>
      </c>
      <c r="P1483">
        <f>IF(B1516=0,0,O1483/B1516)</f>
        <v/>
      </c>
      <c r="Q1483">
        <f>IFERROR(1/IF(Inputs!$B$39="pvp",15,MAX(0.1,Skills!D6-IF(Skills!E6=TRUE,3.5,0))),0)</f>
        <v/>
      </c>
      <c r="R1483">
        <f>IF(AND(Inputs!$B$39&lt;&gt;"pvp",Inputs!$B$44&gt;0),IF(MAX(0,Inputs!$B$44-B1513)&lt;=0,0,(INT(MAX(0,Inputs!$B$44-B1513)/IF(Inputs!$B$39="pvp",15,MAX(0.1,Skills!D6-IF(Skills!E6=TRUE,3.5,0))))+1)),0)</f>
        <v/>
      </c>
      <c r="S1483">
        <f>IFERROR(O1483/N1483,0)</f>
        <v/>
      </c>
      <c r="T1483">
        <f>IF(C1483,(H1483*N1483*IF(AND(Inputs!$B$39&lt;&gt;"pvp",Inputs!$B$44&gt;0),((Skills!G6*((R1483-1)*IF(Skills!H6&gt;0,Skills!I6/Skills!H6,1)+IF(Skills!H6&gt;0,MIN(Skills!I6,MAX(0,MAX(0,Inputs!$B$44-B1513)-((R1483-1)*IF(Inputs!$B$39="pvp",15,MAX(0.1,Skills!D6-IF(Skills!E6=TRUE,3.5,0))))))/Skills!H6,1)))/Inputs!$B$44),G1483*Q1483))*IF(Inputs!$B$39="pvp",1,1+(Inputs!$B$21+0+Skills!P6+((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0)</f>
        <v/>
      </c>
      <c r="V1483">
        <f>IF(C1483,(H1483*N1483*IF(AND(Inputs!$B$39&lt;&gt;"pvp",Inputs!$B$44&gt;0),((Skills!G6*((R1483-1)*IF(Skills!H6&gt;0,Skills!I6/Skills!H6,1)+IF(Skills!H6&gt;0,MIN(Skills!I6,MAX(0,MAX(0,Inputs!$B$44-B1513)-((R1483-1)*IF(Inputs!$B$39="pvp",15,MAX(0.1,Skills!D6-IF(Skills!E6=TRUE,3.5,0))))))/Skills!H6,1)))/Inputs!$B$44),G1483*Q1483))*IF(Inputs!$B$39="pvp",1,(1+(Inputs!$B$22+Skills!Q6+((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MIN(Skills!R6,Inputs!$B$38))),0)</f>
        <v/>
      </c>
    </row>
    <row r="1484">
      <c r="A1484">
        <f>Skills!A7</f>
        <v/>
      </c>
      <c r="B1484">
        <f>Skills!B7</f>
        <v/>
      </c>
      <c r="C1484">
        <f>Inputs!$B$3&gt;=40</f>
        <v/>
      </c>
      <c r="D1484">
        <f>IF(Skills!C7=1,60+Inputs!$B$26+Inputs!$B$30,IF(Skills!C7=2,90+Inputs!$B$27+Inputs!$B$30,IF(Skills!C7=3,120+Inputs!$B$28+Inputs!$B$30,MAX(0,(Inputs!$B$3-100)*3)+Inputs!$B$29+Inputs!$B$30)))</f>
        <v/>
      </c>
      <c r="E1484">
        <f>INDEX(FactorTable!$B$2:$Y$301, MATCH(ROUND(MIN(300,MAX(1,D1484)),0), FactorTable!$A$2:$A$301,0), Skills!M7+1)</f>
        <v/>
      </c>
      <c r="F1484">
        <f>IF(Skills!N7=TRUE,(Skills!L7/10)*(E1484/1000),Skills!L7/10)+Skills!O7</f>
        <v/>
      </c>
      <c r="G1484">
        <f>Skills!G7*IF(Skills!H7&gt;0,Skills!I7/Skills!H7,1)</f>
        <v/>
      </c>
      <c r="H1484">
        <f>1-(1-Skills!J7/100)^Skills!K7</f>
        <v/>
      </c>
      <c r="I1484" t="inlineStr">
        <is>
          <t>1</t>
        </is>
      </c>
      <c r="J1484">
        <f>((Inputs!$B$6*(1+Inputs!$B$7/100))+(((Inputs!$B$13*(1+Inputs!$B$14/100))-(Inputs!$B$13*(1+Inputs!$B$14/100)))+0.25*(Inputs!$B$15-Inputs!$B$15))*(1+Inputs!$B$7/100))*(F1484/100)</f>
        <v/>
      </c>
      <c r="K1484">
        <f>J1484*(1+(((Inputs!$B$13+IF(Inputs!$B$3&gt;=38,(10*INDEX(FactorTable!$B$2:$Y$301, MATCH(ROUND(MIN(300,MAX(1,Inputs!$B$3)),0), FactorTable!$A$2:$A$301,0), 23)/1000)/100*(Inputs!$B$8*(1+Inputs!$B$9/100)),0))*(1+Inputs!$B$14/100))*0.01+Inputs!$B$15*0.0025)/100)*(1+Inputs!$B$16/100)*(1+Inputs!$B$17/100)*(5000/(6000+Inputs!$B$43*(1-(Inputs!$B$20+0)/100)))*(1+(Inputs!$B$25+((C1502=TRUE)*(F1502-Calc!F25))+((C1503=TRUE)*(F1503-Calc!F26))+B1512)/100)*(1+0.75*IF(C1488=TRUE,F1488,0)/100)*(1+(IF(Skills!A7="DARK_IMPALE",Inputs!$B$18+0,Inputs!$B$19+((C1500=TRUE)*(F1500-Calc!F23))))/100)*((1+(((C1490=TRUE)*F1490*IF(AND(Inputs!$B$39&lt;&gt;"pvp",Inputs!$B$44&gt;0),(((R1490-1)*(Skills!T13*(1+Inputs!$B$35/100))+MIN((Skills!T13*(1+Inputs!$B$35/100)),MAX(0,Inputs!$B$44-((R1490-1)*Skills!D13))))/Inputs!$B$44),IF(Inputs!$B$39="pvp",MIN((Skills!T13*(1+Inputs!$B$35/100)),15)/15,(Skills!T13*(1+Inputs!$B$35/100))/Skills!D13)))+((C1491=TRUE)*F1491*IF(AND(Inputs!$B$39&lt;&gt;"pvp",Inputs!$B$44&gt;0),(((R1491-1)*(Skills!T14*(1+Inputs!$B$35/100))+MIN((Skills!T14*(1+Inputs!$B$35/100)),MAX(0,Inputs!$B$44-((R1491-1)*Skills!D14))))/Inputs!$B$44),IF(Inputs!$B$39="pvp",MIN((Skills!T14*(1+Inputs!$B$35/100)),15)/15,(Skills!T14*(1+Inputs!$B$35/100))/Skills!D14)))+((C1492=TRUE)*F1492*IF(AND(Inputs!$B$39&lt;&gt;"pvp",Inputs!$B$44&gt;0),(((R1492-1)*(Skills!T15*(1+Inputs!$B$35/100))+MIN((Skills!T15*(1+Inputs!$B$35/100)),MAX(0,Inputs!$B$44-((R1492-1)*Skills!D15))))/Inputs!$B$44),IF(Inputs!$B$39="pvp",MIN((Skills!T15*(1+Inputs!$B$35/100)),15)/15,(Skills!T15*(1+Inputs!$B$35/100))/Skills!D15)))+((C1493=TRUE)*F1493*IF(AND(Inputs!$B$39&lt;&gt;"pvp",Inputs!$B$44&gt;0),(((R1493-1)*(Skills!T16*(1+Inputs!$B$35/100))+MIN((Skills!T16*(1+Inputs!$B$35/100)),MAX(0,Inputs!$B$44-((R1493-1)*Skills!D16))))/Inputs!$B$44),IF(Inputs!$B$39="pvp",MIN((Skills!T16*(1+Inputs!$B$35/100)),15)/15,(Skills!T16*(1+Inputs!$B$35/100))/Skills!D16)))+0)/100)*I1484)</f>
        <v/>
      </c>
      <c r="L1484">
        <f>K1484*(MIN(Inputs!$B$23+((C1499=TRUE)*(F1499-Calc!F22)),Inputs!$B$24+((C1501=TRUE)*(F1501-Calc!F24)))/100+(Inputs!$B$24+((C1501=TRUE)*(F1501-Calc!F24)))/100)/2</f>
        <v/>
      </c>
      <c r="M1484">
        <f>L1484*(1+(Inputs!$B$11+0+B1511)/100)</f>
        <v/>
      </c>
      <c r="N1484">
        <f>L1484*(1-MIN((Inputs!$B$10+0+B1506),100)/100)+M1484*(MIN((Inputs!$B$10+0+B1506),100)/100)</f>
        <v/>
      </c>
      <c r="O1484">
        <f>(1-Summary!$B$55)*T1484+Summary!$B$55*V1484</f>
        <v/>
      </c>
      <c r="P1484">
        <f>IF(B1516=0,0,O1484/B1516)</f>
        <v/>
      </c>
      <c r="Q1484">
        <f>IFERROR(1/IF(Inputs!$B$39="pvp",15,MAX(0.1,Skills!D7-IF(Skills!E7=TRUE,3.5,0))),0)</f>
        <v/>
      </c>
      <c r="R1484">
        <f>IF(AND(Inputs!$B$39&lt;&gt;"pvp",Inputs!$B$44&gt;0),IF(MAX(0,Inputs!$B$44-B1513)&lt;=0,0,(INT(MAX(0,Inputs!$B$44-B1513)/IF(Inputs!$B$39="pvp",15,MAX(0.1,Skills!D7-IF(Skills!E7=TRUE,3.5,0))))+1)),0)</f>
        <v/>
      </c>
      <c r="S1484">
        <f>IFERROR(O1484/N1484,0)</f>
        <v/>
      </c>
      <c r="T1484">
        <f>IF(C1484,(H1484*N1484*IF(AND(Inputs!$B$39&lt;&gt;"pvp",Inputs!$B$44&gt;0),((Skills!G7*((R1484-1)*IF(Skills!H7&gt;0,Skills!I7/Skills!H7,1)+IF(Skills!H7&gt;0,MIN(Skills!I7,MAX(0,MAX(0,Inputs!$B$44-B1513)-((R1484-1)*IF(Inputs!$B$39="pvp",15,MAX(0.1,Skills!D7-IF(Skills!E7=TRUE,3.5,0))))))/Skills!H7,1)))/Inputs!$B$44),G1484*Q1484))*IF(Inputs!$B$39="pvp",1,1+(Inputs!$B$21+0+Skills!P7+((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0)</f>
        <v/>
      </c>
      <c r="V1484">
        <f>IF(C1484,(H1484*N1484*IF(AND(Inputs!$B$39&lt;&gt;"pvp",Inputs!$B$44&gt;0),((Skills!G7*((R1484-1)*IF(Skills!H7&gt;0,Skills!I7/Skills!H7,1)+IF(Skills!H7&gt;0,MIN(Skills!I7,MAX(0,MAX(0,Inputs!$B$44-B1513)-((R1484-1)*IF(Inputs!$B$39="pvp",15,MAX(0.1,Skills!D7-IF(Skills!E7=TRUE,3.5,0))))))/Skills!H7,1)))/Inputs!$B$44),G1484*Q1484))*IF(Inputs!$B$39="pvp",1,(1+(Inputs!$B$22+Skills!Q7+((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MIN(Skills!R7,Inputs!$B$38))),0)</f>
        <v/>
      </c>
    </row>
    <row r="1485">
      <c r="A1485">
        <f>Skills!A8</f>
        <v/>
      </c>
      <c r="B1485">
        <f>Skills!B8</f>
        <v/>
      </c>
      <c r="C1485">
        <f>Inputs!$B$3&gt;=75</f>
        <v/>
      </c>
      <c r="D1485">
        <f>IF(Skills!C8=1,60+Inputs!$B$26+Inputs!$B$30,IF(Skills!C8=2,90+Inputs!$B$27+Inputs!$B$30,IF(Skills!C8=3,120+Inputs!$B$28+Inputs!$B$30,MAX(0,(Inputs!$B$3-100)*3)+Inputs!$B$29+Inputs!$B$30)))</f>
        <v/>
      </c>
      <c r="E1485">
        <f>INDEX(FactorTable!$B$2:$Y$301, MATCH(ROUND(MIN(300,MAX(1,D1485)),0), FactorTable!$A$2:$A$301,0), Skills!M8+1)</f>
        <v/>
      </c>
      <c r="F1485">
        <f>IF(Skills!N8=TRUE,(Skills!L8/10)*(E1485/1000),Skills!L8/10)+Skills!O8</f>
        <v/>
      </c>
      <c r="G1485" t="inlineStr"/>
      <c r="H1485" t="inlineStr"/>
      <c r="I1485" t="inlineStr">
        <is>
          <t>1</t>
        </is>
      </c>
      <c r="J1485" t="inlineStr"/>
      <c r="K1485" t="inlineStr"/>
      <c r="L1485" t="inlineStr"/>
      <c r="M1485" t="inlineStr"/>
      <c r="N1485" t="inlineStr"/>
      <c r="O1485" t="inlineStr"/>
      <c r="P1485" t="inlineStr"/>
      <c r="Q1485" t="inlineStr"/>
      <c r="R1485" t="inlineStr"/>
      <c r="S1485" t="inlineStr"/>
    </row>
    <row r="1486">
      <c r="A1486">
        <f>Skills!A9</f>
        <v/>
      </c>
      <c r="B1486">
        <f>Skills!B9</f>
        <v/>
      </c>
      <c r="C1486">
        <f>Inputs!$B$3&gt;=60</f>
        <v/>
      </c>
      <c r="D1486">
        <f>IF(Skills!C9=1,60+Inputs!$B$26+Inputs!$B$30,IF(Skills!C9=2,90+Inputs!$B$27+Inputs!$B$30,IF(Skills!C9=3,120+Inputs!$B$28+Inputs!$B$30,MAX(0,(Inputs!$B$3-100)*3)+Inputs!$B$29+Inputs!$B$30)))</f>
        <v/>
      </c>
      <c r="E1486">
        <f>INDEX(FactorTable!$B$2:$Y$301, MATCH(ROUND(MIN(300,MAX(1,D1486)),0), FactorTable!$A$2:$A$301,0), Skills!M9+1)</f>
        <v/>
      </c>
      <c r="F1486">
        <f>IF(Skills!N9=TRUE,(Skills!L9/10)*(E1486/1000),Skills!L9/10)+Skills!O9</f>
        <v/>
      </c>
      <c r="G1486">
        <f>Skills!G9*IF(Skills!H9&gt;0,Skills!I9/Skills!H9,1)</f>
        <v/>
      </c>
      <c r="H1486">
        <f>1-(1-Skills!J9/100)^Skills!K9</f>
        <v/>
      </c>
      <c r="I1486" t="inlineStr">
        <is>
          <t>1</t>
        </is>
      </c>
      <c r="J1486">
        <f>((Inputs!$B$6*(1+Inputs!$B$7/100))+(((Inputs!$B$13*(1+Inputs!$B$14/100))-(Inputs!$B$13*(1+Inputs!$B$14/100)))+0.25*(Inputs!$B$15-Inputs!$B$15))*(1+Inputs!$B$7/100))*(F1486/100)</f>
        <v/>
      </c>
      <c r="K1486">
        <f>J1486*(1+(((Inputs!$B$13+IF(Inputs!$B$3&gt;=38,(10*INDEX(FactorTable!$B$2:$Y$301, MATCH(ROUND(MIN(300,MAX(1,Inputs!$B$3)),0), FactorTable!$A$2:$A$301,0), 23)/1000)/100*(Inputs!$B$8*(1+Inputs!$B$9/100)),0))*(1+Inputs!$B$14/100))*0.01+Inputs!$B$15*0.0025)/100)*(1+Inputs!$B$16/100)*(1+Inputs!$B$17/100)*(5000/(6000+Inputs!$B$43*(1-(Inputs!$B$20+0)/100)))*(1+(Inputs!$B$25+((C1502=TRUE)*(F1502-Calc!F25))+((C1503=TRUE)*(F1503-Calc!F26))+B1512)/100)*(1+1.0*IF(C1488=TRUE,F1488,0)/100)*(1+(IF(Skills!A9="DARK_IMPALE",Inputs!$B$18+0,Inputs!$B$19+((C1500=TRUE)*(F1500-Calc!F23))))/100)*((1+(((C1490=TRUE)*F1490*IF(AND(Inputs!$B$39&lt;&gt;"pvp",Inputs!$B$44&gt;0),(((R1490-1)*(Skills!T13*(1+Inputs!$B$35/100))+MIN((Skills!T13*(1+Inputs!$B$35/100)),MAX(0,Inputs!$B$44-((R1490-1)*Skills!D13))))/Inputs!$B$44),IF(Inputs!$B$39="pvp",MIN((Skills!T13*(1+Inputs!$B$35/100)),15)/15,(Skills!T13*(1+Inputs!$B$35/100))/Skills!D13)))+((C1491=TRUE)*F1491*IF(AND(Inputs!$B$39&lt;&gt;"pvp",Inputs!$B$44&gt;0),(((R1491-1)*(Skills!T14*(1+Inputs!$B$35/100))+MIN((Skills!T14*(1+Inputs!$B$35/100)),MAX(0,Inputs!$B$44-((R1491-1)*Skills!D14))))/Inputs!$B$44),IF(Inputs!$B$39="pvp",MIN((Skills!T14*(1+Inputs!$B$35/100)),15)/15,(Skills!T14*(1+Inputs!$B$35/100))/Skills!D14)))+((C1492=TRUE)*F1492*IF(AND(Inputs!$B$39&lt;&gt;"pvp",Inputs!$B$44&gt;0),(((R1492-1)*(Skills!T15*(1+Inputs!$B$35/100))+MIN((Skills!T15*(1+Inputs!$B$35/100)),MAX(0,Inputs!$B$44-((R1492-1)*Skills!D15))))/Inputs!$B$44),IF(Inputs!$B$39="pvp",MIN((Skills!T15*(1+Inputs!$B$35/100)),15)/15,(Skills!T15*(1+Inputs!$B$35/100))/Skills!D15)))+((C1493=TRUE)*F1493*IF(AND(Inputs!$B$39&lt;&gt;"pvp",Inputs!$B$44&gt;0),(((R1493-1)*(Skills!T16*(1+Inputs!$B$35/100))+MIN((Skills!T16*(1+Inputs!$B$35/100)),MAX(0,Inputs!$B$44-((R1493-1)*Skills!D16))))/Inputs!$B$44),IF(Inputs!$B$39="pvp",MIN((Skills!T16*(1+Inputs!$B$35/100)),15)/15,(Skills!T16*(1+Inputs!$B$35/100))/Skills!D16)))+0)/100)*I1486)</f>
        <v/>
      </c>
      <c r="L1486">
        <f>K1486*(MIN(Inputs!$B$23+((C1499=TRUE)*(F1499-Calc!F22)),Inputs!$B$24+((C1501=TRUE)*(F1501-Calc!F24)))/100+(Inputs!$B$24+((C1501=TRUE)*(F1501-Calc!F24)))/100)/2</f>
        <v/>
      </c>
      <c r="M1486">
        <f>L1486*(1+(Inputs!$B$11+0+B1511)/100)</f>
        <v/>
      </c>
      <c r="N1486">
        <f>L1486*(1-MIN((Inputs!$B$10+0+B1506),100)/100)+M1486*(MIN((Inputs!$B$10+0+B1506),100)/100)</f>
        <v/>
      </c>
      <c r="O1486">
        <f>(1-Summary!$B$55)*T1486+Summary!$B$55*V1486</f>
        <v/>
      </c>
      <c r="P1486">
        <f>IF(B1516=0,0,O1486/B1516)</f>
        <v/>
      </c>
      <c r="Q1486">
        <f>IFERROR(1/IF(Inputs!$B$39="pvp",15,MAX(0.1,Skills!D9-IF(Skills!E9=TRUE,3.5,0))),0)</f>
        <v/>
      </c>
      <c r="R1486">
        <f>IF(AND(Inputs!$B$39&lt;&gt;"pvp",Inputs!$B$44&gt;0),IF(MAX(0,Inputs!$B$44-B1513)&lt;=0,0,(INT(MAX(0,Inputs!$B$44-B1513)/IF(Inputs!$B$39="pvp",15,MAX(0.1,Skills!D9-IF(Skills!E9=TRUE,3.5,0))))+1)),0)</f>
        <v/>
      </c>
      <c r="S1486">
        <f>IFERROR(O1486/N1486,0)</f>
        <v/>
      </c>
      <c r="T1486">
        <f>IF(C1486,(H1486*N1486*IF(AND(Inputs!$B$39&lt;&gt;"pvp",Inputs!$B$44&gt;0),((Skills!G9*((R1486-1)*IF(Skills!H9&gt;0,Skills!I9/Skills!H9,1)+IF(Skills!H9&gt;0,MIN(Skills!I9,MAX(0,MAX(0,Inputs!$B$44-B1513)-((R1486-1)*IF(Inputs!$B$39="pvp",15,MAX(0.1,Skills!D9-IF(Skills!E9=TRUE,3.5,0))))))/Skills!H9,1)))/Inputs!$B$44),G1486*Q1486))*IF(Inputs!$B$39="pvp",1,1+(Inputs!$B$21+0+Skills!P9+((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0)</f>
        <v/>
      </c>
      <c r="V1486">
        <f>IF(C1486,(H1486*N1486*IF(AND(Inputs!$B$39&lt;&gt;"pvp",Inputs!$B$44&gt;0),((Skills!G9*((R1486-1)*IF(Skills!H9&gt;0,Skills!I9/Skills!H9,1)+IF(Skills!H9&gt;0,MIN(Skills!I9,MAX(0,MAX(0,Inputs!$B$44-B1513)-((R1486-1)*IF(Inputs!$B$39="pvp",15,MAX(0.1,Skills!D9-IF(Skills!E9=TRUE,3.5,0))))))/Skills!H9,1)))/Inputs!$B$44),G1486*Q1486))*IF(Inputs!$B$39="pvp",1,(1+(Inputs!$B$22+Skills!Q9+((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MIN(Skills!R9,Inputs!$B$38))),0)</f>
        <v/>
      </c>
    </row>
    <row r="1487">
      <c r="A1487">
        <f>Skills!A10</f>
        <v/>
      </c>
      <c r="B1487">
        <f>Skills!B10</f>
        <v/>
      </c>
      <c r="C1487">
        <f>Inputs!$B$3&gt;=110</f>
        <v/>
      </c>
      <c r="D1487">
        <f>IF(Skills!C10=1,60+Inputs!$B$26+Inputs!$B$30,IF(Skills!C10=2,90+Inputs!$B$27+Inputs!$B$30,IF(Skills!C10=3,120+Inputs!$B$28+Inputs!$B$30,MAX(0,(Inputs!$B$3-100)*3)+Inputs!$B$29+Inputs!$B$30)))</f>
        <v/>
      </c>
      <c r="E1487">
        <f>INDEX(FactorTable!$B$2:$Y$301, MATCH(ROUND(MIN(300,MAX(1,D1487)),0), FactorTable!$A$2:$A$301,0), Skills!M10+1)</f>
        <v/>
      </c>
      <c r="F1487">
        <f>IF(Skills!N10=TRUE,(Skills!L10/10)*(E1487/1000),Skills!L10/10)+Skills!O10</f>
        <v/>
      </c>
      <c r="G1487">
        <f>Skills!G10*IF(Skills!H10&gt;0,Skills!I10/Skills!H10,1)</f>
        <v/>
      </c>
      <c r="H1487">
        <f>1-(1-Skills!J10/100)^Skills!K10</f>
        <v/>
      </c>
      <c r="I1487" t="inlineStr">
        <is>
          <t>1</t>
        </is>
      </c>
      <c r="J1487">
        <f>((Inputs!$B$6*(1+Inputs!$B$7/100))+(((Inputs!$B$13*(1+Inputs!$B$14/100))-(Inputs!$B$13*(1+Inputs!$B$14/100)))+0.25*(Inputs!$B$15-Inputs!$B$15))*(1+Inputs!$B$7/100))*(F1487/100)</f>
        <v/>
      </c>
      <c r="K1487">
        <f>J1487*(1+(((Inputs!$B$13+IF(Inputs!$B$3&gt;=38,(10*INDEX(FactorTable!$B$2:$Y$301, MATCH(ROUND(MIN(300,MAX(1,Inputs!$B$3)),0), FactorTable!$A$2:$A$301,0), 23)/1000)/100*(Inputs!$B$8*(1+Inputs!$B$9/100)),0))*(1+Inputs!$B$14/100))*0.01+Inputs!$B$15*0.0025)/100)*(1+Inputs!$B$16/100)*(1+Inputs!$B$17/100)*(5000/(6000+Inputs!$B$43*(1-(Inputs!$B$20+0)/100)))*(1+(Inputs!$B$25+((C1502=TRUE)*(F1502-Calc!F25))+((C1503=TRUE)*(F1503-Calc!F26))+B1512)/100)*(1+(IF(Skills!A10="DARK_IMPALE",Inputs!$B$18+0,Inputs!$B$19+((C1500=TRUE)*(F1500-Calc!F23))))/100)*((1+(((C1490=TRUE)*F1490*IF(AND(Inputs!$B$39&lt;&gt;"pvp",Inputs!$B$44&gt;0),(((R1490-1)*(Skills!T13*(1+Inputs!$B$35/100))+MIN((Skills!T13*(1+Inputs!$B$35/100)),MAX(0,Inputs!$B$44-((R1490-1)*Skills!D13))))/Inputs!$B$44),IF(Inputs!$B$39="pvp",MIN((Skills!T13*(1+Inputs!$B$35/100)),15)/15,(Skills!T13*(1+Inputs!$B$35/100))/Skills!D13)))+((C1491=TRUE)*F1491*IF(AND(Inputs!$B$39&lt;&gt;"pvp",Inputs!$B$44&gt;0),(((R1491-1)*(Skills!T14*(1+Inputs!$B$35/100))+MIN((Skills!T14*(1+Inputs!$B$35/100)),MAX(0,Inputs!$B$44-((R1491-1)*Skills!D14))))/Inputs!$B$44),IF(Inputs!$B$39="pvp",MIN((Skills!T14*(1+Inputs!$B$35/100)),15)/15,(Skills!T14*(1+Inputs!$B$35/100))/Skills!D14)))+((C1492=TRUE)*F1492*IF(AND(Inputs!$B$39&lt;&gt;"pvp",Inputs!$B$44&gt;0),(((R1492-1)*(Skills!T15*(1+Inputs!$B$35/100))+MIN((Skills!T15*(1+Inputs!$B$35/100)),MAX(0,Inputs!$B$44-((R1492-1)*Skills!D15))))/Inputs!$B$44),IF(Inputs!$B$39="pvp",MIN((Skills!T15*(1+Inputs!$B$35/100)),15)/15,(Skills!T15*(1+Inputs!$B$35/100))/Skills!D15)))+((C1493=TRUE)*F1493*IF(AND(Inputs!$B$39&lt;&gt;"pvp",Inputs!$B$44&gt;0),(((R1493-1)*(Skills!T16*(1+Inputs!$B$35/100))+MIN((Skills!T16*(1+Inputs!$B$35/100)),MAX(0,Inputs!$B$44-((R1493-1)*Skills!D16))))/Inputs!$B$44),IF(Inputs!$B$39="pvp",MIN((Skills!T16*(1+Inputs!$B$35/100)),15)/15,(Skills!T16*(1+Inputs!$B$35/100))/Skills!D16)))+0)/100)*I1487)</f>
        <v/>
      </c>
      <c r="L1487">
        <f>K1487*(MIN(Inputs!$B$23+((C1499=TRUE)*(F1499-Calc!F22)),Inputs!$B$24+((C1501=TRUE)*(F1501-Calc!F24)))/100+(Inputs!$B$24+((C1501=TRUE)*(F1501-Calc!F24)))/100)/2</f>
        <v/>
      </c>
      <c r="M1487">
        <f>L1487*(1+(Inputs!$B$11+0+B1511)/100)</f>
        <v/>
      </c>
      <c r="N1487">
        <f>L1487*(1-MIN((Inputs!$B$10+0+B1506),100)/100)+M1487*(MIN((Inputs!$B$10+0+B1506),100)/100)</f>
        <v/>
      </c>
      <c r="O1487">
        <f>(1-Summary!$B$55)*T1487+Summary!$B$55*V1487</f>
        <v/>
      </c>
      <c r="P1487">
        <f>IF(B1516=0,0,O1487/B1516)</f>
        <v/>
      </c>
      <c r="Q1487">
        <f>IFERROR(1/IF(Inputs!$B$39="pvp",15,MAX(0.1,Skills!D10-IF(Skills!E10=TRUE,3.5,0))),0)</f>
        <v/>
      </c>
      <c r="R1487">
        <f>IF(AND(Inputs!$B$39&lt;&gt;"pvp",Inputs!$B$44&gt;0),IF(MAX(0,Inputs!$B$44-B1513)&lt;=0,0,(INT(MAX(0,Inputs!$B$44-B1513)/IF(Inputs!$B$39="pvp",15,MAX(0.1,Skills!D10-IF(Skills!E10=TRUE,3.5,0))))+1)),0)</f>
        <v/>
      </c>
      <c r="S1487">
        <f>IFERROR(O1487/N1487,0)</f>
        <v/>
      </c>
      <c r="T1487">
        <f>IF(C1487,(H1487*N1487*IF(AND(Inputs!$B$39&lt;&gt;"pvp",Inputs!$B$44&gt;0),((Skills!G10*((R1487-1)*IF(Skills!H10&gt;0,Skills!I10/Skills!H10,1)+IF(Skills!H10&gt;0,MIN(Skills!I10,MAX(0,MAX(0,Inputs!$B$44-B1513)-((R1487-1)*IF(Inputs!$B$39="pvp",15,MAX(0.1,Skills!D10-IF(Skills!E10=TRUE,3.5,0))))))/Skills!H10,1)))/Inputs!$B$44),G1487*Q1487))*IF(Inputs!$B$39="pvp",1,1+(Inputs!$B$21+0+Skills!P10+((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0)</f>
        <v/>
      </c>
      <c r="V1487">
        <f>IF(C1487,(H1487*N1487*IF(AND(Inputs!$B$39&lt;&gt;"pvp",Inputs!$B$44&gt;0),((Skills!G10*((R1487-1)*IF(Skills!H10&gt;0,Skills!I10/Skills!H10,1)+IF(Skills!H10&gt;0,MIN(Skills!I10,MAX(0,MAX(0,Inputs!$B$44-B1513)-((R1487-1)*IF(Inputs!$B$39="pvp",15,MAX(0.1,Skills!D10-IF(Skills!E10=TRUE,3.5,0))))))/Skills!H10,1)))/Inputs!$B$44),G1487*Q1487))*IF(Inputs!$B$39="pvp",1,(1+(Inputs!$B$22+Skills!Q10+((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MIN(Skills!R10,Inputs!$B$38))),0)</f>
        <v/>
      </c>
    </row>
    <row r="1488">
      <c r="A1488">
        <f>Skills!A11</f>
        <v/>
      </c>
      <c r="B1488">
        <f>Skills!B11</f>
        <v/>
      </c>
      <c r="C1488">
        <f>Inputs!$B$3&gt;=100</f>
        <v/>
      </c>
      <c r="D1488">
        <f>IF(Skills!C11=1,60+Inputs!$B$26+Inputs!$B$30,IF(Skills!C11=2,90+Inputs!$B$27+Inputs!$B$30,IF(Skills!C11=3,120+Inputs!$B$28+Inputs!$B$30,MAX(0,(Inputs!$B$3-100)*3)+Inputs!$B$29+Inputs!$B$30)))</f>
        <v/>
      </c>
      <c r="E1488">
        <f>INDEX(FactorTable!$B$2:$Y$301, MATCH(ROUND(MIN(300,MAX(1,D1488)),0), FactorTable!$A$2:$A$301,0), Skills!M11+1)</f>
        <v/>
      </c>
      <c r="F1488">
        <f>IF(Skills!N11=TRUE,(Skills!L11/10)*(E1488/1000),Skills!L11/10)+Skills!O11</f>
        <v/>
      </c>
      <c r="G1488" t="inlineStr"/>
      <c r="H1488" t="inlineStr"/>
      <c r="I1488" t="inlineStr">
        <is>
          <t>1</t>
        </is>
      </c>
      <c r="J1488" t="inlineStr"/>
      <c r="K1488" t="inlineStr"/>
      <c r="L1488" t="inlineStr"/>
      <c r="M1488" t="inlineStr"/>
      <c r="N1488" t="inlineStr"/>
      <c r="O1488" t="inlineStr"/>
      <c r="P1488" t="inlineStr"/>
      <c r="Q1488" t="inlineStr"/>
      <c r="R1488" t="inlineStr"/>
      <c r="S1488" t="inlineStr"/>
    </row>
    <row r="1489">
      <c r="A1489">
        <f>Skills!A12</f>
        <v/>
      </c>
      <c r="B1489">
        <f>Skills!B12</f>
        <v/>
      </c>
      <c r="C1489">
        <f>Inputs!$B$3&gt;=63</f>
        <v/>
      </c>
      <c r="D1489">
        <f>IF(Skills!C12=1,60+Inputs!$B$26+Inputs!$B$30,IF(Skills!C12=2,90+Inputs!$B$27+Inputs!$B$30,IF(Skills!C12=3,120+Inputs!$B$28+Inputs!$B$30,MAX(0,(Inputs!$B$3-100)*3)+Inputs!$B$29+Inputs!$B$30)))</f>
        <v/>
      </c>
      <c r="E1489">
        <f>INDEX(FactorTable!$B$2:$Y$301, MATCH(ROUND(MIN(300,MAX(1,D1489)),0), FactorTable!$A$2:$A$301,0), Skills!M12+1)</f>
        <v/>
      </c>
      <c r="F1489">
        <f>IF(Skills!N12=TRUE,(Skills!L12/10)*(E1489/1000),Skills!L12/10)+Skills!O12</f>
        <v/>
      </c>
      <c r="G1489">
        <f>Skills!G12*IF(Skills!H12&gt;0,Skills!I12/Skills!H12,1)</f>
        <v/>
      </c>
      <c r="H1489">
        <f>1-(1-Skills!J12/100)^Skills!K12</f>
        <v/>
      </c>
      <c r="I1489" t="inlineStr">
        <is>
          <t>1</t>
        </is>
      </c>
      <c r="J1489">
        <f>((Inputs!$B$6*(1+Inputs!$B$7/100))+(((Inputs!$B$13*(1+Inputs!$B$14/100))-(Inputs!$B$13*(1+Inputs!$B$14/100)))+0.25*(Inputs!$B$15-Inputs!$B$15))*(1+Inputs!$B$7/100))*(F1489/100)</f>
        <v/>
      </c>
      <c r="K1489">
        <f>J1489*(1+(((Inputs!$B$13+IF(Inputs!$B$3&gt;=38,(10*INDEX(FactorTable!$B$2:$Y$301, MATCH(ROUND(MIN(300,MAX(1,Inputs!$B$3)),0), FactorTable!$A$2:$A$301,0), 23)/1000)/100*(Inputs!$B$8*(1+Inputs!$B$9/100)),0))*(1+Inputs!$B$14/100))*0.01+Inputs!$B$15*0.0025)/100)*(1+Inputs!$B$16/100)*(1+Inputs!$B$17/100)*(5000/(6000+Inputs!$B$43*(1-(Inputs!$B$20+0)/100)))*(1+(Inputs!$B$25+((C1502=TRUE)*(F1502-Calc!F25))+((C1503=TRUE)*(F1503-Calc!F26))+B1512)/100)*(1+0.75*IF(C1488=TRUE,F1488,0)/100)*(1+(IF(Skills!A12="DARK_IMPALE",Inputs!$B$18+0,Inputs!$B$19+((C1500=TRUE)*(F1500-Calc!F23))))/100)*((1+(((C1490=TRUE)*F1490*IF(AND(Inputs!$B$39&lt;&gt;"pvp",Inputs!$B$44&gt;0),(((R1490-1)*(Skills!T13*(1+Inputs!$B$35/100))+MIN((Skills!T13*(1+Inputs!$B$35/100)),MAX(0,Inputs!$B$44-((R1490-1)*Skills!D13))))/Inputs!$B$44),IF(Inputs!$B$39="pvp",MIN((Skills!T13*(1+Inputs!$B$35/100)),15)/15,(Skills!T13*(1+Inputs!$B$35/100))/Skills!D13)))+((C1491=TRUE)*F1491*IF(AND(Inputs!$B$39&lt;&gt;"pvp",Inputs!$B$44&gt;0),(((R1491-1)*(Skills!T14*(1+Inputs!$B$35/100))+MIN((Skills!T14*(1+Inputs!$B$35/100)),MAX(0,Inputs!$B$44-((R1491-1)*Skills!D14))))/Inputs!$B$44),IF(Inputs!$B$39="pvp",MIN((Skills!T14*(1+Inputs!$B$35/100)),15)/15,(Skills!T14*(1+Inputs!$B$35/100))/Skills!D14)))+((C1492=TRUE)*F1492*IF(AND(Inputs!$B$39&lt;&gt;"pvp",Inputs!$B$44&gt;0),(((R1492-1)*(Skills!T15*(1+Inputs!$B$35/100))+MIN((Skills!T15*(1+Inputs!$B$35/100)),MAX(0,Inputs!$B$44-((R1492-1)*Skills!D15))))/Inputs!$B$44),IF(Inputs!$B$39="pvp",MIN((Skills!T15*(1+Inputs!$B$35/100)),15)/15,(Skills!T15*(1+Inputs!$B$35/100))/Skills!D15)))+((C1493=TRUE)*F1493*IF(AND(Inputs!$B$39&lt;&gt;"pvp",Inputs!$B$44&gt;0),(((R1493-1)*(Skills!T16*(1+Inputs!$B$35/100))+MIN((Skills!T16*(1+Inputs!$B$35/100)),MAX(0,Inputs!$B$44-((R1493-1)*Skills!D16))))/Inputs!$B$44),IF(Inputs!$B$39="pvp",MIN((Skills!T16*(1+Inputs!$B$35/100)),15)/15,(Skills!T16*(1+Inputs!$B$35/100))/Skills!D16)))+0)/100)*I1489)</f>
        <v/>
      </c>
      <c r="L1489">
        <f>K1489*(MIN(Inputs!$B$23+((C1499=TRUE)*(F1499-Calc!F22)),Inputs!$B$24+((C1501=TRUE)*(F1501-Calc!F24)))/100+(Inputs!$B$24+((C1501=TRUE)*(F1501-Calc!F24)))/100)/2</f>
        <v/>
      </c>
      <c r="M1489">
        <f>L1489*(1+(Inputs!$B$11+0+B1511)/100)</f>
        <v/>
      </c>
      <c r="N1489">
        <f>L1489*(1-MIN((Inputs!$B$10+0+B1506),100)/100)+M1489*(MIN((Inputs!$B$10+0+B1506),100)/100)</f>
        <v/>
      </c>
      <c r="O1489">
        <f>(1-Summary!$B$55)*T1489+Summary!$B$55*V1489</f>
        <v/>
      </c>
      <c r="P1489">
        <f>IF(B1516=0,0,O1489/B1516)</f>
        <v/>
      </c>
      <c r="Q1489">
        <f>IFERROR(1/IF(Inputs!$B$39="pvp",15,MAX(0.1,Skills!D12-IF(Skills!E12=TRUE,3.5,0))),0)</f>
        <v/>
      </c>
      <c r="R1489">
        <f>IF(AND(Inputs!$B$39&lt;&gt;"pvp",Inputs!$B$44&gt;0),IF(MAX(0,Inputs!$B$44-B1513)&lt;=0,0,(INT(MAX(0,Inputs!$B$44-B1513)/IF(Inputs!$B$39="pvp",15,MAX(0.1,Skills!D12-IF(Skills!E12=TRUE,3.5,0))))+1)),0)</f>
        <v/>
      </c>
      <c r="S1489">
        <f>IFERROR(O1489/N1489,0)</f>
        <v/>
      </c>
      <c r="T1489">
        <f>IF(C1489,(H1489*N1489*IF(AND(Inputs!$B$39&lt;&gt;"pvp",Inputs!$B$44&gt;0),((Skills!G12*((R1489-1)*IF(Skills!H12&gt;0,Skills!I12/Skills!H12,1)+IF(Skills!H12&gt;0,MIN(Skills!I12,MAX(0,MAX(0,Inputs!$B$44-B1513)-((R1489-1)*IF(Inputs!$B$39="pvp",15,MAX(0.1,Skills!D12-IF(Skills!E12=TRUE,3.5,0))))))/Skills!H12,1)))/Inputs!$B$44),G1489*Q1489))*IF(Inputs!$B$39="pvp",1,1+(Inputs!$B$21+0+Skills!P12+((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0)</f>
        <v/>
      </c>
      <c r="V1489">
        <f>IF(C1489,(H1489*N1489*IF(AND(Inputs!$B$39&lt;&gt;"pvp",Inputs!$B$44&gt;0),((Skills!G12*((R1489-1)*IF(Skills!H12&gt;0,Skills!I12/Skills!H12,1)+IF(Skills!H12&gt;0,MIN(Skills!I12,MAX(0,MAX(0,Inputs!$B$44-B1513)-((R1489-1)*IF(Inputs!$B$39="pvp",15,MAX(0.1,Skills!D12-IF(Skills!E12=TRUE,3.5,0))))))/Skills!H12,1)))/Inputs!$B$44),G1489*Q1489))*IF(Inputs!$B$39="pvp",1,(1+(Inputs!$B$22+Skills!Q12+((C1494=TRUE)*F1494*IF(AND(Inputs!$B$39&lt;&gt;"pvp",Inputs!$B$44&gt;0),(((R1494-1)*(Skills!T17*(1+Inputs!$B$35/100))+MIN((Skills!T17*(1+Inputs!$B$35/100)),MAX(0,Inputs!$B$44-((R1494-1)*Skills!D17))))/Inputs!$B$44),IF(Inputs!$B$39="pvp",MIN((Skills!T17*(1+Inputs!$B$35/100)),15)/15,(Skills!T17*(1+Inputs!$B$35/100))/Skills!D17)))+((C1491=TRUE)*IF(Inputs!$B$39="pvp",20,(1-Summary!$B$55)*(20)+Summary!$B$55*(0))*IF(AND(Inputs!$B$39&lt;&gt;"pvp",Inputs!$B$44&gt;0),(((R1491-1)*(Skills!T14*(1+Inputs!$B$35/100))+MIN((Skills!T14*(1+Inputs!$B$35/100)),MAX(0,Inputs!$B$44-((R1491-1)*Skills!D14))))/Inputs!$B$44),IF(Inputs!$B$39="pvp",MIN((Skills!T14*(1+Inputs!$B$35/100)),15)/15,(Skills!T14*(1+Inputs!$B$35/100))/Skills!D14))))/100)*(MIN(Skills!R12,Inputs!$B$38))),0)</f>
        <v/>
      </c>
    </row>
    <row r="1490">
      <c r="A1490">
        <f>Skills!A13</f>
        <v/>
      </c>
      <c r="B1490">
        <f>Skills!B13</f>
        <v/>
      </c>
      <c r="C1490">
        <f>Inputs!$B$3&gt;=69</f>
        <v/>
      </c>
      <c r="D1490">
        <f>IF(Skills!C13=1,60+Inputs!$B$26+Inputs!$B$30,IF(Skills!C13=2,90+Inputs!$B$27+Inputs!$B$30,IF(Skills!C13=3,120+Inputs!$B$28+Inputs!$B$30,MAX(0,(Inputs!$B$3-100)*3)+Inputs!$B$29+Inputs!$B$30)))</f>
        <v/>
      </c>
      <c r="E1490">
        <f>INDEX(FactorTable!$B$2:$Y$301, MATCH(ROUND(MIN(300,MAX(1,D1490)),0), FactorTable!$A$2:$A$301,0), Skills!M13+1)</f>
        <v/>
      </c>
      <c r="F1490">
        <f>IF(Skills!N13=TRUE,(Skills!L13/10)*(E1490/1000),Skills!L13/10)+Skills!O13</f>
        <v/>
      </c>
      <c r="G1490">
        <f>Skills!G13*IF(Skills!H13&gt;0,Skills!I13/Skills!H13,1)</f>
        <v/>
      </c>
      <c r="H1490">
        <f>1-(1-Skills!J13/100)^Skills!K13</f>
        <v/>
      </c>
      <c r="I1490" t="inlineStr">
        <is>
          <t>1</t>
        </is>
      </c>
      <c r="J1490" t="inlineStr"/>
      <c r="K1490" t="inlineStr"/>
      <c r="L1490" t="inlineStr"/>
      <c r="M1490" t="inlineStr"/>
      <c r="N1490" t="inlineStr"/>
      <c r="O1490">
        <f>(1-Summary!$B$55)*T1490+Summary!$B$55*V1490</f>
        <v/>
      </c>
      <c r="P1490">
        <f>IF(B1516=0,0,O1490/B1516)</f>
        <v/>
      </c>
      <c r="Q1490">
        <f>IFERROR(1/IF(Inputs!$B$39="pvp",15,MAX(0.1,Skills!D13-IF(Skills!E13=TRUE,3.5,0))),0)</f>
        <v/>
      </c>
      <c r="R1490">
        <f>IF(AND(Inputs!$B$39&lt;&gt;"pvp",Inputs!$B$44&gt;0),IF(Inputs!$B$44&lt;=0,0,(INT(Inputs!$B$44/IF(Inputs!$B$39="pvp",15,MAX(0.1,Skills!D13-IF(Skills!E13=TRUE,3.5,0))))+1)),0)</f>
        <v/>
      </c>
      <c r="S1490">
        <f>IFERROR(O1490/N1490,0)</f>
        <v/>
      </c>
      <c r="T1490" t="n">
        <v>0</v>
      </c>
      <c r="V1490" t="n">
        <v>0</v>
      </c>
    </row>
    <row r="1491">
      <c r="A1491">
        <f>Skills!A14</f>
        <v/>
      </c>
      <c r="B1491">
        <f>Skills!B14</f>
        <v/>
      </c>
      <c r="C1491">
        <f>Inputs!$B$3&gt;=115</f>
        <v/>
      </c>
      <c r="D1491">
        <f>IF(Skills!C14=1,60+Inputs!$B$26+Inputs!$B$30,IF(Skills!C14=2,90+Inputs!$B$27+Inputs!$B$30,IF(Skills!C14=3,120+Inputs!$B$28+Inputs!$B$30,MAX(0,(Inputs!$B$3-100)*3)+Inputs!$B$29+Inputs!$B$30)))</f>
        <v/>
      </c>
      <c r="E1491">
        <f>INDEX(FactorTable!$B$2:$Y$301, MATCH(ROUND(MIN(300,MAX(1,D1491)),0), FactorTable!$A$2:$A$301,0), Skills!M14+1)</f>
        <v/>
      </c>
      <c r="F1491">
        <f>IF(Skills!N14=TRUE,(Skills!L14/10)*(E1491/1000),Skills!L14/10)+Skills!O14</f>
        <v/>
      </c>
      <c r="G1491">
        <f>Skills!G14*IF(Skills!H14&gt;0,Skills!I14/Skills!H14,1)</f>
        <v/>
      </c>
      <c r="H1491">
        <f>1-(1-Skills!J14/100)^Skills!K14</f>
        <v/>
      </c>
      <c r="I1491" t="inlineStr">
        <is>
          <t>1</t>
        </is>
      </c>
      <c r="J1491" t="inlineStr"/>
      <c r="K1491" t="inlineStr"/>
      <c r="L1491" t="inlineStr"/>
      <c r="M1491" t="inlineStr"/>
      <c r="N1491" t="inlineStr"/>
      <c r="O1491">
        <f>(1-Summary!$B$55)*T1491+Summary!$B$55*V1491</f>
        <v/>
      </c>
      <c r="P1491">
        <f>IF(B1516=0,0,O1491/B1516)</f>
        <v/>
      </c>
      <c r="Q1491">
        <f>IFERROR(1/IF(Inputs!$B$39="pvp",15,MAX(0.1,Skills!D14-IF(Skills!E14=TRUE,3.5,0))),0)</f>
        <v/>
      </c>
      <c r="R1491">
        <f>IF(AND(Inputs!$B$39&lt;&gt;"pvp",Inputs!$B$44&gt;0),IF(Inputs!$B$44&lt;=0,0,(INT(Inputs!$B$44/IF(Inputs!$B$39="pvp",15,MAX(0.1,Skills!D14-IF(Skills!E14=TRUE,3.5,0))))+1)),0)</f>
        <v/>
      </c>
      <c r="S1491">
        <f>IFERROR(O1491/N1491,0)</f>
        <v/>
      </c>
      <c r="T1491" t="n">
        <v>0</v>
      </c>
      <c r="V1491" t="n">
        <v>0</v>
      </c>
    </row>
    <row r="1492">
      <c r="A1492">
        <f>Skills!A15</f>
        <v/>
      </c>
      <c r="B1492">
        <f>Skills!B15</f>
        <v/>
      </c>
      <c r="C1492">
        <f>Inputs!$B$3&gt;=66</f>
        <v/>
      </c>
      <c r="D1492">
        <f>IF(Skills!C15=1,60+Inputs!$B$26+Inputs!$B$30,IF(Skills!C15=2,90+Inputs!$B$27+Inputs!$B$30,IF(Skills!C15=3,120+Inputs!$B$28+Inputs!$B$30,MAX(0,(Inputs!$B$3-100)*3)+Inputs!$B$29+Inputs!$B$30)))</f>
        <v/>
      </c>
      <c r="E1492">
        <f>INDEX(FactorTable!$B$2:$Y$301, MATCH(ROUND(MIN(300,MAX(1,D1492)),0), FactorTable!$A$2:$A$301,0), Skills!M15+1)</f>
        <v/>
      </c>
      <c r="F1492">
        <f>IF(Skills!N15=TRUE,(Skills!L15/10)*(E1492/1000),Skills!L15/10)+Skills!O15</f>
        <v/>
      </c>
      <c r="G1492">
        <f>Skills!G15*IF(Skills!H15&gt;0,Skills!I15/Skills!H15,1)</f>
        <v/>
      </c>
      <c r="H1492">
        <f>1-(1-Skills!J15/100)^Skills!K15</f>
        <v/>
      </c>
      <c r="I1492" t="inlineStr">
        <is>
          <t>1</t>
        </is>
      </c>
      <c r="J1492" t="inlineStr"/>
      <c r="K1492" t="inlineStr"/>
      <c r="L1492" t="inlineStr"/>
      <c r="M1492" t="inlineStr"/>
      <c r="N1492" t="inlineStr"/>
      <c r="O1492">
        <f>(1-Summary!$B$55)*T1492+Summary!$B$55*V1492</f>
        <v/>
      </c>
      <c r="P1492">
        <f>IF(B1516=0,0,O1492/B1516)</f>
        <v/>
      </c>
      <c r="Q1492">
        <f>IFERROR(1/IF(Inputs!$B$39="pvp",15,MAX(0.1,Skills!D15-IF(Skills!E15=TRUE,3.5,0))),0)</f>
        <v/>
      </c>
      <c r="R1492">
        <f>IF(AND(Inputs!$B$39&lt;&gt;"pvp",Inputs!$B$44&gt;0),IF(Inputs!$B$44&lt;=0,0,(INT(Inputs!$B$44/IF(Inputs!$B$39="pvp",15,MAX(0.1,Skills!D15-IF(Skills!E15=TRUE,3.5,0))))+1)),0)</f>
        <v/>
      </c>
      <c r="S1492">
        <f>IFERROR(O1492/N1492,0)</f>
        <v/>
      </c>
      <c r="T1492" t="n">
        <v>0</v>
      </c>
      <c r="V1492" t="n">
        <v>0</v>
      </c>
    </row>
    <row r="1493">
      <c r="A1493">
        <f>Skills!A16</f>
        <v/>
      </c>
      <c r="B1493">
        <f>Skills!B16</f>
        <v/>
      </c>
      <c r="C1493">
        <f>Inputs!$B$3&gt;=45</f>
        <v/>
      </c>
      <c r="D1493">
        <f>IF(Skills!C16=1,60+Inputs!$B$26+Inputs!$B$30,IF(Skills!C16=2,90+Inputs!$B$27+Inputs!$B$30,IF(Skills!C16=3,120+Inputs!$B$28+Inputs!$B$30,MAX(0,(Inputs!$B$3-100)*3)+Inputs!$B$29+Inputs!$B$30)))</f>
        <v/>
      </c>
      <c r="E1493">
        <f>INDEX(FactorTable!$B$2:$Y$301, MATCH(ROUND(MIN(300,MAX(1,D1493)),0), FactorTable!$A$2:$A$301,0), Skills!M16+1)</f>
        <v/>
      </c>
      <c r="F1493">
        <f>IF(Skills!N16=TRUE,(Skills!L16/10)*(E1493/1000),Skills!L16/10)+Skills!O16</f>
        <v/>
      </c>
      <c r="G1493">
        <f>Skills!G16*IF(Skills!H16&gt;0,Skills!I16/Skills!H16,1)</f>
        <v/>
      </c>
      <c r="H1493">
        <f>1-(1-Skills!J16/100)^Skills!K16</f>
        <v/>
      </c>
      <c r="I1493" t="inlineStr">
        <is>
          <t>1</t>
        </is>
      </c>
      <c r="J1493" t="inlineStr"/>
      <c r="K1493" t="inlineStr"/>
      <c r="L1493" t="inlineStr"/>
      <c r="M1493" t="inlineStr"/>
      <c r="N1493" t="inlineStr"/>
      <c r="O1493">
        <f>(1-Summary!$B$55)*T1493+Summary!$B$55*V1493</f>
        <v/>
      </c>
      <c r="P1493">
        <f>IF(B1516=0,0,O1493/B1516)</f>
        <v/>
      </c>
      <c r="Q1493">
        <f>IFERROR(1/IF(Inputs!$B$39="pvp",15,MAX(0.1,Skills!D16-IF(Skills!E16=TRUE,3.5,0))),0)</f>
        <v/>
      </c>
      <c r="R1493">
        <f>IF(AND(Inputs!$B$39&lt;&gt;"pvp",Inputs!$B$44&gt;0),IF(Inputs!$B$44&lt;=0,0,(INT(Inputs!$B$44/IF(Inputs!$B$39="pvp",15,MAX(0.1,Skills!D16-IF(Skills!E16=TRUE,3.5,0))))+1)),0)</f>
        <v/>
      </c>
      <c r="S1493">
        <f>IFERROR(O1493/N1493,0)</f>
        <v/>
      </c>
      <c r="T1493" t="n">
        <v>0</v>
      </c>
      <c r="V1493" t="n">
        <v>0</v>
      </c>
    </row>
    <row r="1494">
      <c r="A1494">
        <f>Skills!A17</f>
        <v/>
      </c>
      <c r="B1494">
        <f>Skills!B17</f>
        <v/>
      </c>
      <c r="C1494">
        <f>Inputs!$B$3&gt;=35</f>
        <v/>
      </c>
      <c r="D1494">
        <f>IF(Skills!C17=1,60+Inputs!$B$26+Inputs!$B$30,IF(Skills!C17=2,90+Inputs!$B$27+Inputs!$B$30,IF(Skills!C17=3,120+Inputs!$B$28+Inputs!$B$30,MAX(0,(Inputs!$B$3-100)*3)+Inputs!$B$29+Inputs!$B$30)))</f>
        <v/>
      </c>
      <c r="E1494">
        <f>INDEX(FactorTable!$B$2:$Y$301, MATCH(ROUND(MIN(300,MAX(1,D1494)),0), FactorTable!$A$2:$A$301,0), Skills!M17+1)</f>
        <v/>
      </c>
      <c r="F1494">
        <f>IF(Skills!N17=TRUE,(Skills!L17/10)*(E1494/1000),Skills!L17/10)+Skills!O17</f>
        <v/>
      </c>
      <c r="G1494">
        <f>Skills!G17*IF(Skills!H17&gt;0,Skills!I17/Skills!H17,1)</f>
        <v/>
      </c>
      <c r="H1494">
        <f>1-(1-Skills!J17/100)^Skills!K17</f>
        <v/>
      </c>
      <c r="I1494" t="inlineStr">
        <is>
          <t>1</t>
        </is>
      </c>
      <c r="J1494" t="inlineStr"/>
      <c r="K1494" t="inlineStr"/>
      <c r="L1494" t="inlineStr"/>
      <c r="M1494" t="inlineStr"/>
      <c r="N1494" t="inlineStr"/>
      <c r="O1494">
        <f>(1-Summary!$B$55)*T1494+Summary!$B$55*V1494</f>
        <v/>
      </c>
      <c r="P1494">
        <f>IF(B1516=0,0,O1494/B1516)</f>
        <v/>
      </c>
      <c r="Q1494">
        <f>IFERROR(1/IF(Inputs!$B$39="pvp",15,MAX(0.1,Skills!D17-IF(Skills!E17=TRUE,3.5,0))),0)</f>
        <v/>
      </c>
      <c r="R1494">
        <f>IF(AND(Inputs!$B$39&lt;&gt;"pvp",Inputs!$B$44&gt;0),IF(Inputs!$B$44&lt;=0,0,(INT(Inputs!$B$44/IF(Inputs!$B$39="pvp",15,MAX(0.1,Skills!D17-IF(Skills!E17=TRUE,3.5,0))))+1)),0)</f>
        <v/>
      </c>
      <c r="S1494">
        <f>IFERROR(O1494/N1494,0)</f>
        <v/>
      </c>
      <c r="T1494" t="n">
        <v>0</v>
      </c>
      <c r="V1494" t="n">
        <v>0</v>
      </c>
    </row>
    <row r="1495">
      <c r="A1495">
        <f>Skills!A18</f>
        <v/>
      </c>
      <c r="B1495">
        <f>Skills!B18</f>
        <v/>
      </c>
      <c r="C1495">
        <f>Inputs!$B$3&gt;=72</f>
        <v/>
      </c>
      <c r="D1495">
        <f>IF(Skills!C18=1,60+Inputs!$B$26+Inputs!$B$30,IF(Skills!C18=2,90+Inputs!$B$27+Inputs!$B$30,IF(Skills!C18=3,120+Inputs!$B$28+Inputs!$B$30,MAX(0,(Inputs!$B$3-100)*3)+Inputs!$B$29+Inputs!$B$30)))</f>
        <v/>
      </c>
      <c r="E1495">
        <f>INDEX(FactorTable!$B$2:$Y$301, MATCH(ROUND(MIN(300,MAX(1,D1495)),0), FactorTable!$A$2:$A$301,0), Skills!M18+1)</f>
        <v/>
      </c>
      <c r="F1495">
        <f>IF(Skills!N18=TRUE,(Skills!L18/10)*(E1495/1000),Skills!L18/10)+Skills!O18</f>
        <v/>
      </c>
      <c r="G1495">
        <f>Skills!G18*IF(Skills!H18&gt;0,Skills!I18/Skills!H18,1)</f>
        <v/>
      </c>
      <c r="H1495">
        <f>1-(1-Skills!J18/100)^Skills!K18</f>
        <v/>
      </c>
      <c r="I1495" t="inlineStr">
        <is>
          <t>1</t>
        </is>
      </c>
      <c r="J1495" t="inlineStr"/>
      <c r="K1495" t="inlineStr"/>
      <c r="L1495" t="inlineStr"/>
      <c r="M1495" t="inlineStr"/>
      <c r="N1495" t="inlineStr"/>
      <c r="O1495">
        <f>(1-Summary!$B$55)*T1495+Summary!$B$55*V1495</f>
        <v/>
      </c>
      <c r="P1495">
        <f>IF(B1516=0,0,O1495/B1516)</f>
        <v/>
      </c>
      <c r="Q1495">
        <f>IFERROR(1/IF(Inputs!$B$39="pvp",15,MAX(0.1,Skills!D18-IF(Skills!E18=TRUE,3.5,0))),0)</f>
        <v/>
      </c>
      <c r="R1495">
        <f>IF(AND(Inputs!$B$39&lt;&gt;"pvp",Inputs!$B$44&gt;0),IF(Inputs!$B$44&lt;=0,0,(INT(Inputs!$B$44/IF(Inputs!$B$39="pvp",15,MAX(0.1,Skills!D18-IF(Skills!E18=TRUE,3.5,0))))+1)),0)</f>
        <v/>
      </c>
      <c r="S1495">
        <f>IFERROR(O1495/N1495,0)</f>
        <v/>
      </c>
      <c r="T1495" t="n">
        <v>0</v>
      </c>
      <c r="V1495" t="n">
        <v>0</v>
      </c>
    </row>
    <row r="1496">
      <c r="A1496">
        <f>Skills!A19</f>
        <v/>
      </c>
      <c r="B1496">
        <f>Skills!B19</f>
        <v/>
      </c>
      <c r="C1496">
        <f>Inputs!$B$3&gt;=72</f>
        <v/>
      </c>
      <c r="D1496">
        <f>IF(Skills!C19=1,60+Inputs!$B$26+Inputs!$B$30,IF(Skills!C19=2,90+Inputs!$B$27+Inputs!$B$30,IF(Skills!C19=3,120+Inputs!$B$28+Inputs!$B$30,MAX(0,(Inputs!$B$3-100)*3)+Inputs!$B$29+Inputs!$B$30)))</f>
        <v/>
      </c>
      <c r="E1496">
        <f>INDEX(FactorTable!$B$2:$Y$301, MATCH(ROUND(MIN(300,MAX(1,D1496)),0), FactorTable!$A$2:$A$301,0), Skills!M19+1)</f>
        <v/>
      </c>
      <c r="F1496">
        <f>IF(Skills!N19=TRUE,(Skills!L19/10)*(E1496/1000),Skills!L19/10)+Skills!O19</f>
        <v/>
      </c>
      <c r="G1496">
        <f>Skills!G19*IF(Skills!H19&gt;0,Skills!I19/Skills!H19,1)</f>
        <v/>
      </c>
      <c r="H1496">
        <f>1-(1-Skills!J19/100)^Skills!K19</f>
        <v/>
      </c>
      <c r="I1496" t="inlineStr">
        <is>
          <t>1</t>
        </is>
      </c>
      <c r="J1496" t="inlineStr"/>
      <c r="K1496" t="inlineStr"/>
      <c r="L1496" t="inlineStr"/>
      <c r="M1496" t="inlineStr"/>
      <c r="N1496" t="inlineStr"/>
      <c r="O1496">
        <f>(1-Summary!$B$55)*T1496+Summary!$B$55*V1496</f>
        <v/>
      </c>
      <c r="P1496">
        <f>IF(B1516=0,0,O1496/B1516)</f>
        <v/>
      </c>
      <c r="Q1496">
        <f>IFERROR(1/IF(Inputs!$B$39="pvp",15,MAX(0.1,Skills!D19-IF(Skills!E19=TRUE,3.5,0))),0)</f>
        <v/>
      </c>
      <c r="R1496">
        <f>IF(AND(Inputs!$B$39&lt;&gt;"pvp",Inputs!$B$44&gt;0),IF(Inputs!$B$44&lt;=0,0,(INT(Inputs!$B$44/IF(Inputs!$B$39="pvp",15,MAX(0.1,Skills!D19-IF(Skills!E19=TRUE,3.5,0))))+1)),0)</f>
        <v/>
      </c>
      <c r="S1496">
        <f>IFERROR(O1496/N1496,0)</f>
        <v/>
      </c>
      <c r="T1496" t="n">
        <v>0</v>
      </c>
      <c r="V1496" t="n">
        <v>0</v>
      </c>
    </row>
    <row r="1497">
      <c r="A1497">
        <f>Skills!A20</f>
        <v/>
      </c>
      <c r="B1497">
        <f>Skills!B20</f>
        <v/>
      </c>
      <c r="C1497">
        <f>TRUE</f>
        <v/>
      </c>
      <c r="D1497">
        <f>IF(Skills!C20=1,60+Inputs!$B$26+Inputs!$B$30,IF(Skills!C20=2,90+Inputs!$B$27+Inputs!$B$30,IF(Skills!C20=3,120+Inputs!$B$28+Inputs!$B$30,MAX(0,(Inputs!$B$3-100)*3)+Inputs!$B$29+Inputs!$B$30)))</f>
        <v/>
      </c>
      <c r="E1497">
        <f>INDEX(FactorTable!$B$2:$Y$301, MATCH(ROUND(MIN(300,MAX(1,D1497)),0), FactorTable!$A$2:$A$301,0), Skills!M20+1)</f>
        <v/>
      </c>
      <c r="F1497">
        <f>IF(Skills!N20=TRUE,(Skills!L20/10)*(E1497/1000),Skills!L20/10)+Skills!O20</f>
        <v/>
      </c>
      <c r="G1497">
        <f>Skills!G20*IF(Skills!H20&gt;0,Skills!I20/Skills!H20,1)</f>
        <v/>
      </c>
      <c r="H1497">
        <f>1-(1-Skills!J20/100)^Skills!K20</f>
        <v/>
      </c>
      <c r="I1497" t="inlineStr">
        <is>
          <t>1</t>
        </is>
      </c>
      <c r="J1497" t="inlineStr"/>
      <c r="K1497" t="inlineStr"/>
      <c r="L1497" t="inlineStr"/>
      <c r="M1497" t="inlineStr"/>
      <c r="N1497" t="inlineStr"/>
      <c r="O1497">
        <f>(1-Summary!$B$55)*T1497+Summary!$B$55*V1497</f>
        <v/>
      </c>
      <c r="P1497">
        <f>IF(B1516=0,0,O1497/B1516)</f>
        <v/>
      </c>
      <c r="Q1497">
        <f>IFERROR(1/IF(Inputs!$B$39="pvp",15,MAX(0.1,Skills!D20-IF(Skills!E20=TRUE,3.5,0))),0)</f>
        <v/>
      </c>
      <c r="R1497">
        <f>IF(AND(Inputs!$B$39&lt;&gt;"pvp",Inputs!$B$44&gt;0),IF(Inputs!$B$44&lt;=0,0,(INT(Inputs!$B$44/IF(Inputs!$B$39="pvp",15,MAX(0.1,Skills!D20-IF(Skills!E20=TRUE,3.5,0))))+1)),0)</f>
        <v/>
      </c>
      <c r="S1497">
        <f>IFERROR(O1497/N1497,0)</f>
        <v/>
      </c>
      <c r="T1497" t="n">
        <v>0</v>
      </c>
      <c r="V1497" t="n">
        <v>0</v>
      </c>
    </row>
    <row r="1498">
      <c r="A1498">
        <f>Skills!A21</f>
        <v/>
      </c>
      <c r="B1498">
        <f>Skills!B21</f>
        <v/>
      </c>
      <c r="C1498">
        <f>Inputs!$B$3&gt;=33</f>
        <v/>
      </c>
      <c r="D1498">
        <f>IF(Skills!C21=1,60+Inputs!$B$26+Inputs!$B$30,IF(Skills!C21=2,90+Inputs!$B$27+Inputs!$B$30,IF(Skills!C21=3,120+Inputs!$B$28+Inputs!$B$30,MAX(0,(Inputs!$B$3-100)*3)+Inputs!$B$29+Inputs!$B$30)))</f>
        <v/>
      </c>
      <c r="E1498">
        <f>INDEX(FactorTable!$B$2:$Y$301, MATCH(ROUND(MIN(300,MAX(1,D1498)),0), FactorTable!$A$2:$A$301,0), Skills!M21+1)</f>
        <v/>
      </c>
      <c r="F1498">
        <f>IF(Skills!N21=TRUE,(Skills!L21/10)*(E1498/1000),Skills!L21/10)+Skills!O21</f>
        <v/>
      </c>
      <c r="G1498">
        <f>Skills!G21*IF(Skills!H21&gt;0,Skills!I21/Skills!H21,1)</f>
        <v/>
      </c>
      <c r="H1498">
        <f>1-(1-Skills!J21/100)^Skills!K21</f>
        <v/>
      </c>
      <c r="I1498" t="inlineStr">
        <is>
          <t>1</t>
        </is>
      </c>
      <c r="J1498" t="inlineStr"/>
      <c r="K1498" t="inlineStr"/>
      <c r="L1498" t="inlineStr"/>
      <c r="M1498" t="inlineStr"/>
      <c r="N1498" t="inlineStr"/>
      <c r="O1498">
        <f>(1-Summary!$B$55)*T1498+Summary!$B$55*V1498</f>
        <v/>
      </c>
      <c r="P1498">
        <f>IF(B1516=0,0,O1498/B1516)</f>
        <v/>
      </c>
      <c r="Q1498" t="n">
        <v>0</v>
      </c>
      <c r="R1498" t="n">
        <v>0</v>
      </c>
      <c r="S1498">
        <f>IFERROR(O1498/N1498,0)</f>
        <v/>
      </c>
      <c r="T1498" t="n">
        <v>0</v>
      </c>
      <c r="V1498" t="n">
        <v>0</v>
      </c>
    </row>
    <row r="1499">
      <c r="A1499">
        <f>Skills!A22</f>
        <v/>
      </c>
      <c r="B1499">
        <f>Skills!B22</f>
        <v/>
      </c>
      <c r="C1499">
        <f>Inputs!$B$3&gt;=43</f>
        <v/>
      </c>
      <c r="D1499">
        <f>IF(Skills!C22=1,60+Inputs!$B$26+Inputs!$B$30,IF(Skills!C22=2,90+Inputs!$B$27+Inputs!$B$30,IF(Skills!C22=3,120+Inputs!$B$28+Inputs!$B$30,MAX(0,(Inputs!$B$3-100)*3)+Inputs!$B$29+Inputs!$B$30)))</f>
        <v/>
      </c>
      <c r="E1499">
        <f>INDEX(FactorTable!$B$2:$Y$301, MATCH(ROUND(MIN(300,MAX(1,D1499)),0), FactorTable!$A$2:$A$301,0), Skills!M22+1)</f>
        <v/>
      </c>
      <c r="F1499">
        <f>IF(Skills!N22=TRUE,(Skills!L22/10)*(E1499/1000),Skills!L22/10)+Skills!O22</f>
        <v/>
      </c>
      <c r="G1499">
        <f>Skills!G22*IF(Skills!H22&gt;0,Skills!I22/Skills!H22,1)</f>
        <v/>
      </c>
      <c r="H1499">
        <f>1-(1-Skills!J22/100)^Skills!K22</f>
        <v/>
      </c>
      <c r="I1499" t="inlineStr">
        <is>
          <t>1</t>
        </is>
      </c>
      <c r="J1499" t="inlineStr"/>
      <c r="K1499" t="inlineStr"/>
      <c r="L1499" t="inlineStr"/>
      <c r="M1499" t="inlineStr"/>
      <c r="N1499" t="inlineStr"/>
      <c r="O1499">
        <f>(1-Summary!$B$55)*T1499+Summary!$B$55*V1499</f>
        <v/>
      </c>
      <c r="P1499">
        <f>IF(B1516=0,0,O1499/B1516)</f>
        <v/>
      </c>
      <c r="Q1499" t="n">
        <v>0</v>
      </c>
      <c r="R1499" t="n">
        <v>0</v>
      </c>
      <c r="S1499">
        <f>IFERROR(O1499/N1499,0)</f>
        <v/>
      </c>
      <c r="T1499" t="n">
        <v>0</v>
      </c>
      <c r="V1499" t="n">
        <v>0</v>
      </c>
    </row>
    <row r="1500">
      <c r="A1500">
        <f>Skills!A23</f>
        <v/>
      </c>
      <c r="B1500">
        <f>Skills!B23</f>
        <v/>
      </c>
      <c r="C1500">
        <f>Inputs!$B$3&gt;=120</f>
        <v/>
      </c>
      <c r="D1500">
        <f>IF(Skills!C23=1,60+Inputs!$B$26+Inputs!$B$30,IF(Skills!C23=2,90+Inputs!$B$27+Inputs!$B$30,IF(Skills!C23=3,120+Inputs!$B$28+Inputs!$B$30,MAX(0,(Inputs!$B$3-100)*3)+Inputs!$B$29+Inputs!$B$30)))</f>
        <v/>
      </c>
      <c r="E1500">
        <f>INDEX(FactorTable!$B$2:$Y$301, MATCH(ROUND(MIN(300,MAX(1,D1500)),0), FactorTable!$A$2:$A$301,0), Skills!M23+1)</f>
        <v/>
      </c>
      <c r="F1500">
        <f>IF(Skills!N23=TRUE,(Skills!L23/10)*(E1500/1000),Skills!L23/10)+Skills!O23</f>
        <v/>
      </c>
      <c r="G1500">
        <f>Skills!G23*IF(Skills!H23&gt;0,Skills!I23/Skills!H23,1)</f>
        <v/>
      </c>
      <c r="H1500">
        <f>1-(1-Skills!J23/100)^Skills!K23</f>
        <v/>
      </c>
      <c r="I1500" t="inlineStr">
        <is>
          <t>1</t>
        </is>
      </c>
      <c r="J1500" t="inlineStr"/>
      <c r="K1500" t="inlineStr"/>
      <c r="L1500" t="inlineStr"/>
      <c r="M1500" t="inlineStr"/>
      <c r="N1500" t="inlineStr"/>
      <c r="O1500">
        <f>(1-Summary!$B$55)*T1500+Summary!$B$55*V1500</f>
        <v/>
      </c>
      <c r="P1500">
        <f>IF(B1516=0,0,O1500/B1516)</f>
        <v/>
      </c>
      <c r="Q1500" t="n">
        <v>0</v>
      </c>
      <c r="R1500" t="n">
        <v>0</v>
      </c>
      <c r="S1500">
        <f>IFERROR(O1500/N1500,0)</f>
        <v/>
      </c>
      <c r="T1500" t="n">
        <v>0</v>
      </c>
      <c r="V1500" t="n">
        <v>0</v>
      </c>
    </row>
    <row r="1501">
      <c r="A1501">
        <f>Skills!A24</f>
        <v/>
      </c>
      <c r="B1501">
        <f>Skills!B24</f>
        <v/>
      </c>
      <c r="C1501">
        <f>Inputs!$B$3&gt;=120</f>
        <v/>
      </c>
      <c r="D1501">
        <f>IF(Skills!C24=1,60+Inputs!$B$26+Inputs!$B$30,IF(Skills!C24=2,90+Inputs!$B$27+Inputs!$B$30,IF(Skills!C24=3,120+Inputs!$B$28+Inputs!$B$30,MAX(0,(Inputs!$B$3-100)*3)+Inputs!$B$29+Inputs!$B$30)))</f>
        <v/>
      </c>
      <c r="E1501">
        <f>INDEX(FactorTable!$B$2:$Y$301, MATCH(ROUND(MIN(300,MAX(1,D1501)),0), FactorTable!$A$2:$A$301,0), Skills!M24+1)</f>
        <v/>
      </c>
      <c r="F1501">
        <f>IF(Skills!N24=TRUE,(Skills!L24/10)*(E1501/1000),Skills!L24/10)+Skills!O24</f>
        <v/>
      </c>
      <c r="G1501">
        <f>Skills!G24*IF(Skills!H24&gt;0,Skills!I24/Skills!H24,1)</f>
        <v/>
      </c>
      <c r="H1501">
        <f>1-(1-Skills!J24/100)^Skills!K24</f>
        <v/>
      </c>
      <c r="I1501" t="inlineStr">
        <is>
          <t>1</t>
        </is>
      </c>
      <c r="J1501" t="inlineStr"/>
      <c r="K1501" t="inlineStr"/>
      <c r="L1501" t="inlineStr"/>
      <c r="M1501" t="inlineStr"/>
      <c r="N1501" t="inlineStr"/>
      <c r="O1501">
        <f>(1-Summary!$B$55)*T1501+Summary!$B$55*V1501</f>
        <v/>
      </c>
      <c r="P1501">
        <f>IF(B1516=0,0,O1501/B1516)</f>
        <v/>
      </c>
      <c r="Q1501" t="n">
        <v>0</v>
      </c>
      <c r="R1501" t="n">
        <v>0</v>
      </c>
      <c r="S1501">
        <f>IFERROR(O1501/N1501,0)</f>
        <v/>
      </c>
      <c r="T1501" t="n">
        <v>0</v>
      </c>
      <c r="V1501" t="n">
        <v>0</v>
      </c>
    </row>
    <row r="1502">
      <c r="A1502">
        <f>Skills!A25</f>
        <v/>
      </c>
      <c r="B1502">
        <f>Skills!B25</f>
        <v/>
      </c>
      <c r="C1502">
        <f>Inputs!$B$3&gt;=125</f>
        <v/>
      </c>
      <c r="D1502">
        <f>IF(Skills!C25=1,60+Inputs!$B$26+Inputs!$B$30,IF(Skills!C25=2,90+Inputs!$B$27+Inputs!$B$30,IF(Skills!C25=3,120+Inputs!$B$28+Inputs!$B$30,MAX(0,(Inputs!$B$3-100)*3)+Inputs!$B$29+Inputs!$B$30)))</f>
        <v/>
      </c>
      <c r="E1502">
        <f>INDEX(FactorTable!$B$2:$Y$301, MATCH(ROUND(MIN(300,MAX(1,D1502)),0), FactorTable!$A$2:$A$301,0), Skills!M25+1)</f>
        <v/>
      </c>
      <c r="F1502">
        <f>IF(Skills!N25=TRUE,(Skills!L25/10)*(E1502/1000),Skills!L25/10)+Skills!O25</f>
        <v/>
      </c>
      <c r="G1502">
        <f>Skills!G25*IF(Skills!H25&gt;0,Skills!I25/Skills!H25,1)</f>
        <v/>
      </c>
      <c r="H1502">
        <f>1-(1-Skills!J25/100)^Skills!K25</f>
        <v/>
      </c>
      <c r="I1502" t="inlineStr">
        <is>
          <t>1</t>
        </is>
      </c>
      <c r="J1502" t="inlineStr"/>
      <c r="K1502" t="inlineStr"/>
      <c r="L1502" t="inlineStr"/>
      <c r="M1502" t="inlineStr"/>
      <c r="N1502" t="inlineStr"/>
      <c r="O1502">
        <f>(1-Summary!$B$55)*T1502+Summary!$B$55*V1502</f>
        <v/>
      </c>
      <c r="P1502">
        <f>IF(B1516=0,0,O1502/B1516)</f>
        <v/>
      </c>
      <c r="Q1502" t="n">
        <v>0</v>
      </c>
      <c r="R1502" t="n">
        <v>0</v>
      </c>
      <c r="S1502">
        <f>IFERROR(O1502/N1502,0)</f>
        <v/>
      </c>
      <c r="T1502" t="n">
        <v>0</v>
      </c>
      <c r="V1502" t="n">
        <v>0</v>
      </c>
    </row>
    <row r="1503">
      <c r="A1503">
        <f>Skills!A26</f>
        <v/>
      </c>
      <c r="B1503">
        <f>Skills!B26</f>
        <v/>
      </c>
      <c r="C1503">
        <f>Inputs!$B$3&gt;=107</f>
        <v/>
      </c>
      <c r="D1503">
        <f>IF(Skills!C26=1,60+Inputs!$B$26+Inputs!$B$30,IF(Skills!C26=2,90+Inputs!$B$27+Inputs!$B$30,IF(Skills!C26=3,120+Inputs!$B$28+Inputs!$B$30,MAX(0,(Inputs!$B$3-100)*3)+Inputs!$B$29+Inputs!$B$30)))</f>
        <v/>
      </c>
      <c r="E1503">
        <f>INDEX(FactorTable!$B$2:$Y$301, MATCH(ROUND(MIN(300,MAX(1,D1503)),0), FactorTable!$A$2:$A$301,0), Skills!M26+1)</f>
        <v/>
      </c>
      <c r="F1503">
        <f>IF(Skills!N26=TRUE,(Skills!L26/10)*(E1503/1000),Skills!L26/10)+Skills!O26</f>
        <v/>
      </c>
      <c r="G1503">
        <f>Skills!G26*IF(Skills!H26&gt;0,Skills!I26/Skills!H26,1)</f>
        <v/>
      </c>
      <c r="H1503">
        <f>1-(1-Skills!J26/100)^Skills!K26</f>
        <v/>
      </c>
      <c r="I1503" t="inlineStr">
        <is>
          <t>1</t>
        </is>
      </c>
      <c r="J1503" t="inlineStr"/>
      <c r="K1503" t="inlineStr"/>
      <c r="L1503" t="inlineStr"/>
      <c r="M1503" t="inlineStr"/>
      <c r="N1503" t="inlineStr"/>
      <c r="O1503">
        <f>(1-Summary!$B$55)*T1503+Summary!$B$55*V1503</f>
        <v/>
      </c>
      <c r="P1503">
        <f>IF(B1516=0,0,O1503/B1516)</f>
        <v/>
      </c>
      <c r="Q1503" t="n">
        <v>0</v>
      </c>
      <c r="R1503" t="n">
        <v>0</v>
      </c>
      <c r="S1503">
        <f>IFERROR(O1503/N1503,0)</f>
        <v/>
      </c>
      <c r="T1503" t="n">
        <v>0</v>
      </c>
      <c r="V1503" t="n">
        <v>0</v>
      </c>
    </row>
    <row r="1505">
      <c r="A1505" t="inlineStr">
        <is>
          <t>Attack% Bucket Multiplier</t>
        </is>
      </c>
      <c r="B1505">
        <f>(1+(((C1490=TRUE)*F1490*IF(AND(Inputs!$B$39&lt;&gt;"pvp",Inputs!$B$44&gt;0),(((R1490-1)*(Skills!T13*(1+Inputs!$B$35/100))+MIN((Skills!T13*(1+Inputs!$B$35/100)),MAX(0,Inputs!$B$44-((R1490-1)*Skills!D13))))/Inputs!$B$44),IF(Inputs!$B$39="pvp",MIN((Skills!T13*(1+Inputs!$B$35/100)),15)/15,(Skills!T13*(1+Inputs!$B$35/100))/Skills!D13)))+((C1491=TRUE)*F1491*IF(AND(Inputs!$B$39&lt;&gt;"pvp",Inputs!$B$44&gt;0),(((R1491-1)*(Skills!T14*(1+Inputs!$B$35/100))+MIN((Skills!T14*(1+Inputs!$B$35/100)),MAX(0,Inputs!$B$44-((R1491-1)*Skills!D14))))/Inputs!$B$44),IF(Inputs!$B$39="pvp",MIN((Skills!T14*(1+Inputs!$B$35/100)),15)/15,(Skills!T14*(1+Inputs!$B$35/100))/Skills!D14)))+((C1492=TRUE)*F1492*IF(AND(Inputs!$B$39&lt;&gt;"pvp",Inputs!$B$44&gt;0),(((R1492-1)*(Skills!T15*(1+Inputs!$B$35/100))+MIN((Skills!T15*(1+Inputs!$B$35/100)),MAX(0,Inputs!$B$44-((R1492-1)*Skills!D15))))/Inputs!$B$44),IF(Inputs!$B$39="pvp",MIN((Skills!T15*(1+Inputs!$B$35/100)),15)/15,(Skills!T15*(1+Inputs!$B$35/100))/Skills!D15)))+((C1493=TRUE)*F1493*IF(AND(Inputs!$B$39&lt;&gt;"pvp",Inputs!$B$44&gt;0),(((R1493-1)*(Skills!T16*(1+Inputs!$B$35/100))+MIN((Skills!T16*(1+Inputs!$B$35/100)),MAX(0,Inputs!$B$44-((R1493-1)*Skills!D16))))/Inputs!$B$44),IF(Inputs!$B$39="pvp",MIN((Skills!T16*(1+Inputs!$B$35/100)),15)/15,(Skills!T16*(1+Inputs!$B$35/100))/Skills!D16)))+0)/100)</f>
        <v/>
      </c>
    </row>
    <row r="1506">
      <c r="A1506" t="inlineStr">
        <is>
          <t>Global Crit Rate Bonus % (Lord of Darkness)</t>
        </is>
      </c>
      <c r="B1506">
        <f>((C1495=TRUE)*F1495*(Skills!J18/100)*IF(AND(Inputs!$B$39&lt;&gt;"pvp",Inputs!$B$44&gt;0),(((R1495-1)*(Skills!T18*(1+Inputs!$B$35/100))+MIN((Skills!T18*(1+Inputs!$B$35/100)),MAX(0,Inputs!$B$44-((R1495-1)*Skills!D18))))/Inputs!$B$44),IF(Inputs!$B$39="pvp",MIN((Skills!T18*(1+Inputs!$B$35/100)),15)/15,(Skills!T18*(1+Inputs!$B$35/100))/Skills!D18)))</f>
        <v/>
      </c>
    </row>
    <row r="1507">
      <c r="A1507" t="inlineStr">
        <is>
          <t>Attack Speed Buff Bonus %</t>
        </is>
      </c>
      <c r="B1507">
        <f>((C1497=TRUE)*F1497*IF(AND(Inputs!$B$39&lt;&gt;"pvp",Inputs!$B$44&gt;0),(((R1497-1)*(Skills!T20*(1+Inputs!$B$35/100))+MIN((Skills!T20*(1+Inputs!$B$35/100)),MAX(0,Inputs!$B$44-((R1497-1)*Skills!D20))))/Inputs!$B$44),IF(Inputs!$B$39="pvp",MIN((Skills!T20*(1+Inputs!$B$35/100)),15)/15,(Skills!T20*(1+Inputs!$B$35/100))/Skills!D20)))</f>
        <v/>
      </c>
    </row>
    <row r="1508">
      <c r="A1508" t="inlineStr">
        <is>
          <t>Actions Per Second</t>
        </is>
      </c>
      <c r="B1508">
        <f>1+MIN(150,150*(1-(1-(Inputs!$B$12+((C1498=TRUE)*(F1498-Calc!F21)))/150)*(1-B1507/150)))/100</f>
        <v/>
      </c>
    </row>
    <row r="1509">
      <c r="A1509" t="inlineStr">
        <is>
          <t>Skill + Buff Cast Rate</t>
        </is>
      </c>
      <c r="B1509">
        <f>IF(AND(Inputs!$B$39&lt;&gt;"pvp",Inputs!$B$44&gt;0),SUMPRODUCT((Skills!E2:E26=TRUE)*(C1479:C1503=TRUE)*R1479:R1503*Skills!F2:F26)/Inputs!$B$44,SUMPRODUCT((Skills!E2:E26=TRUE)*(C1479:C1503=TRUE)*Q1479:Q1503*Skills!F2:F26))</f>
        <v/>
      </c>
    </row>
    <row r="1510">
      <c r="A1510" t="inlineStr">
        <is>
          <t>Dark Impale Casts Per Second</t>
        </is>
      </c>
      <c r="B1510">
        <f>MAX(0,B1508-B1509)</f>
        <v/>
      </c>
    </row>
    <row r="1511">
      <c r="A1511" t="inlineStr">
        <is>
          <t>Global Critical Damage Bonus % (Lord of Darkness)</t>
        </is>
      </c>
      <c r="B1511">
        <f>((C1496=TRUE)*F1496*(Skills!J19/100)*IF(AND(Inputs!$B$39&lt;&gt;"pvp",Inputs!$B$44&gt;0),(((R1496-1)*(Skills!T19*(1+Inputs!$B$35/100))+MIN((Skills!T19*(1+Inputs!$B$35/100)),MAX(0,Inputs!$B$44-((R1496-1)*Skills!D19))))/Inputs!$B$44),IF(Inputs!$B$39="pvp",MIN((Skills!T19*(1+Inputs!$B$35/100)),15)/15,(Skills!T19*(1+Inputs!$B$35/100))/Skills!D19)))</f>
        <v/>
      </c>
    </row>
    <row r="1512">
      <c r="A1512" t="inlineStr">
        <is>
          <t>Global Final Damage Bonus % (unused)</t>
        </is>
      </c>
      <c r="B1512" t="n">
        <v>0</v>
      </c>
    </row>
    <row r="1513">
      <c r="A1513" t="inlineStr">
        <is>
          <t>Buff-Casting Startup Delay (s, fixed-duration only)</t>
        </is>
      </c>
      <c r="B1513">
        <f>IF(AND(Inputs!$B$39&lt;&gt;"pvp",Inputs!$B$44&gt;0),SUMPRODUCT((Skills!T2:T26&gt;0)*(Skills!E2:E26=TRUE)*(C1479:C1503=TRUE))/B1508,0)</f>
        <v/>
      </c>
    </row>
    <row r="1514">
      <c r="A1514" t="inlineStr">
        <is>
          <t>Boss-Only Total DPS (this block's swept value)</t>
        </is>
      </c>
      <c r="B1514">
        <f>SUM(T1479:T1503)</f>
        <v/>
      </c>
    </row>
    <row r="1515">
      <c r="A1515" t="inlineStr">
        <is>
          <t>Normal-Only Total DPS (this block's swept value)</t>
        </is>
      </c>
      <c r="B1515">
        <f>SUM(V1479:V1503)</f>
        <v/>
      </c>
    </row>
    <row r="1516">
      <c r="A1516" s="5" t="inlineStr">
        <is>
          <t>TOTAL DPS</t>
        </is>
      </c>
      <c r="B1516" s="5">
        <f>SUM(O1479:O1503)</f>
        <v/>
      </c>
    </row>
    <row r="1519">
      <c r="A1519" s="5" t="inlineStr">
        <is>
          <t>Stat: CDR = 4.0s</t>
        </is>
      </c>
    </row>
    <row r="1520">
      <c r="A1520" s="9" t="inlineStr">
        <is>
          <t>Key</t>
        </is>
      </c>
      <c r="B1520" s="9" t="inlineStr">
        <is>
          <t>Name</t>
        </is>
      </c>
      <c r="C1520" s="9" t="inlineStr">
        <is>
          <t>Unlocked</t>
        </is>
      </c>
      <c r="D1520" s="9" t="inlineStr">
        <is>
          <t>InputLevel</t>
        </is>
      </c>
      <c r="E1520" s="9" t="inlineStr">
        <is>
          <t>Factor</t>
        </is>
      </c>
      <c r="F1520" s="9" t="inlineStr">
        <is>
          <t>CoefficientPercent</t>
        </is>
      </c>
      <c r="G1520" s="9" t="inlineStr">
        <is>
          <t>EffectiveHits</t>
        </is>
      </c>
      <c r="H1520" s="9" t="inlineStr">
        <is>
          <t>ProcProbability</t>
        </is>
      </c>
      <c r="I1520" s="9" t="inlineStr">
        <is>
          <t>MapleHeroMultiplier</t>
        </is>
      </c>
      <c r="J1520" s="9" t="inlineStr">
        <is>
          <t>BaseDamage</t>
        </is>
      </c>
      <c r="K1520" s="9" t="inlineStr">
        <is>
          <t>BaseHitDamage</t>
        </is>
      </c>
      <c r="L1520" s="9" t="inlineStr">
        <is>
          <t>NonCritAvg</t>
        </is>
      </c>
      <c r="M1520" s="9" t="inlineStr">
        <is>
          <t>CritAvg</t>
        </is>
      </c>
      <c r="N1520" s="9" t="inlineStr">
        <is>
          <t>ExpectedDamage(perHit)</t>
        </is>
      </c>
      <c r="O1520" s="9" t="inlineStr">
        <is>
          <t>DPS</t>
        </is>
      </c>
      <c r="P1520" s="9" t="inlineStr">
        <is>
          <t>% of Total</t>
        </is>
      </c>
      <c r="Q1520" s="9" t="inlineStr">
        <is>
          <t>InvCooldown</t>
        </is>
      </c>
      <c r="R1520" s="9" t="inlineStr">
        <is>
          <t>CastsInFight</t>
        </is>
      </c>
      <c r="S1520" s="9" t="inlineStr">
        <is>
          <t>HitRate(perSec)</t>
        </is>
      </c>
      <c r="U1520" t="inlineStr">
        <is>
          <t>helpers</t>
        </is>
      </c>
    </row>
    <row r="1521">
      <c r="A1521">
        <f>Skills!A2</f>
        <v/>
      </c>
      <c r="B1521">
        <f>Skills!B2</f>
        <v/>
      </c>
      <c r="C1521">
        <f>Inputs!$B$3&gt;=100</f>
        <v/>
      </c>
      <c r="D1521" t="inlineStr"/>
      <c r="E1521" t="inlineStr"/>
      <c r="F1521">
        <f>U1523+Skills!O2</f>
        <v/>
      </c>
      <c r="G1521">
        <f>Skills!G2*IF(Skills!H2&gt;0,Skills!I2/Skills!H2,1)</f>
        <v/>
      </c>
      <c r="H1521">
        <f>1-(1-Skills!J2/100)^Skills!K2</f>
        <v/>
      </c>
      <c r="I1521" t="inlineStr">
        <is>
          <t>1</t>
        </is>
      </c>
      <c r="J1521">
        <f>((Inputs!$B$6*(1+Inputs!$B$7/100))+(((Inputs!$B$13*(1+Inputs!$B$14/100))-(Inputs!$B$13*(1+Inputs!$B$14/100)))+0.25*(Inputs!$B$15-Inputs!$B$15))*(1+Inputs!$B$7/100))*(F1521/100)</f>
        <v/>
      </c>
      <c r="K1521">
        <f>J1521*(1+(((Inputs!$B$13+IF(Inputs!$B$3&gt;=38,(10*INDEX(FactorTable!$B$2:$Y$301, MATCH(ROUND(MIN(300,MAX(1,Inputs!$B$3)),0), FactorTable!$A$2:$A$301,0), 23)/1000)/100*(Inputs!$B$8*(1+Inputs!$B$9/100)),0))*(1+Inputs!$B$14/100))*0.01+Inputs!$B$15*0.0025)/100)*(1+Inputs!$B$16/100)*(1+Inputs!$B$17/100)*(5000/(6000+Inputs!$B$43*(1-(Inputs!$B$20+0)/100)))*(1+(Inputs!$B$25+((C1544=TRUE)*(F1544-Calc!F25))+((C1545=TRUE)*(F1545-Calc!F26))+B1554)/100)*(1+(IF(Skills!A2="DARK_IMPALE",Inputs!$B$18+0,Inputs!$B$19+((C1542=TRUE)*(F1542-Calc!F23))))/100)*((1+(((C1532=TRUE)*F1532*IF(AND(Inputs!$B$39&lt;&gt;"pvp",Inputs!$B$44&gt;0),(((R1532-1)*(Skills!T13*(1+Inputs!$B$35/100))+MIN((Skills!T13*(1+Inputs!$B$35/100)),MAX(0,Inputs!$B$44-((R1532-1)*Skills!D13))))/Inputs!$B$44),IF(Inputs!$B$39="pvp",MIN((Skills!T13*(1+Inputs!$B$35/100)),15)/15,(Skills!T13*(1+Inputs!$B$35/100))/Skills!D13)))+((C1533=TRUE)*F1533*IF(AND(Inputs!$B$39&lt;&gt;"pvp",Inputs!$B$44&gt;0),(((R1533-1)*(Skills!T14*(1+Inputs!$B$35/100))+MIN((Skills!T14*(1+Inputs!$B$35/100)),MAX(0,Inputs!$B$44-((R1533-1)*Skills!D14))))/Inputs!$B$44),IF(Inputs!$B$39="pvp",MIN((Skills!T14*(1+Inputs!$B$35/100)),15)/15,(Skills!T14*(1+Inputs!$B$35/100))/Skills!D14)))+((C1534=TRUE)*F1534*IF(AND(Inputs!$B$39&lt;&gt;"pvp",Inputs!$B$44&gt;0),(((R1534-1)*(Skills!T15*(1+Inputs!$B$35/100))+MIN((Skills!T15*(1+Inputs!$B$35/100)),MAX(0,Inputs!$B$44-((R1534-1)*Skills!D15))))/Inputs!$B$44),IF(Inputs!$B$39="pvp",MIN((Skills!T15*(1+Inputs!$B$35/100)),15)/15,(Skills!T15*(1+Inputs!$B$35/100))/Skills!D15)))+((C1535=TRUE)*F1535*IF(AND(Inputs!$B$39&lt;&gt;"pvp",Inputs!$B$44&gt;0),(((R1535-1)*(Skills!T16*(1+Inputs!$B$35/100))+MIN((Skills!T16*(1+Inputs!$B$35/100)),MAX(0,Inputs!$B$44-((R1535-1)*Skills!D16))))/Inputs!$B$44),IF(Inputs!$B$39="pvp",MIN((Skills!T16*(1+Inputs!$B$35/100)),15)/15,(Skills!T16*(1+Inputs!$B$35/100))/Skills!D16)))+0)/100)*I1521)</f>
        <v/>
      </c>
      <c r="L1521">
        <f>K1521*(MIN(Inputs!$B$23+((C1541=TRUE)*(F1541-Calc!F22)),Inputs!$B$24+((C1543=TRUE)*(F1543-Calc!F24)))/100+(Inputs!$B$24+((C1543=TRUE)*(F1543-Calc!F24)))/100)/2</f>
        <v/>
      </c>
      <c r="M1521">
        <f>L1521*(1+(Inputs!$B$11+0+B1553)/100)</f>
        <v/>
      </c>
      <c r="N1521">
        <f>L1521*(1-MIN((Inputs!$B$10+0+B1548),100)/100)+M1521*(MIN((Inputs!$B$10+0+B1548),100)/100)</f>
        <v/>
      </c>
      <c r="O1521">
        <f>(1-Summary!$B$55)*T1521+Summary!$B$55*V1521</f>
        <v/>
      </c>
      <c r="P1521">
        <f>IF(B1558=0,0,O1521/B1558)</f>
        <v/>
      </c>
      <c r="Q1521" t="n">
        <v>0</v>
      </c>
      <c r="R1521" t="n">
        <v>0</v>
      </c>
      <c r="S1521">
        <f>IFERROR(O1521/N1521,0)</f>
        <v/>
      </c>
      <c r="T1521">
        <f>IF(C1521,(Skills!G2*N1521*B1552)*IF(Inputs!$B$39="pvp",1,1+(Inputs!$B$21+0+Skills!P2+((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0)</f>
        <v/>
      </c>
      <c r="U1521">
        <f>MAX(0,(Inputs!$B$3-100)*3)+Inputs!$B$29+Inputs!$B$30</f>
        <v/>
      </c>
      <c r="V1521">
        <f>IF(C1521,(Skills!G2*N1521*B1552)*IF(Inputs!$B$39="pvp",1,(1+(Inputs!$B$22+Skills!Q2+((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MIN((6+Inputs!$B$34),Inputs!$B$38))),0)</f>
        <v/>
      </c>
    </row>
    <row r="1522">
      <c r="A1522">
        <f>Skills!A3</f>
        <v/>
      </c>
      <c r="B1522">
        <f>Skills!B3</f>
        <v/>
      </c>
      <c r="C1522">
        <f>Inputs!$B$3&gt;=50</f>
        <v/>
      </c>
      <c r="D1522">
        <f>IF(Skills!C3=1,60+Inputs!$B$26+Inputs!$B$30,IF(Skills!C3=2,90+Inputs!$B$27+Inputs!$B$30,IF(Skills!C3=3,120+Inputs!$B$28+Inputs!$B$30,MAX(0,(Inputs!$B$3-100)*3)+Inputs!$B$29+Inputs!$B$30)))</f>
        <v/>
      </c>
      <c r="E1522">
        <f>INDEX(FactorTable!$B$2:$Y$301, MATCH(ROUND(MIN(300,MAX(1,D1522)),0), FactorTable!$A$2:$A$301,0), Skills!M3+1)</f>
        <v/>
      </c>
      <c r="F1522">
        <f>IF(Skills!N3=TRUE,(Skills!L3/10)*(E1522/1000),Skills!L3/10)+Skills!O3</f>
        <v/>
      </c>
      <c r="G1522" t="inlineStr"/>
      <c r="H1522" t="inlineStr"/>
      <c r="I1522" t="inlineStr">
        <is>
          <t>1</t>
        </is>
      </c>
      <c r="J1522" t="inlineStr"/>
      <c r="K1522" t="inlineStr"/>
      <c r="L1522" t="inlineStr"/>
      <c r="M1522" t="inlineStr"/>
      <c r="N1522" t="inlineStr"/>
      <c r="O1522" t="inlineStr"/>
      <c r="P1522" t="inlineStr"/>
      <c r="Q1522" t="inlineStr"/>
      <c r="R1522" t="inlineStr"/>
      <c r="S1522" t="inlineStr"/>
      <c r="U1522">
        <f>INDEX(FactorTable!$B$2:$Y$301, MATCH(ROUND(MIN(300,MAX(1,U1521)),0), FactorTable!$A$2:$A$301,0), 22)</f>
        <v/>
      </c>
    </row>
    <row r="1523">
      <c r="A1523">
        <f>Skills!A4</f>
        <v/>
      </c>
      <c r="B1523">
        <f>Skills!B4</f>
        <v/>
      </c>
      <c r="C1523">
        <f>Inputs!$B$3&gt;=105</f>
        <v/>
      </c>
      <c r="D1523">
        <f>IF(Skills!C4=1,60+Inputs!$B$26+Inputs!$B$30,IF(Skills!C4=2,90+Inputs!$B$27+Inputs!$B$30,IF(Skills!C4=3,120+Inputs!$B$28+Inputs!$B$30,MAX(0,(Inputs!$B$3-100)*3)+Inputs!$B$29+Inputs!$B$30)))</f>
        <v/>
      </c>
      <c r="E1523">
        <f>INDEX(FactorTable!$B$2:$Y$301, MATCH(ROUND(MIN(300,MAX(1,D1523)),0), FactorTable!$A$2:$A$301,0), Skills!M4+1)</f>
        <v/>
      </c>
      <c r="F1523">
        <f>IF(Skills!N4=TRUE,(Skills!L4/10)*(E1523/1000),Skills!L4/10)+Skills!O4</f>
        <v/>
      </c>
      <c r="G1523" t="inlineStr"/>
      <c r="H1523" t="inlineStr"/>
      <c r="I1523" t="inlineStr">
        <is>
          <t>1</t>
        </is>
      </c>
      <c r="J1523" t="inlineStr"/>
      <c r="K1523" t="inlineStr"/>
      <c r="L1523" t="inlineStr"/>
      <c r="M1523" t="inlineStr"/>
      <c r="N1523" t="inlineStr"/>
      <c r="O1523" t="inlineStr"/>
      <c r="P1523" t="inlineStr"/>
      <c r="Q1523" t="inlineStr"/>
      <c r="R1523" t="inlineStr"/>
      <c r="S1523" t="inlineStr"/>
      <c r="U1523">
        <f>290*U1522/1000</f>
        <v/>
      </c>
    </row>
    <row r="1524">
      <c r="A1524">
        <f>Skills!A5</f>
        <v/>
      </c>
      <c r="B1524">
        <f>Skills!B5</f>
        <v/>
      </c>
      <c r="C1524">
        <f>Inputs!$B$3&gt;=117</f>
        <v/>
      </c>
      <c r="D1524">
        <f>IF(Skills!C5=1,60+Inputs!$B$26+Inputs!$B$30,IF(Skills!C5=2,90+Inputs!$B$27+Inputs!$B$30,IF(Skills!C5=3,120+Inputs!$B$28+Inputs!$B$30,MAX(0,(Inputs!$B$3-100)*3)+Inputs!$B$29+Inputs!$B$30)))</f>
        <v/>
      </c>
      <c r="E1524">
        <f>INDEX(FactorTable!$B$2:$Y$301, MATCH(ROUND(MIN(300,MAX(1,D1524)),0), FactorTable!$A$2:$A$301,0), Skills!M5+1)</f>
        <v/>
      </c>
      <c r="F1524">
        <f>IF(Skills!N5=TRUE,(Skills!L5/10)*(E1524/1000),Skills!L5/10)+Skills!O5</f>
        <v/>
      </c>
      <c r="G1524">
        <f>Skills!G5*IF(Skills!H5&gt;0,Skills!I5/Skills!H5,1)</f>
        <v/>
      </c>
      <c r="H1524">
        <f>1-(1-Skills!J5/100)^Skills!K5</f>
        <v/>
      </c>
      <c r="I1524" t="inlineStr">
        <is>
          <t>1</t>
        </is>
      </c>
      <c r="J1524">
        <f>((Inputs!$B$6*(1+Inputs!$B$7/100))+(((Inputs!$B$13*(1+Inputs!$B$14/100))-(Inputs!$B$13*(1+Inputs!$B$14/100)))+0.25*(Inputs!$B$15-Inputs!$B$15))*(1+Inputs!$B$7/100))*(F1524/100)</f>
        <v/>
      </c>
      <c r="K1524">
        <f>J1524*(1+(((Inputs!$B$13+IF(Inputs!$B$3&gt;=38,(10*INDEX(FactorTable!$B$2:$Y$301, MATCH(ROUND(MIN(300,MAX(1,Inputs!$B$3)),0), FactorTable!$A$2:$A$301,0), 23)/1000)/100*(Inputs!$B$8*(1+Inputs!$B$9/100)),0))*(1+Inputs!$B$14/100))*0.01+Inputs!$B$15*0.0025)/100)*(1+Inputs!$B$16/100)*(1+Inputs!$B$17/100)*(5000/(6000+Inputs!$B$43*(1-(Inputs!$B$20+0)/100)))*(1+(Inputs!$B$25+((C1544=TRUE)*(F1544-Calc!F25))+((C1545=TRUE)*(F1545-Calc!F26))+B1554)/100)*(1+(IF(Skills!A5="DARK_IMPALE",Inputs!$B$18+0,Inputs!$B$19+((C1542=TRUE)*(F1542-Calc!F23))))/100)*((1+(((C1532=TRUE)*F1532*IF(AND(Inputs!$B$39&lt;&gt;"pvp",Inputs!$B$44&gt;0),(((R1532-1)*(Skills!T13*(1+Inputs!$B$35/100))+MIN((Skills!T13*(1+Inputs!$B$35/100)),MAX(0,Inputs!$B$44-((R1532-1)*Skills!D13))))/Inputs!$B$44),IF(Inputs!$B$39="pvp",MIN((Skills!T13*(1+Inputs!$B$35/100)),15)/15,(Skills!T13*(1+Inputs!$B$35/100))/Skills!D13)))+((C1533=TRUE)*F1533*IF(AND(Inputs!$B$39&lt;&gt;"pvp",Inputs!$B$44&gt;0),(((R1533-1)*(Skills!T14*(1+Inputs!$B$35/100))+MIN((Skills!T14*(1+Inputs!$B$35/100)),MAX(0,Inputs!$B$44-((R1533-1)*Skills!D14))))/Inputs!$B$44),IF(Inputs!$B$39="pvp",MIN((Skills!T14*(1+Inputs!$B$35/100)),15)/15,(Skills!T14*(1+Inputs!$B$35/100))/Skills!D14)))+((C1534=TRUE)*F1534*IF(AND(Inputs!$B$39&lt;&gt;"pvp",Inputs!$B$44&gt;0),(((R1534-1)*(Skills!T15*(1+Inputs!$B$35/100))+MIN((Skills!T15*(1+Inputs!$B$35/100)),MAX(0,Inputs!$B$44-((R1534-1)*Skills!D15))))/Inputs!$B$44),IF(Inputs!$B$39="pvp",MIN((Skills!T15*(1+Inputs!$B$35/100)),15)/15,(Skills!T15*(1+Inputs!$B$35/100))/Skills!D15)))+((C1535=TRUE)*F1535*IF(AND(Inputs!$B$39&lt;&gt;"pvp",Inputs!$B$44&gt;0),(((R1535-1)*(Skills!T16*(1+Inputs!$B$35/100))+MIN((Skills!T16*(1+Inputs!$B$35/100)),MAX(0,Inputs!$B$44-((R1535-1)*Skills!D16))))/Inputs!$B$44),IF(Inputs!$B$39="pvp",MIN((Skills!T16*(1+Inputs!$B$35/100)),15)/15,(Skills!T16*(1+Inputs!$B$35/100))/Skills!D16)))+0)/100)*I1524)</f>
        <v/>
      </c>
      <c r="L1524">
        <f>K1524*(MIN(Inputs!$B$23+((C1541=TRUE)*(F1541-Calc!F22)),Inputs!$B$24+((C1543=TRUE)*(F1543-Calc!F24)))/100+(Inputs!$B$24+((C1543=TRUE)*(F1543-Calc!F24)))/100)/2</f>
        <v/>
      </c>
      <c r="M1524">
        <f>L1524*(1+(Inputs!$B$11+0+B1553)/100)</f>
        <v/>
      </c>
      <c r="N1524">
        <f>L1524*(1-MIN((Inputs!$B$10+0+B1548),100)/100)+M1524*(MIN((Inputs!$B$10+0+B1548),100)/100)</f>
        <v/>
      </c>
      <c r="O1524">
        <f>(1-Summary!$B$55)*T1524+Summary!$B$55*V1524</f>
        <v/>
      </c>
      <c r="P1524">
        <f>IF(B1558=0,0,O1524/B1558)</f>
        <v/>
      </c>
      <c r="Q1524">
        <f>IFERROR(1/IF(Inputs!$B$39="pvp",15,MAX(0.1,Skills!D5-IF(Skills!E5=TRUE,4.0,0))),0)</f>
        <v/>
      </c>
      <c r="R1524">
        <f>IF(AND(Inputs!$B$39&lt;&gt;"pvp",Inputs!$B$44&gt;0),IF(MAX(0,Inputs!$B$44-B1555)&lt;=0,0,(INT(MAX(0,Inputs!$B$44-B1555)/IF(Inputs!$B$39="pvp",15,MAX(0.1,Skills!D5-IF(Skills!E5=TRUE,4.0,0))))+1)),0)</f>
        <v/>
      </c>
      <c r="S1524">
        <f>IFERROR(O1524/N1524,0)</f>
        <v/>
      </c>
      <c r="T1524">
        <f>IF(C1524,(H1524*N1524*IF(AND(Inputs!$B$39&lt;&gt;"pvp",Inputs!$B$44&gt;0),((Skills!G5*((R1524-1)*IF(Skills!H5&gt;0,Skills!I5/Skills!H5,1)+IF(Skills!H5&gt;0,MIN(Skills!I5,MAX(0,MAX(0,Inputs!$B$44-B1555)-((R1524-1)*IF(Inputs!$B$39="pvp",15,MAX(0.1,Skills!D5-IF(Skills!E5=TRUE,4.0,0))))))/Skills!H5,1)))/Inputs!$B$44),G1524*Q1524))*IF(Inputs!$B$39="pvp",1,1+(Inputs!$B$21+0+Skills!P5+((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0)</f>
        <v/>
      </c>
      <c r="V1524">
        <f>IF(C1524,(H1524*N1524*IF(AND(Inputs!$B$39&lt;&gt;"pvp",Inputs!$B$44&gt;0),((Skills!G5*((R1524-1)*IF(Skills!H5&gt;0,Skills!I5/Skills!H5,1)+IF(Skills!H5&gt;0,MIN(Skills!I5,MAX(0,MAX(0,Inputs!$B$44-B1555)-((R1524-1)*IF(Inputs!$B$39="pvp",15,MAX(0.1,Skills!D5-IF(Skills!E5=TRUE,4.0,0))))))/Skills!H5,1)))/Inputs!$B$44),G1524*Q1524))*IF(Inputs!$B$39="pvp",1,(1+(Inputs!$B$22+Skills!Q5+((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MIN(Skills!R5,Inputs!$B$38))),0)</f>
        <v/>
      </c>
    </row>
    <row r="1525">
      <c r="A1525">
        <f>Skills!A6</f>
        <v/>
      </c>
      <c r="B1525">
        <f>Skills!B6</f>
        <v/>
      </c>
      <c r="C1525">
        <f>Inputs!$B$3&gt;=103</f>
        <v/>
      </c>
      <c r="D1525">
        <f>IF(Skills!C6=1,60+Inputs!$B$26+Inputs!$B$30,IF(Skills!C6=2,90+Inputs!$B$27+Inputs!$B$30,IF(Skills!C6=3,120+Inputs!$B$28+Inputs!$B$30,MAX(0,(Inputs!$B$3-100)*3)+Inputs!$B$29+Inputs!$B$30)))</f>
        <v/>
      </c>
      <c r="E1525">
        <f>INDEX(FactorTable!$B$2:$Y$301, MATCH(ROUND(MIN(300,MAX(1,D1525)),0), FactorTable!$A$2:$A$301,0), Skills!M6+1)</f>
        <v/>
      </c>
      <c r="F1525">
        <f>IF(Skills!N6=TRUE,(Skills!L6/10)*(E1525/1000),Skills!L6/10)+Skills!O6</f>
        <v/>
      </c>
      <c r="G1525">
        <f>Skills!G6*IF(Skills!H6&gt;0,Skills!I6/Skills!H6,1)</f>
        <v/>
      </c>
      <c r="H1525">
        <f>1-(1-Skills!J6/100)^Skills!K6</f>
        <v/>
      </c>
      <c r="I1525" t="inlineStr">
        <is>
          <t>1</t>
        </is>
      </c>
      <c r="J1525">
        <f>((Inputs!$B$6*(1+Inputs!$B$7/100))+(((Inputs!$B$13*(1+Inputs!$B$14/100))-(Inputs!$B$13*(1+Inputs!$B$14/100)))+0.25*(Inputs!$B$15-Inputs!$B$15))*(1+Inputs!$B$7/100))*(F1525/100)</f>
        <v/>
      </c>
      <c r="K1525">
        <f>J1525*(1+(((Inputs!$B$13+IF(Inputs!$B$3&gt;=38,(10*INDEX(FactorTable!$B$2:$Y$301, MATCH(ROUND(MIN(300,MAX(1,Inputs!$B$3)),0), FactorTable!$A$2:$A$301,0), 23)/1000)/100*(Inputs!$B$8*(1+Inputs!$B$9/100)),0))*(1+Inputs!$B$14/100))*0.01+Inputs!$B$15*0.0025)/100)*(1+Inputs!$B$16/100)*(1+Inputs!$B$17/100)*(5000/(6000+Inputs!$B$43*(1-(Inputs!$B$20+0)/100)))*(1+(Inputs!$B$25+((C1544=TRUE)*(F1544-Calc!F25))+((C1545=TRUE)*(F1545-Calc!F26))+B1554)/100)*(1+(IF(Skills!A6="DARK_IMPALE",Inputs!$B$18+0,Inputs!$B$19+((C1542=TRUE)*(F1542-Calc!F23))))/100)*((1+(((C1532=TRUE)*F1532*IF(AND(Inputs!$B$39&lt;&gt;"pvp",Inputs!$B$44&gt;0),(((R1532-1)*(Skills!T13*(1+Inputs!$B$35/100))+MIN((Skills!T13*(1+Inputs!$B$35/100)),MAX(0,Inputs!$B$44-((R1532-1)*Skills!D13))))/Inputs!$B$44),IF(Inputs!$B$39="pvp",MIN((Skills!T13*(1+Inputs!$B$35/100)),15)/15,(Skills!T13*(1+Inputs!$B$35/100))/Skills!D13)))+((C1533=TRUE)*F1533*IF(AND(Inputs!$B$39&lt;&gt;"pvp",Inputs!$B$44&gt;0),(((R1533-1)*(Skills!T14*(1+Inputs!$B$35/100))+MIN((Skills!T14*(1+Inputs!$B$35/100)),MAX(0,Inputs!$B$44-((R1533-1)*Skills!D14))))/Inputs!$B$44),IF(Inputs!$B$39="pvp",MIN((Skills!T14*(1+Inputs!$B$35/100)),15)/15,(Skills!T14*(1+Inputs!$B$35/100))/Skills!D14)))+((C1534=TRUE)*F1534*IF(AND(Inputs!$B$39&lt;&gt;"pvp",Inputs!$B$44&gt;0),(((R1534-1)*(Skills!T15*(1+Inputs!$B$35/100))+MIN((Skills!T15*(1+Inputs!$B$35/100)),MAX(0,Inputs!$B$44-((R1534-1)*Skills!D15))))/Inputs!$B$44),IF(Inputs!$B$39="pvp",MIN((Skills!T15*(1+Inputs!$B$35/100)),15)/15,(Skills!T15*(1+Inputs!$B$35/100))/Skills!D15)))+((C1535=TRUE)*F1535*IF(AND(Inputs!$B$39&lt;&gt;"pvp",Inputs!$B$44&gt;0),(((R1535-1)*(Skills!T16*(1+Inputs!$B$35/100))+MIN((Skills!T16*(1+Inputs!$B$35/100)),MAX(0,Inputs!$B$44-((R1535-1)*Skills!D16))))/Inputs!$B$44),IF(Inputs!$B$39="pvp",MIN((Skills!T16*(1+Inputs!$B$35/100)),15)/15,(Skills!T16*(1+Inputs!$B$35/100))/Skills!D16)))+0)/100)*I1525)</f>
        <v/>
      </c>
      <c r="L1525">
        <f>K1525*(MIN(Inputs!$B$23+((C1541=TRUE)*(F1541-Calc!F22)),Inputs!$B$24+((C1543=TRUE)*(F1543-Calc!F24)))/100+(Inputs!$B$24+((C1543=TRUE)*(F1543-Calc!F24)))/100)/2</f>
        <v/>
      </c>
      <c r="M1525">
        <f>L1525*(1+(Inputs!$B$11+0+B1553)/100)</f>
        <v/>
      </c>
      <c r="N1525">
        <f>L1525*(1-MIN((Inputs!$B$10+0+B1548),100)/100)+M1525*(MIN((Inputs!$B$10+0+B1548),100)/100)</f>
        <v/>
      </c>
      <c r="O1525">
        <f>(1-Summary!$B$55)*T1525+Summary!$B$55*V1525</f>
        <v/>
      </c>
      <c r="P1525">
        <f>IF(B1558=0,0,O1525/B1558)</f>
        <v/>
      </c>
      <c r="Q1525">
        <f>IFERROR(1/IF(Inputs!$B$39="pvp",15,MAX(0.1,Skills!D6-IF(Skills!E6=TRUE,4.0,0))),0)</f>
        <v/>
      </c>
      <c r="R1525">
        <f>IF(AND(Inputs!$B$39&lt;&gt;"pvp",Inputs!$B$44&gt;0),IF(MAX(0,Inputs!$B$44-B1555)&lt;=0,0,(INT(MAX(0,Inputs!$B$44-B1555)/IF(Inputs!$B$39="pvp",15,MAX(0.1,Skills!D6-IF(Skills!E6=TRUE,4.0,0))))+1)),0)</f>
        <v/>
      </c>
      <c r="S1525">
        <f>IFERROR(O1525/N1525,0)</f>
        <v/>
      </c>
      <c r="T1525">
        <f>IF(C1525,(H1525*N1525*IF(AND(Inputs!$B$39&lt;&gt;"pvp",Inputs!$B$44&gt;0),((Skills!G6*((R1525-1)*IF(Skills!H6&gt;0,Skills!I6/Skills!H6,1)+IF(Skills!H6&gt;0,MIN(Skills!I6,MAX(0,MAX(0,Inputs!$B$44-B1555)-((R1525-1)*IF(Inputs!$B$39="pvp",15,MAX(0.1,Skills!D6-IF(Skills!E6=TRUE,4.0,0))))))/Skills!H6,1)))/Inputs!$B$44),G1525*Q1525))*IF(Inputs!$B$39="pvp",1,1+(Inputs!$B$21+0+Skills!P6+((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0)</f>
        <v/>
      </c>
      <c r="V1525">
        <f>IF(C1525,(H1525*N1525*IF(AND(Inputs!$B$39&lt;&gt;"pvp",Inputs!$B$44&gt;0),((Skills!G6*((R1525-1)*IF(Skills!H6&gt;0,Skills!I6/Skills!H6,1)+IF(Skills!H6&gt;0,MIN(Skills!I6,MAX(0,MAX(0,Inputs!$B$44-B1555)-((R1525-1)*IF(Inputs!$B$39="pvp",15,MAX(0.1,Skills!D6-IF(Skills!E6=TRUE,4.0,0))))))/Skills!H6,1)))/Inputs!$B$44),G1525*Q1525))*IF(Inputs!$B$39="pvp",1,(1+(Inputs!$B$22+Skills!Q6+((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MIN(Skills!R6,Inputs!$B$38))),0)</f>
        <v/>
      </c>
    </row>
    <row r="1526">
      <c r="A1526">
        <f>Skills!A7</f>
        <v/>
      </c>
      <c r="B1526">
        <f>Skills!B7</f>
        <v/>
      </c>
      <c r="C1526">
        <f>Inputs!$B$3&gt;=40</f>
        <v/>
      </c>
      <c r="D1526">
        <f>IF(Skills!C7=1,60+Inputs!$B$26+Inputs!$B$30,IF(Skills!C7=2,90+Inputs!$B$27+Inputs!$B$30,IF(Skills!C7=3,120+Inputs!$B$28+Inputs!$B$30,MAX(0,(Inputs!$B$3-100)*3)+Inputs!$B$29+Inputs!$B$30)))</f>
        <v/>
      </c>
      <c r="E1526">
        <f>INDEX(FactorTable!$B$2:$Y$301, MATCH(ROUND(MIN(300,MAX(1,D1526)),0), FactorTable!$A$2:$A$301,0), Skills!M7+1)</f>
        <v/>
      </c>
      <c r="F1526">
        <f>IF(Skills!N7=TRUE,(Skills!L7/10)*(E1526/1000),Skills!L7/10)+Skills!O7</f>
        <v/>
      </c>
      <c r="G1526">
        <f>Skills!G7*IF(Skills!H7&gt;0,Skills!I7/Skills!H7,1)</f>
        <v/>
      </c>
      <c r="H1526">
        <f>1-(1-Skills!J7/100)^Skills!K7</f>
        <v/>
      </c>
      <c r="I1526" t="inlineStr">
        <is>
          <t>1</t>
        </is>
      </c>
      <c r="J1526">
        <f>((Inputs!$B$6*(1+Inputs!$B$7/100))+(((Inputs!$B$13*(1+Inputs!$B$14/100))-(Inputs!$B$13*(1+Inputs!$B$14/100)))+0.25*(Inputs!$B$15-Inputs!$B$15))*(1+Inputs!$B$7/100))*(F1526/100)</f>
        <v/>
      </c>
      <c r="K1526">
        <f>J1526*(1+(((Inputs!$B$13+IF(Inputs!$B$3&gt;=38,(10*INDEX(FactorTable!$B$2:$Y$301, MATCH(ROUND(MIN(300,MAX(1,Inputs!$B$3)),0), FactorTable!$A$2:$A$301,0), 23)/1000)/100*(Inputs!$B$8*(1+Inputs!$B$9/100)),0))*(1+Inputs!$B$14/100))*0.01+Inputs!$B$15*0.0025)/100)*(1+Inputs!$B$16/100)*(1+Inputs!$B$17/100)*(5000/(6000+Inputs!$B$43*(1-(Inputs!$B$20+0)/100)))*(1+(Inputs!$B$25+((C1544=TRUE)*(F1544-Calc!F25))+((C1545=TRUE)*(F1545-Calc!F26))+B1554)/100)*(1+0.75*IF(C1530=TRUE,F1530,0)/100)*(1+(IF(Skills!A7="DARK_IMPALE",Inputs!$B$18+0,Inputs!$B$19+((C1542=TRUE)*(F1542-Calc!F23))))/100)*((1+(((C1532=TRUE)*F1532*IF(AND(Inputs!$B$39&lt;&gt;"pvp",Inputs!$B$44&gt;0),(((R1532-1)*(Skills!T13*(1+Inputs!$B$35/100))+MIN((Skills!T13*(1+Inputs!$B$35/100)),MAX(0,Inputs!$B$44-((R1532-1)*Skills!D13))))/Inputs!$B$44),IF(Inputs!$B$39="pvp",MIN((Skills!T13*(1+Inputs!$B$35/100)),15)/15,(Skills!T13*(1+Inputs!$B$35/100))/Skills!D13)))+((C1533=TRUE)*F1533*IF(AND(Inputs!$B$39&lt;&gt;"pvp",Inputs!$B$44&gt;0),(((R1533-1)*(Skills!T14*(1+Inputs!$B$35/100))+MIN((Skills!T14*(1+Inputs!$B$35/100)),MAX(0,Inputs!$B$44-((R1533-1)*Skills!D14))))/Inputs!$B$44),IF(Inputs!$B$39="pvp",MIN((Skills!T14*(1+Inputs!$B$35/100)),15)/15,(Skills!T14*(1+Inputs!$B$35/100))/Skills!D14)))+((C1534=TRUE)*F1534*IF(AND(Inputs!$B$39&lt;&gt;"pvp",Inputs!$B$44&gt;0),(((R1534-1)*(Skills!T15*(1+Inputs!$B$35/100))+MIN((Skills!T15*(1+Inputs!$B$35/100)),MAX(0,Inputs!$B$44-((R1534-1)*Skills!D15))))/Inputs!$B$44),IF(Inputs!$B$39="pvp",MIN((Skills!T15*(1+Inputs!$B$35/100)),15)/15,(Skills!T15*(1+Inputs!$B$35/100))/Skills!D15)))+((C1535=TRUE)*F1535*IF(AND(Inputs!$B$39&lt;&gt;"pvp",Inputs!$B$44&gt;0),(((R1535-1)*(Skills!T16*(1+Inputs!$B$35/100))+MIN((Skills!T16*(1+Inputs!$B$35/100)),MAX(0,Inputs!$B$44-((R1535-1)*Skills!D16))))/Inputs!$B$44),IF(Inputs!$B$39="pvp",MIN((Skills!T16*(1+Inputs!$B$35/100)),15)/15,(Skills!T16*(1+Inputs!$B$35/100))/Skills!D16)))+0)/100)*I1526)</f>
        <v/>
      </c>
      <c r="L1526">
        <f>K1526*(MIN(Inputs!$B$23+((C1541=TRUE)*(F1541-Calc!F22)),Inputs!$B$24+((C1543=TRUE)*(F1543-Calc!F24)))/100+(Inputs!$B$24+((C1543=TRUE)*(F1543-Calc!F24)))/100)/2</f>
        <v/>
      </c>
      <c r="M1526">
        <f>L1526*(1+(Inputs!$B$11+0+B1553)/100)</f>
        <v/>
      </c>
      <c r="N1526">
        <f>L1526*(1-MIN((Inputs!$B$10+0+B1548),100)/100)+M1526*(MIN((Inputs!$B$10+0+B1548),100)/100)</f>
        <v/>
      </c>
      <c r="O1526">
        <f>(1-Summary!$B$55)*T1526+Summary!$B$55*V1526</f>
        <v/>
      </c>
      <c r="P1526">
        <f>IF(B1558=0,0,O1526/B1558)</f>
        <v/>
      </c>
      <c r="Q1526">
        <f>IFERROR(1/IF(Inputs!$B$39="pvp",15,MAX(0.1,Skills!D7-IF(Skills!E7=TRUE,4.0,0))),0)</f>
        <v/>
      </c>
      <c r="R1526">
        <f>IF(AND(Inputs!$B$39&lt;&gt;"pvp",Inputs!$B$44&gt;0),IF(MAX(0,Inputs!$B$44-B1555)&lt;=0,0,(INT(MAX(0,Inputs!$B$44-B1555)/IF(Inputs!$B$39="pvp",15,MAX(0.1,Skills!D7-IF(Skills!E7=TRUE,4.0,0))))+1)),0)</f>
        <v/>
      </c>
      <c r="S1526">
        <f>IFERROR(O1526/N1526,0)</f>
        <v/>
      </c>
      <c r="T1526">
        <f>IF(C1526,(H1526*N1526*IF(AND(Inputs!$B$39&lt;&gt;"pvp",Inputs!$B$44&gt;0),((Skills!G7*((R1526-1)*IF(Skills!H7&gt;0,Skills!I7/Skills!H7,1)+IF(Skills!H7&gt;0,MIN(Skills!I7,MAX(0,MAX(0,Inputs!$B$44-B1555)-((R1526-1)*IF(Inputs!$B$39="pvp",15,MAX(0.1,Skills!D7-IF(Skills!E7=TRUE,4.0,0))))))/Skills!H7,1)))/Inputs!$B$44),G1526*Q1526))*IF(Inputs!$B$39="pvp",1,1+(Inputs!$B$21+0+Skills!P7+((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0)</f>
        <v/>
      </c>
      <c r="V1526">
        <f>IF(C1526,(H1526*N1526*IF(AND(Inputs!$B$39&lt;&gt;"pvp",Inputs!$B$44&gt;0),((Skills!G7*((R1526-1)*IF(Skills!H7&gt;0,Skills!I7/Skills!H7,1)+IF(Skills!H7&gt;0,MIN(Skills!I7,MAX(0,MAX(0,Inputs!$B$44-B1555)-((R1526-1)*IF(Inputs!$B$39="pvp",15,MAX(0.1,Skills!D7-IF(Skills!E7=TRUE,4.0,0))))))/Skills!H7,1)))/Inputs!$B$44),G1526*Q1526))*IF(Inputs!$B$39="pvp",1,(1+(Inputs!$B$22+Skills!Q7+((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MIN(Skills!R7,Inputs!$B$38))),0)</f>
        <v/>
      </c>
    </row>
    <row r="1527">
      <c r="A1527">
        <f>Skills!A8</f>
        <v/>
      </c>
      <c r="B1527">
        <f>Skills!B8</f>
        <v/>
      </c>
      <c r="C1527">
        <f>Inputs!$B$3&gt;=75</f>
        <v/>
      </c>
      <c r="D1527">
        <f>IF(Skills!C8=1,60+Inputs!$B$26+Inputs!$B$30,IF(Skills!C8=2,90+Inputs!$B$27+Inputs!$B$30,IF(Skills!C8=3,120+Inputs!$B$28+Inputs!$B$30,MAX(0,(Inputs!$B$3-100)*3)+Inputs!$B$29+Inputs!$B$30)))</f>
        <v/>
      </c>
      <c r="E1527">
        <f>INDEX(FactorTable!$B$2:$Y$301, MATCH(ROUND(MIN(300,MAX(1,D1527)),0), FactorTable!$A$2:$A$301,0), Skills!M8+1)</f>
        <v/>
      </c>
      <c r="F1527">
        <f>IF(Skills!N8=TRUE,(Skills!L8/10)*(E1527/1000),Skills!L8/10)+Skills!O8</f>
        <v/>
      </c>
      <c r="G1527" t="inlineStr"/>
      <c r="H1527" t="inlineStr"/>
      <c r="I1527" t="inlineStr">
        <is>
          <t>1</t>
        </is>
      </c>
      <c r="J1527" t="inlineStr"/>
      <c r="K1527" t="inlineStr"/>
      <c r="L1527" t="inlineStr"/>
      <c r="M1527" t="inlineStr"/>
      <c r="N1527" t="inlineStr"/>
      <c r="O1527" t="inlineStr"/>
      <c r="P1527" t="inlineStr"/>
      <c r="Q1527" t="inlineStr"/>
      <c r="R1527" t="inlineStr"/>
      <c r="S1527" t="inlineStr"/>
    </row>
    <row r="1528">
      <c r="A1528">
        <f>Skills!A9</f>
        <v/>
      </c>
      <c r="B1528">
        <f>Skills!B9</f>
        <v/>
      </c>
      <c r="C1528">
        <f>Inputs!$B$3&gt;=60</f>
        <v/>
      </c>
      <c r="D1528">
        <f>IF(Skills!C9=1,60+Inputs!$B$26+Inputs!$B$30,IF(Skills!C9=2,90+Inputs!$B$27+Inputs!$B$30,IF(Skills!C9=3,120+Inputs!$B$28+Inputs!$B$30,MAX(0,(Inputs!$B$3-100)*3)+Inputs!$B$29+Inputs!$B$30)))</f>
        <v/>
      </c>
      <c r="E1528">
        <f>INDEX(FactorTable!$B$2:$Y$301, MATCH(ROUND(MIN(300,MAX(1,D1528)),0), FactorTable!$A$2:$A$301,0), Skills!M9+1)</f>
        <v/>
      </c>
      <c r="F1528">
        <f>IF(Skills!N9=TRUE,(Skills!L9/10)*(E1528/1000),Skills!L9/10)+Skills!O9</f>
        <v/>
      </c>
      <c r="G1528">
        <f>Skills!G9*IF(Skills!H9&gt;0,Skills!I9/Skills!H9,1)</f>
        <v/>
      </c>
      <c r="H1528">
        <f>1-(1-Skills!J9/100)^Skills!K9</f>
        <v/>
      </c>
      <c r="I1528" t="inlineStr">
        <is>
          <t>1</t>
        </is>
      </c>
      <c r="J1528">
        <f>((Inputs!$B$6*(1+Inputs!$B$7/100))+(((Inputs!$B$13*(1+Inputs!$B$14/100))-(Inputs!$B$13*(1+Inputs!$B$14/100)))+0.25*(Inputs!$B$15-Inputs!$B$15))*(1+Inputs!$B$7/100))*(F1528/100)</f>
        <v/>
      </c>
      <c r="K1528">
        <f>J1528*(1+(((Inputs!$B$13+IF(Inputs!$B$3&gt;=38,(10*INDEX(FactorTable!$B$2:$Y$301, MATCH(ROUND(MIN(300,MAX(1,Inputs!$B$3)),0), FactorTable!$A$2:$A$301,0), 23)/1000)/100*(Inputs!$B$8*(1+Inputs!$B$9/100)),0))*(1+Inputs!$B$14/100))*0.01+Inputs!$B$15*0.0025)/100)*(1+Inputs!$B$16/100)*(1+Inputs!$B$17/100)*(5000/(6000+Inputs!$B$43*(1-(Inputs!$B$20+0)/100)))*(1+(Inputs!$B$25+((C1544=TRUE)*(F1544-Calc!F25))+((C1545=TRUE)*(F1545-Calc!F26))+B1554)/100)*(1+1.0*IF(C1530=TRUE,F1530,0)/100)*(1+(IF(Skills!A9="DARK_IMPALE",Inputs!$B$18+0,Inputs!$B$19+((C1542=TRUE)*(F1542-Calc!F23))))/100)*((1+(((C1532=TRUE)*F1532*IF(AND(Inputs!$B$39&lt;&gt;"pvp",Inputs!$B$44&gt;0),(((R1532-1)*(Skills!T13*(1+Inputs!$B$35/100))+MIN((Skills!T13*(1+Inputs!$B$35/100)),MAX(0,Inputs!$B$44-((R1532-1)*Skills!D13))))/Inputs!$B$44),IF(Inputs!$B$39="pvp",MIN((Skills!T13*(1+Inputs!$B$35/100)),15)/15,(Skills!T13*(1+Inputs!$B$35/100))/Skills!D13)))+((C1533=TRUE)*F1533*IF(AND(Inputs!$B$39&lt;&gt;"pvp",Inputs!$B$44&gt;0),(((R1533-1)*(Skills!T14*(1+Inputs!$B$35/100))+MIN((Skills!T14*(1+Inputs!$B$35/100)),MAX(0,Inputs!$B$44-((R1533-1)*Skills!D14))))/Inputs!$B$44),IF(Inputs!$B$39="pvp",MIN((Skills!T14*(1+Inputs!$B$35/100)),15)/15,(Skills!T14*(1+Inputs!$B$35/100))/Skills!D14)))+((C1534=TRUE)*F1534*IF(AND(Inputs!$B$39&lt;&gt;"pvp",Inputs!$B$44&gt;0),(((R1534-1)*(Skills!T15*(1+Inputs!$B$35/100))+MIN((Skills!T15*(1+Inputs!$B$35/100)),MAX(0,Inputs!$B$44-((R1534-1)*Skills!D15))))/Inputs!$B$44),IF(Inputs!$B$39="pvp",MIN((Skills!T15*(1+Inputs!$B$35/100)),15)/15,(Skills!T15*(1+Inputs!$B$35/100))/Skills!D15)))+((C1535=TRUE)*F1535*IF(AND(Inputs!$B$39&lt;&gt;"pvp",Inputs!$B$44&gt;0),(((R1535-1)*(Skills!T16*(1+Inputs!$B$35/100))+MIN((Skills!T16*(1+Inputs!$B$35/100)),MAX(0,Inputs!$B$44-((R1535-1)*Skills!D16))))/Inputs!$B$44),IF(Inputs!$B$39="pvp",MIN((Skills!T16*(1+Inputs!$B$35/100)),15)/15,(Skills!T16*(1+Inputs!$B$35/100))/Skills!D16)))+0)/100)*I1528)</f>
        <v/>
      </c>
      <c r="L1528">
        <f>K1528*(MIN(Inputs!$B$23+((C1541=TRUE)*(F1541-Calc!F22)),Inputs!$B$24+((C1543=TRUE)*(F1543-Calc!F24)))/100+(Inputs!$B$24+((C1543=TRUE)*(F1543-Calc!F24)))/100)/2</f>
        <v/>
      </c>
      <c r="M1528">
        <f>L1528*(1+(Inputs!$B$11+0+B1553)/100)</f>
        <v/>
      </c>
      <c r="N1528">
        <f>L1528*(1-MIN((Inputs!$B$10+0+B1548),100)/100)+M1528*(MIN((Inputs!$B$10+0+B1548),100)/100)</f>
        <v/>
      </c>
      <c r="O1528">
        <f>(1-Summary!$B$55)*T1528+Summary!$B$55*V1528</f>
        <v/>
      </c>
      <c r="P1528">
        <f>IF(B1558=0,0,O1528/B1558)</f>
        <v/>
      </c>
      <c r="Q1528">
        <f>IFERROR(1/IF(Inputs!$B$39="pvp",15,MAX(0.1,Skills!D9-IF(Skills!E9=TRUE,4.0,0))),0)</f>
        <v/>
      </c>
      <c r="R1528">
        <f>IF(AND(Inputs!$B$39&lt;&gt;"pvp",Inputs!$B$44&gt;0),IF(MAX(0,Inputs!$B$44-B1555)&lt;=0,0,(INT(MAX(0,Inputs!$B$44-B1555)/IF(Inputs!$B$39="pvp",15,MAX(0.1,Skills!D9-IF(Skills!E9=TRUE,4.0,0))))+1)),0)</f>
        <v/>
      </c>
      <c r="S1528">
        <f>IFERROR(O1528/N1528,0)</f>
        <v/>
      </c>
      <c r="T1528">
        <f>IF(C1528,(H1528*N1528*IF(AND(Inputs!$B$39&lt;&gt;"pvp",Inputs!$B$44&gt;0),((Skills!G9*((R1528-1)*IF(Skills!H9&gt;0,Skills!I9/Skills!H9,1)+IF(Skills!H9&gt;0,MIN(Skills!I9,MAX(0,MAX(0,Inputs!$B$44-B1555)-((R1528-1)*IF(Inputs!$B$39="pvp",15,MAX(0.1,Skills!D9-IF(Skills!E9=TRUE,4.0,0))))))/Skills!H9,1)))/Inputs!$B$44),G1528*Q1528))*IF(Inputs!$B$39="pvp",1,1+(Inputs!$B$21+0+Skills!P9+((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0)</f>
        <v/>
      </c>
      <c r="V1528">
        <f>IF(C1528,(H1528*N1528*IF(AND(Inputs!$B$39&lt;&gt;"pvp",Inputs!$B$44&gt;0),((Skills!G9*((R1528-1)*IF(Skills!H9&gt;0,Skills!I9/Skills!H9,1)+IF(Skills!H9&gt;0,MIN(Skills!I9,MAX(0,MAX(0,Inputs!$B$44-B1555)-((R1528-1)*IF(Inputs!$B$39="pvp",15,MAX(0.1,Skills!D9-IF(Skills!E9=TRUE,4.0,0))))))/Skills!H9,1)))/Inputs!$B$44),G1528*Q1528))*IF(Inputs!$B$39="pvp",1,(1+(Inputs!$B$22+Skills!Q9+((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MIN(Skills!R9,Inputs!$B$38))),0)</f>
        <v/>
      </c>
    </row>
    <row r="1529">
      <c r="A1529">
        <f>Skills!A10</f>
        <v/>
      </c>
      <c r="B1529">
        <f>Skills!B10</f>
        <v/>
      </c>
      <c r="C1529">
        <f>Inputs!$B$3&gt;=110</f>
        <v/>
      </c>
      <c r="D1529">
        <f>IF(Skills!C10=1,60+Inputs!$B$26+Inputs!$B$30,IF(Skills!C10=2,90+Inputs!$B$27+Inputs!$B$30,IF(Skills!C10=3,120+Inputs!$B$28+Inputs!$B$30,MAX(0,(Inputs!$B$3-100)*3)+Inputs!$B$29+Inputs!$B$30)))</f>
        <v/>
      </c>
      <c r="E1529">
        <f>INDEX(FactorTable!$B$2:$Y$301, MATCH(ROUND(MIN(300,MAX(1,D1529)),0), FactorTable!$A$2:$A$301,0), Skills!M10+1)</f>
        <v/>
      </c>
      <c r="F1529">
        <f>IF(Skills!N10=TRUE,(Skills!L10/10)*(E1529/1000),Skills!L10/10)+Skills!O10</f>
        <v/>
      </c>
      <c r="G1529">
        <f>Skills!G10*IF(Skills!H10&gt;0,Skills!I10/Skills!H10,1)</f>
        <v/>
      </c>
      <c r="H1529">
        <f>1-(1-Skills!J10/100)^Skills!K10</f>
        <v/>
      </c>
      <c r="I1529" t="inlineStr">
        <is>
          <t>1</t>
        </is>
      </c>
      <c r="J1529">
        <f>((Inputs!$B$6*(1+Inputs!$B$7/100))+(((Inputs!$B$13*(1+Inputs!$B$14/100))-(Inputs!$B$13*(1+Inputs!$B$14/100)))+0.25*(Inputs!$B$15-Inputs!$B$15))*(1+Inputs!$B$7/100))*(F1529/100)</f>
        <v/>
      </c>
      <c r="K1529">
        <f>J1529*(1+(((Inputs!$B$13+IF(Inputs!$B$3&gt;=38,(10*INDEX(FactorTable!$B$2:$Y$301, MATCH(ROUND(MIN(300,MAX(1,Inputs!$B$3)),0), FactorTable!$A$2:$A$301,0), 23)/1000)/100*(Inputs!$B$8*(1+Inputs!$B$9/100)),0))*(1+Inputs!$B$14/100))*0.01+Inputs!$B$15*0.0025)/100)*(1+Inputs!$B$16/100)*(1+Inputs!$B$17/100)*(5000/(6000+Inputs!$B$43*(1-(Inputs!$B$20+0)/100)))*(1+(Inputs!$B$25+((C1544=TRUE)*(F1544-Calc!F25))+((C1545=TRUE)*(F1545-Calc!F26))+B1554)/100)*(1+(IF(Skills!A10="DARK_IMPALE",Inputs!$B$18+0,Inputs!$B$19+((C1542=TRUE)*(F1542-Calc!F23))))/100)*((1+(((C1532=TRUE)*F1532*IF(AND(Inputs!$B$39&lt;&gt;"pvp",Inputs!$B$44&gt;0),(((R1532-1)*(Skills!T13*(1+Inputs!$B$35/100))+MIN((Skills!T13*(1+Inputs!$B$35/100)),MAX(0,Inputs!$B$44-((R1532-1)*Skills!D13))))/Inputs!$B$44),IF(Inputs!$B$39="pvp",MIN((Skills!T13*(1+Inputs!$B$35/100)),15)/15,(Skills!T13*(1+Inputs!$B$35/100))/Skills!D13)))+((C1533=TRUE)*F1533*IF(AND(Inputs!$B$39&lt;&gt;"pvp",Inputs!$B$44&gt;0),(((R1533-1)*(Skills!T14*(1+Inputs!$B$35/100))+MIN((Skills!T14*(1+Inputs!$B$35/100)),MAX(0,Inputs!$B$44-((R1533-1)*Skills!D14))))/Inputs!$B$44),IF(Inputs!$B$39="pvp",MIN((Skills!T14*(1+Inputs!$B$35/100)),15)/15,(Skills!T14*(1+Inputs!$B$35/100))/Skills!D14)))+((C1534=TRUE)*F1534*IF(AND(Inputs!$B$39&lt;&gt;"pvp",Inputs!$B$44&gt;0),(((R1534-1)*(Skills!T15*(1+Inputs!$B$35/100))+MIN((Skills!T15*(1+Inputs!$B$35/100)),MAX(0,Inputs!$B$44-((R1534-1)*Skills!D15))))/Inputs!$B$44),IF(Inputs!$B$39="pvp",MIN((Skills!T15*(1+Inputs!$B$35/100)),15)/15,(Skills!T15*(1+Inputs!$B$35/100))/Skills!D15)))+((C1535=TRUE)*F1535*IF(AND(Inputs!$B$39&lt;&gt;"pvp",Inputs!$B$44&gt;0),(((R1535-1)*(Skills!T16*(1+Inputs!$B$35/100))+MIN((Skills!T16*(1+Inputs!$B$35/100)),MAX(0,Inputs!$B$44-((R1535-1)*Skills!D16))))/Inputs!$B$44),IF(Inputs!$B$39="pvp",MIN((Skills!T16*(1+Inputs!$B$35/100)),15)/15,(Skills!T16*(1+Inputs!$B$35/100))/Skills!D16)))+0)/100)*I1529)</f>
        <v/>
      </c>
      <c r="L1529">
        <f>K1529*(MIN(Inputs!$B$23+((C1541=TRUE)*(F1541-Calc!F22)),Inputs!$B$24+((C1543=TRUE)*(F1543-Calc!F24)))/100+(Inputs!$B$24+((C1543=TRUE)*(F1543-Calc!F24)))/100)/2</f>
        <v/>
      </c>
      <c r="M1529">
        <f>L1529*(1+(Inputs!$B$11+0+B1553)/100)</f>
        <v/>
      </c>
      <c r="N1529">
        <f>L1529*(1-MIN((Inputs!$B$10+0+B1548),100)/100)+M1529*(MIN((Inputs!$B$10+0+B1548),100)/100)</f>
        <v/>
      </c>
      <c r="O1529">
        <f>(1-Summary!$B$55)*T1529+Summary!$B$55*V1529</f>
        <v/>
      </c>
      <c r="P1529">
        <f>IF(B1558=0,0,O1529/B1558)</f>
        <v/>
      </c>
      <c r="Q1529">
        <f>IFERROR(1/IF(Inputs!$B$39="pvp",15,MAX(0.1,Skills!D10-IF(Skills!E10=TRUE,4.0,0))),0)</f>
        <v/>
      </c>
      <c r="R1529">
        <f>IF(AND(Inputs!$B$39&lt;&gt;"pvp",Inputs!$B$44&gt;0),IF(MAX(0,Inputs!$B$44-B1555)&lt;=0,0,(INT(MAX(0,Inputs!$B$44-B1555)/IF(Inputs!$B$39="pvp",15,MAX(0.1,Skills!D10-IF(Skills!E10=TRUE,4.0,0))))+1)),0)</f>
        <v/>
      </c>
      <c r="S1529">
        <f>IFERROR(O1529/N1529,0)</f>
        <v/>
      </c>
      <c r="T1529">
        <f>IF(C1529,(H1529*N1529*IF(AND(Inputs!$B$39&lt;&gt;"pvp",Inputs!$B$44&gt;0),((Skills!G10*((R1529-1)*IF(Skills!H10&gt;0,Skills!I10/Skills!H10,1)+IF(Skills!H10&gt;0,MIN(Skills!I10,MAX(0,MAX(0,Inputs!$B$44-B1555)-((R1529-1)*IF(Inputs!$B$39="pvp",15,MAX(0.1,Skills!D10-IF(Skills!E10=TRUE,4.0,0))))))/Skills!H10,1)))/Inputs!$B$44),G1529*Q1529))*IF(Inputs!$B$39="pvp",1,1+(Inputs!$B$21+0+Skills!P10+((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0)</f>
        <v/>
      </c>
      <c r="V1529">
        <f>IF(C1529,(H1529*N1529*IF(AND(Inputs!$B$39&lt;&gt;"pvp",Inputs!$B$44&gt;0),((Skills!G10*((R1529-1)*IF(Skills!H10&gt;0,Skills!I10/Skills!H10,1)+IF(Skills!H10&gt;0,MIN(Skills!I10,MAX(0,MAX(0,Inputs!$B$44-B1555)-((R1529-1)*IF(Inputs!$B$39="pvp",15,MAX(0.1,Skills!D10-IF(Skills!E10=TRUE,4.0,0))))))/Skills!H10,1)))/Inputs!$B$44),G1529*Q1529))*IF(Inputs!$B$39="pvp",1,(1+(Inputs!$B$22+Skills!Q10+((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MIN(Skills!R10,Inputs!$B$38))),0)</f>
        <v/>
      </c>
    </row>
    <row r="1530">
      <c r="A1530">
        <f>Skills!A11</f>
        <v/>
      </c>
      <c r="B1530">
        <f>Skills!B11</f>
        <v/>
      </c>
      <c r="C1530">
        <f>Inputs!$B$3&gt;=100</f>
        <v/>
      </c>
      <c r="D1530">
        <f>IF(Skills!C11=1,60+Inputs!$B$26+Inputs!$B$30,IF(Skills!C11=2,90+Inputs!$B$27+Inputs!$B$30,IF(Skills!C11=3,120+Inputs!$B$28+Inputs!$B$30,MAX(0,(Inputs!$B$3-100)*3)+Inputs!$B$29+Inputs!$B$30)))</f>
        <v/>
      </c>
      <c r="E1530">
        <f>INDEX(FactorTable!$B$2:$Y$301, MATCH(ROUND(MIN(300,MAX(1,D1530)),0), FactorTable!$A$2:$A$301,0), Skills!M11+1)</f>
        <v/>
      </c>
      <c r="F1530">
        <f>IF(Skills!N11=TRUE,(Skills!L11/10)*(E1530/1000),Skills!L11/10)+Skills!O11</f>
        <v/>
      </c>
      <c r="G1530" t="inlineStr"/>
      <c r="H1530" t="inlineStr"/>
      <c r="I1530" t="inlineStr">
        <is>
          <t>1</t>
        </is>
      </c>
      <c r="J1530" t="inlineStr"/>
      <c r="K1530" t="inlineStr"/>
      <c r="L1530" t="inlineStr"/>
      <c r="M1530" t="inlineStr"/>
      <c r="N1530" t="inlineStr"/>
      <c r="O1530" t="inlineStr"/>
      <c r="P1530" t="inlineStr"/>
      <c r="Q1530" t="inlineStr"/>
      <c r="R1530" t="inlineStr"/>
      <c r="S1530" t="inlineStr"/>
    </row>
    <row r="1531">
      <c r="A1531">
        <f>Skills!A12</f>
        <v/>
      </c>
      <c r="B1531">
        <f>Skills!B12</f>
        <v/>
      </c>
      <c r="C1531">
        <f>Inputs!$B$3&gt;=63</f>
        <v/>
      </c>
      <c r="D1531">
        <f>IF(Skills!C12=1,60+Inputs!$B$26+Inputs!$B$30,IF(Skills!C12=2,90+Inputs!$B$27+Inputs!$B$30,IF(Skills!C12=3,120+Inputs!$B$28+Inputs!$B$30,MAX(0,(Inputs!$B$3-100)*3)+Inputs!$B$29+Inputs!$B$30)))</f>
        <v/>
      </c>
      <c r="E1531">
        <f>INDEX(FactorTable!$B$2:$Y$301, MATCH(ROUND(MIN(300,MAX(1,D1531)),0), FactorTable!$A$2:$A$301,0), Skills!M12+1)</f>
        <v/>
      </c>
      <c r="F1531">
        <f>IF(Skills!N12=TRUE,(Skills!L12/10)*(E1531/1000),Skills!L12/10)+Skills!O12</f>
        <v/>
      </c>
      <c r="G1531">
        <f>Skills!G12*IF(Skills!H12&gt;0,Skills!I12/Skills!H12,1)</f>
        <v/>
      </c>
      <c r="H1531">
        <f>1-(1-Skills!J12/100)^Skills!K12</f>
        <v/>
      </c>
      <c r="I1531" t="inlineStr">
        <is>
          <t>1</t>
        </is>
      </c>
      <c r="J1531">
        <f>((Inputs!$B$6*(1+Inputs!$B$7/100))+(((Inputs!$B$13*(1+Inputs!$B$14/100))-(Inputs!$B$13*(1+Inputs!$B$14/100)))+0.25*(Inputs!$B$15-Inputs!$B$15))*(1+Inputs!$B$7/100))*(F1531/100)</f>
        <v/>
      </c>
      <c r="K1531">
        <f>J1531*(1+(((Inputs!$B$13+IF(Inputs!$B$3&gt;=38,(10*INDEX(FactorTable!$B$2:$Y$301, MATCH(ROUND(MIN(300,MAX(1,Inputs!$B$3)),0), FactorTable!$A$2:$A$301,0), 23)/1000)/100*(Inputs!$B$8*(1+Inputs!$B$9/100)),0))*(1+Inputs!$B$14/100))*0.01+Inputs!$B$15*0.0025)/100)*(1+Inputs!$B$16/100)*(1+Inputs!$B$17/100)*(5000/(6000+Inputs!$B$43*(1-(Inputs!$B$20+0)/100)))*(1+(Inputs!$B$25+((C1544=TRUE)*(F1544-Calc!F25))+((C1545=TRUE)*(F1545-Calc!F26))+B1554)/100)*(1+0.75*IF(C1530=TRUE,F1530,0)/100)*(1+(IF(Skills!A12="DARK_IMPALE",Inputs!$B$18+0,Inputs!$B$19+((C1542=TRUE)*(F1542-Calc!F23))))/100)*((1+(((C1532=TRUE)*F1532*IF(AND(Inputs!$B$39&lt;&gt;"pvp",Inputs!$B$44&gt;0),(((R1532-1)*(Skills!T13*(1+Inputs!$B$35/100))+MIN((Skills!T13*(1+Inputs!$B$35/100)),MAX(0,Inputs!$B$44-((R1532-1)*Skills!D13))))/Inputs!$B$44),IF(Inputs!$B$39="pvp",MIN((Skills!T13*(1+Inputs!$B$35/100)),15)/15,(Skills!T13*(1+Inputs!$B$35/100))/Skills!D13)))+((C1533=TRUE)*F1533*IF(AND(Inputs!$B$39&lt;&gt;"pvp",Inputs!$B$44&gt;0),(((R1533-1)*(Skills!T14*(1+Inputs!$B$35/100))+MIN((Skills!T14*(1+Inputs!$B$35/100)),MAX(0,Inputs!$B$44-((R1533-1)*Skills!D14))))/Inputs!$B$44),IF(Inputs!$B$39="pvp",MIN((Skills!T14*(1+Inputs!$B$35/100)),15)/15,(Skills!T14*(1+Inputs!$B$35/100))/Skills!D14)))+((C1534=TRUE)*F1534*IF(AND(Inputs!$B$39&lt;&gt;"pvp",Inputs!$B$44&gt;0),(((R1534-1)*(Skills!T15*(1+Inputs!$B$35/100))+MIN((Skills!T15*(1+Inputs!$B$35/100)),MAX(0,Inputs!$B$44-((R1534-1)*Skills!D15))))/Inputs!$B$44),IF(Inputs!$B$39="pvp",MIN((Skills!T15*(1+Inputs!$B$35/100)),15)/15,(Skills!T15*(1+Inputs!$B$35/100))/Skills!D15)))+((C1535=TRUE)*F1535*IF(AND(Inputs!$B$39&lt;&gt;"pvp",Inputs!$B$44&gt;0),(((R1535-1)*(Skills!T16*(1+Inputs!$B$35/100))+MIN((Skills!T16*(1+Inputs!$B$35/100)),MAX(0,Inputs!$B$44-((R1535-1)*Skills!D16))))/Inputs!$B$44),IF(Inputs!$B$39="pvp",MIN((Skills!T16*(1+Inputs!$B$35/100)),15)/15,(Skills!T16*(1+Inputs!$B$35/100))/Skills!D16)))+0)/100)*I1531)</f>
        <v/>
      </c>
      <c r="L1531">
        <f>K1531*(MIN(Inputs!$B$23+((C1541=TRUE)*(F1541-Calc!F22)),Inputs!$B$24+((C1543=TRUE)*(F1543-Calc!F24)))/100+(Inputs!$B$24+((C1543=TRUE)*(F1543-Calc!F24)))/100)/2</f>
        <v/>
      </c>
      <c r="M1531">
        <f>L1531*(1+(Inputs!$B$11+0+B1553)/100)</f>
        <v/>
      </c>
      <c r="N1531">
        <f>L1531*(1-MIN((Inputs!$B$10+0+B1548),100)/100)+M1531*(MIN((Inputs!$B$10+0+B1548),100)/100)</f>
        <v/>
      </c>
      <c r="O1531">
        <f>(1-Summary!$B$55)*T1531+Summary!$B$55*V1531</f>
        <v/>
      </c>
      <c r="P1531">
        <f>IF(B1558=0,0,O1531/B1558)</f>
        <v/>
      </c>
      <c r="Q1531">
        <f>IFERROR(1/IF(Inputs!$B$39="pvp",15,MAX(0.1,Skills!D12-IF(Skills!E12=TRUE,4.0,0))),0)</f>
        <v/>
      </c>
      <c r="R1531">
        <f>IF(AND(Inputs!$B$39&lt;&gt;"pvp",Inputs!$B$44&gt;0),IF(MAX(0,Inputs!$B$44-B1555)&lt;=0,0,(INT(MAX(0,Inputs!$B$44-B1555)/IF(Inputs!$B$39="pvp",15,MAX(0.1,Skills!D12-IF(Skills!E12=TRUE,4.0,0))))+1)),0)</f>
        <v/>
      </c>
      <c r="S1531">
        <f>IFERROR(O1531/N1531,0)</f>
        <v/>
      </c>
      <c r="T1531">
        <f>IF(C1531,(H1531*N1531*IF(AND(Inputs!$B$39&lt;&gt;"pvp",Inputs!$B$44&gt;0),((Skills!G12*((R1531-1)*IF(Skills!H12&gt;0,Skills!I12/Skills!H12,1)+IF(Skills!H12&gt;0,MIN(Skills!I12,MAX(0,MAX(0,Inputs!$B$44-B1555)-((R1531-1)*IF(Inputs!$B$39="pvp",15,MAX(0.1,Skills!D12-IF(Skills!E12=TRUE,4.0,0))))))/Skills!H12,1)))/Inputs!$B$44),G1531*Q1531))*IF(Inputs!$B$39="pvp",1,1+(Inputs!$B$21+0+Skills!P12+((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0)</f>
        <v/>
      </c>
      <c r="V1531">
        <f>IF(C1531,(H1531*N1531*IF(AND(Inputs!$B$39&lt;&gt;"pvp",Inputs!$B$44&gt;0),((Skills!G12*((R1531-1)*IF(Skills!H12&gt;0,Skills!I12/Skills!H12,1)+IF(Skills!H12&gt;0,MIN(Skills!I12,MAX(0,MAX(0,Inputs!$B$44-B1555)-((R1531-1)*IF(Inputs!$B$39="pvp",15,MAX(0.1,Skills!D12-IF(Skills!E12=TRUE,4.0,0))))))/Skills!H12,1)))/Inputs!$B$44),G1531*Q1531))*IF(Inputs!$B$39="pvp",1,(1+(Inputs!$B$22+Skills!Q12+((C1536=TRUE)*F1536*IF(AND(Inputs!$B$39&lt;&gt;"pvp",Inputs!$B$44&gt;0),(((R1536-1)*(Skills!T17*(1+Inputs!$B$35/100))+MIN((Skills!T17*(1+Inputs!$B$35/100)),MAX(0,Inputs!$B$44-((R1536-1)*Skills!D17))))/Inputs!$B$44),IF(Inputs!$B$39="pvp",MIN((Skills!T17*(1+Inputs!$B$35/100)),15)/15,(Skills!T17*(1+Inputs!$B$35/100))/Skills!D17)))+((C1533=TRUE)*IF(Inputs!$B$39="pvp",20,(1-Summary!$B$55)*(20)+Summary!$B$55*(0))*IF(AND(Inputs!$B$39&lt;&gt;"pvp",Inputs!$B$44&gt;0),(((R1533-1)*(Skills!T14*(1+Inputs!$B$35/100))+MIN((Skills!T14*(1+Inputs!$B$35/100)),MAX(0,Inputs!$B$44-((R1533-1)*Skills!D14))))/Inputs!$B$44),IF(Inputs!$B$39="pvp",MIN((Skills!T14*(1+Inputs!$B$35/100)),15)/15,(Skills!T14*(1+Inputs!$B$35/100))/Skills!D14))))/100)*(MIN(Skills!R12,Inputs!$B$38))),0)</f>
        <v/>
      </c>
    </row>
    <row r="1532">
      <c r="A1532">
        <f>Skills!A13</f>
        <v/>
      </c>
      <c r="B1532">
        <f>Skills!B13</f>
        <v/>
      </c>
      <c r="C1532">
        <f>Inputs!$B$3&gt;=69</f>
        <v/>
      </c>
      <c r="D1532">
        <f>IF(Skills!C13=1,60+Inputs!$B$26+Inputs!$B$30,IF(Skills!C13=2,90+Inputs!$B$27+Inputs!$B$30,IF(Skills!C13=3,120+Inputs!$B$28+Inputs!$B$30,MAX(0,(Inputs!$B$3-100)*3)+Inputs!$B$29+Inputs!$B$30)))</f>
        <v/>
      </c>
      <c r="E1532">
        <f>INDEX(FactorTable!$B$2:$Y$301, MATCH(ROUND(MIN(300,MAX(1,D1532)),0), FactorTable!$A$2:$A$301,0), Skills!M13+1)</f>
        <v/>
      </c>
      <c r="F1532">
        <f>IF(Skills!N13=TRUE,(Skills!L13/10)*(E1532/1000),Skills!L13/10)+Skills!O13</f>
        <v/>
      </c>
      <c r="G1532">
        <f>Skills!G13*IF(Skills!H13&gt;0,Skills!I13/Skills!H13,1)</f>
        <v/>
      </c>
      <c r="H1532">
        <f>1-(1-Skills!J13/100)^Skills!K13</f>
        <v/>
      </c>
      <c r="I1532" t="inlineStr">
        <is>
          <t>1</t>
        </is>
      </c>
      <c r="J1532" t="inlineStr"/>
      <c r="K1532" t="inlineStr"/>
      <c r="L1532" t="inlineStr"/>
      <c r="M1532" t="inlineStr"/>
      <c r="N1532" t="inlineStr"/>
      <c r="O1532">
        <f>(1-Summary!$B$55)*T1532+Summary!$B$55*V1532</f>
        <v/>
      </c>
      <c r="P1532">
        <f>IF(B1558=0,0,O1532/B1558)</f>
        <v/>
      </c>
      <c r="Q1532">
        <f>IFERROR(1/IF(Inputs!$B$39="pvp",15,MAX(0.1,Skills!D13-IF(Skills!E13=TRUE,4.0,0))),0)</f>
        <v/>
      </c>
      <c r="R1532">
        <f>IF(AND(Inputs!$B$39&lt;&gt;"pvp",Inputs!$B$44&gt;0),IF(Inputs!$B$44&lt;=0,0,(INT(Inputs!$B$44/IF(Inputs!$B$39="pvp",15,MAX(0.1,Skills!D13-IF(Skills!E13=TRUE,4.0,0))))+1)),0)</f>
        <v/>
      </c>
      <c r="S1532">
        <f>IFERROR(O1532/N1532,0)</f>
        <v/>
      </c>
      <c r="T1532" t="n">
        <v>0</v>
      </c>
      <c r="V1532" t="n">
        <v>0</v>
      </c>
    </row>
    <row r="1533">
      <c r="A1533">
        <f>Skills!A14</f>
        <v/>
      </c>
      <c r="B1533">
        <f>Skills!B14</f>
        <v/>
      </c>
      <c r="C1533">
        <f>Inputs!$B$3&gt;=115</f>
        <v/>
      </c>
      <c r="D1533">
        <f>IF(Skills!C14=1,60+Inputs!$B$26+Inputs!$B$30,IF(Skills!C14=2,90+Inputs!$B$27+Inputs!$B$30,IF(Skills!C14=3,120+Inputs!$B$28+Inputs!$B$30,MAX(0,(Inputs!$B$3-100)*3)+Inputs!$B$29+Inputs!$B$30)))</f>
        <v/>
      </c>
      <c r="E1533">
        <f>INDEX(FactorTable!$B$2:$Y$301, MATCH(ROUND(MIN(300,MAX(1,D1533)),0), FactorTable!$A$2:$A$301,0), Skills!M14+1)</f>
        <v/>
      </c>
      <c r="F1533">
        <f>IF(Skills!N14=TRUE,(Skills!L14/10)*(E1533/1000),Skills!L14/10)+Skills!O14</f>
        <v/>
      </c>
      <c r="G1533">
        <f>Skills!G14*IF(Skills!H14&gt;0,Skills!I14/Skills!H14,1)</f>
        <v/>
      </c>
      <c r="H1533">
        <f>1-(1-Skills!J14/100)^Skills!K14</f>
        <v/>
      </c>
      <c r="I1533" t="inlineStr">
        <is>
          <t>1</t>
        </is>
      </c>
      <c r="J1533" t="inlineStr"/>
      <c r="K1533" t="inlineStr"/>
      <c r="L1533" t="inlineStr"/>
      <c r="M1533" t="inlineStr"/>
      <c r="N1533" t="inlineStr"/>
      <c r="O1533">
        <f>(1-Summary!$B$55)*T1533+Summary!$B$55*V1533</f>
        <v/>
      </c>
      <c r="P1533">
        <f>IF(B1558=0,0,O1533/B1558)</f>
        <v/>
      </c>
      <c r="Q1533">
        <f>IFERROR(1/IF(Inputs!$B$39="pvp",15,MAX(0.1,Skills!D14-IF(Skills!E14=TRUE,4.0,0))),0)</f>
        <v/>
      </c>
      <c r="R1533">
        <f>IF(AND(Inputs!$B$39&lt;&gt;"pvp",Inputs!$B$44&gt;0),IF(Inputs!$B$44&lt;=0,0,(INT(Inputs!$B$44/IF(Inputs!$B$39="pvp",15,MAX(0.1,Skills!D14-IF(Skills!E14=TRUE,4.0,0))))+1)),0)</f>
        <v/>
      </c>
      <c r="S1533">
        <f>IFERROR(O1533/N1533,0)</f>
        <v/>
      </c>
      <c r="T1533" t="n">
        <v>0</v>
      </c>
      <c r="V1533" t="n">
        <v>0</v>
      </c>
    </row>
    <row r="1534">
      <c r="A1534">
        <f>Skills!A15</f>
        <v/>
      </c>
      <c r="B1534">
        <f>Skills!B15</f>
        <v/>
      </c>
      <c r="C1534">
        <f>Inputs!$B$3&gt;=66</f>
        <v/>
      </c>
      <c r="D1534">
        <f>IF(Skills!C15=1,60+Inputs!$B$26+Inputs!$B$30,IF(Skills!C15=2,90+Inputs!$B$27+Inputs!$B$30,IF(Skills!C15=3,120+Inputs!$B$28+Inputs!$B$30,MAX(0,(Inputs!$B$3-100)*3)+Inputs!$B$29+Inputs!$B$30)))</f>
        <v/>
      </c>
      <c r="E1534">
        <f>INDEX(FactorTable!$B$2:$Y$301, MATCH(ROUND(MIN(300,MAX(1,D1534)),0), FactorTable!$A$2:$A$301,0), Skills!M15+1)</f>
        <v/>
      </c>
      <c r="F1534">
        <f>IF(Skills!N15=TRUE,(Skills!L15/10)*(E1534/1000),Skills!L15/10)+Skills!O15</f>
        <v/>
      </c>
      <c r="G1534">
        <f>Skills!G15*IF(Skills!H15&gt;0,Skills!I15/Skills!H15,1)</f>
        <v/>
      </c>
      <c r="H1534">
        <f>1-(1-Skills!J15/100)^Skills!K15</f>
        <v/>
      </c>
      <c r="I1534" t="inlineStr">
        <is>
          <t>1</t>
        </is>
      </c>
      <c r="J1534" t="inlineStr"/>
      <c r="K1534" t="inlineStr"/>
      <c r="L1534" t="inlineStr"/>
      <c r="M1534" t="inlineStr"/>
      <c r="N1534" t="inlineStr"/>
      <c r="O1534">
        <f>(1-Summary!$B$55)*T1534+Summary!$B$55*V1534</f>
        <v/>
      </c>
      <c r="P1534">
        <f>IF(B1558=0,0,O1534/B1558)</f>
        <v/>
      </c>
      <c r="Q1534">
        <f>IFERROR(1/IF(Inputs!$B$39="pvp",15,MAX(0.1,Skills!D15-IF(Skills!E15=TRUE,4.0,0))),0)</f>
        <v/>
      </c>
      <c r="R1534">
        <f>IF(AND(Inputs!$B$39&lt;&gt;"pvp",Inputs!$B$44&gt;0),IF(Inputs!$B$44&lt;=0,0,(INT(Inputs!$B$44/IF(Inputs!$B$39="pvp",15,MAX(0.1,Skills!D15-IF(Skills!E15=TRUE,4.0,0))))+1)),0)</f>
        <v/>
      </c>
      <c r="S1534">
        <f>IFERROR(O1534/N1534,0)</f>
        <v/>
      </c>
      <c r="T1534" t="n">
        <v>0</v>
      </c>
      <c r="V1534" t="n">
        <v>0</v>
      </c>
    </row>
    <row r="1535">
      <c r="A1535">
        <f>Skills!A16</f>
        <v/>
      </c>
      <c r="B1535">
        <f>Skills!B16</f>
        <v/>
      </c>
      <c r="C1535">
        <f>Inputs!$B$3&gt;=45</f>
        <v/>
      </c>
      <c r="D1535">
        <f>IF(Skills!C16=1,60+Inputs!$B$26+Inputs!$B$30,IF(Skills!C16=2,90+Inputs!$B$27+Inputs!$B$30,IF(Skills!C16=3,120+Inputs!$B$28+Inputs!$B$30,MAX(0,(Inputs!$B$3-100)*3)+Inputs!$B$29+Inputs!$B$30)))</f>
        <v/>
      </c>
      <c r="E1535">
        <f>INDEX(FactorTable!$B$2:$Y$301, MATCH(ROUND(MIN(300,MAX(1,D1535)),0), FactorTable!$A$2:$A$301,0), Skills!M16+1)</f>
        <v/>
      </c>
      <c r="F1535">
        <f>IF(Skills!N16=TRUE,(Skills!L16/10)*(E1535/1000),Skills!L16/10)+Skills!O16</f>
        <v/>
      </c>
      <c r="G1535">
        <f>Skills!G16*IF(Skills!H16&gt;0,Skills!I16/Skills!H16,1)</f>
        <v/>
      </c>
      <c r="H1535">
        <f>1-(1-Skills!J16/100)^Skills!K16</f>
        <v/>
      </c>
      <c r="I1535" t="inlineStr">
        <is>
          <t>1</t>
        </is>
      </c>
      <c r="J1535" t="inlineStr"/>
      <c r="K1535" t="inlineStr"/>
      <c r="L1535" t="inlineStr"/>
      <c r="M1535" t="inlineStr"/>
      <c r="N1535" t="inlineStr"/>
      <c r="O1535">
        <f>(1-Summary!$B$55)*T1535+Summary!$B$55*V1535</f>
        <v/>
      </c>
      <c r="P1535">
        <f>IF(B1558=0,0,O1535/B1558)</f>
        <v/>
      </c>
      <c r="Q1535">
        <f>IFERROR(1/IF(Inputs!$B$39="pvp",15,MAX(0.1,Skills!D16-IF(Skills!E16=TRUE,4.0,0))),0)</f>
        <v/>
      </c>
      <c r="R1535">
        <f>IF(AND(Inputs!$B$39&lt;&gt;"pvp",Inputs!$B$44&gt;0),IF(Inputs!$B$44&lt;=0,0,(INT(Inputs!$B$44/IF(Inputs!$B$39="pvp",15,MAX(0.1,Skills!D16-IF(Skills!E16=TRUE,4.0,0))))+1)),0)</f>
        <v/>
      </c>
      <c r="S1535">
        <f>IFERROR(O1535/N1535,0)</f>
        <v/>
      </c>
      <c r="T1535" t="n">
        <v>0</v>
      </c>
      <c r="V1535" t="n">
        <v>0</v>
      </c>
    </row>
    <row r="1536">
      <c r="A1536">
        <f>Skills!A17</f>
        <v/>
      </c>
      <c r="B1536">
        <f>Skills!B17</f>
        <v/>
      </c>
      <c r="C1536">
        <f>Inputs!$B$3&gt;=35</f>
        <v/>
      </c>
      <c r="D1536">
        <f>IF(Skills!C17=1,60+Inputs!$B$26+Inputs!$B$30,IF(Skills!C17=2,90+Inputs!$B$27+Inputs!$B$30,IF(Skills!C17=3,120+Inputs!$B$28+Inputs!$B$30,MAX(0,(Inputs!$B$3-100)*3)+Inputs!$B$29+Inputs!$B$30)))</f>
        <v/>
      </c>
      <c r="E1536">
        <f>INDEX(FactorTable!$B$2:$Y$301, MATCH(ROUND(MIN(300,MAX(1,D1536)),0), FactorTable!$A$2:$A$301,0), Skills!M17+1)</f>
        <v/>
      </c>
      <c r="F1536">
        <f>IF(Skills!N17=TRUE,(Skills!L17/10)*(E1536/1000),Skills!L17/10)+Skills!O17</f>
        <v/>
      </c>
      <c r="G1536">
        <f>Skills!G17*IF(Skills!H17&gt;0,Skills!I17/Skills!H17,1)</f>
        <v/>
      </c>
      <c r="H1536">
        <f>1-(1-Skills!J17/100)^Skills!K17</f>
        <v/>
      </c>
      <c r="I1536" t="inlineStr">
        <is>
          <t>1</t>
        </is>
      </c>
      <c r="J1536" t="inlineStr"/>
      <c r="K1536" t="inlineStr"/>
      <c r="L1536" t="inlineStr"/>
      <c r="M1536" t="inlineStr"/>
      <c r="N1536" t="inlineStr"/>
      <c r="O1536">
        <f>(1-Summary!$B$55)*T1536+Summary!$B$55*V1536</f>
        <v/>
      </c>
      <c r="P1536">
        <f>IF(B1558=0,0,O1536/B1558)</f>
        <v/>
      </c>
      <c r="Q1536">
        <f>IFERROR(1/IF(Inputs!$B$39="pvp",15,MAX(0.1,Skills!D17-IF(Skills!E17=TRUE,4.0,0))),0)</f>
        <v/>
      </c>
      <c r="R1536">
        <f>IF(AND(Inputs!$B$39&lt;&gt;"pvp",Inputs!$B$44&gt;0),IF(Inputs!$B$44&lt;=0,0,(INT(Inputs!$B$44/IF(Inputs!$B$39="pvp",15,MAX(0.1,Skills!D17-IF(Skills!E17=TRUE,4.0,0))))+1)),0)</f>
        <v/>
      </c>
      <c r="S1536">
        <f>IFERROR(O1536/N1536,0)</f>
        <v/>
      </c>
      <c r="T1536" t="n">
        <v>0</v>
      </c>
      <c r="V1536" t="n">
        <v>0</v>
      </c>
    </row>
    <row r="1537">
      <c r="A1537">
        <f>Skills!A18</f>
        <v/>
      </c>
      <c r="B1537">
        <f>Skills!B18</f>
        <v/>
      </c>
      <c r="C1537">
        <f>Inputs!$B$3&gt;=72</f>
        <v/>
      </c>
      <c r="D1537">
        <f>IF(Skills!C18=1,60+Inputs!$B$26+Inputs!$B$30,IF(Skills!C18=2,90+Inputs!$B$27+Inputs!$B$30,IF(Skills!C18=3,120+Inputs!$B$28+Inputs!$B$30,MAX(0,(Inputs!$B$3-100)*3)+Inputs!$B$29+Inputs!$B$30)))</f>
        <v/>
      </c>
      <c r="E1537">
        <f>INDEX(FactorTable!$B$2:$Y$301, MATCH(ROUND(MIN(300,MAX(1,D1537)),0), FactorTable!$A$2:$A$301,0), Skills!M18+1)</f>
        <v/>
      </c>
      <c r="F1537">
        <f>IF(Skills!N18=TRUE,(Skills!L18/10)*(E1537/1000),Skills!L18/10)+Skills!O18</f>
        <v/>
      </c>
      <c r="G1537">
        <f>Skills!G18*IF(Skills!H18&gt;0,Skills!I18/Skills!H18,1)</f>
        <v/>
      </c>
      <c r="H1537">
        <f>1-(1-Skills!J18/100)^Skills!K18</f>
        <v/>
      </c>
      <c r="I1537" t="inlineStr">
        <is>
          <t>1</t>
        </is>
      </c>
      <c r="J1537" t="inlineStr"/>
      <c r="K1537" t="inlineStr"/>
      <c r="L1537" t="inlineStr"/>
      <c r="M1537" t="inlineStr"/>
      <c r="N1537" t="inlineStr"/>
      <c r="O1537">
        <f>(1-Summary!$B$55)*T1537+Summary!$B$55*V1537</f>
        <v/>
      </c>
      <c r="P1537">
        <f>IF(B1558=0,0,O1537/B1558)</f>
        <v/>
      </c>
      <c r="Q1537">
        <f>IFERROR(1/IF(Inputs!$B$39="pvp",15,MAX(0.1,Skills!D18-IF(Skills!E18=TRUE,4.0,0))),0)</f>
        <v/>
      </c>
      <c r="R1537">
        <f>IF(AND(Inputs!$B$39&lt;&gt;"pvp",Inputs!$B$44&gt;0),IF(Inputs!$B$44&lt;=0,0,(INT(Inputs!$B$44/IF(Inputs!$B$39="pvp",15,MAX(0.1,Skills!D18-IF(Skills!E18=TRUE,4.0,0))))+1)),0)</f>
        <v/>
      </c>
      <c r="S1537">
        <f>IFERROR(O1537/N1537,0)</f>
        <v/>
      </c>
      <c r="T1537" t="n">
        <v>0</v>
      </c>
      <c r="V1537" t="n">
        <v>0</v>
      </c>
    </row>
    <row r="1538">
      <c r="A1538">
        <f>Skills!A19</f>
        <v/>
      </c>
      <c r="B1538">
        <f>Skills!B19</f>
        <v/>
      </c>
      <c r="C1538">
        <f>Inputs!$B$3&gt;=72</f>
        <v/>
      </c>
      <c r="D1538">
        <f>IF(Skills!C19=1,60+Inputs!$B$26+Inputs!$B$30,IF(Skills!C19=2,90+Inputs!$B$27+Inputs!$B$30,IF(Skills!C19=3,120+Inputs!$B$28+Inputs!$B$30,MAX(0,(Inputs!$B$3-100)*3)+Inputs!$B$29+Inputs!$B$30)))</f>
        <v/>
      </c>
      <c r="E1538">
        <f>INDEX(FactorTable!$B$2:$Y$301, MATCH(ROUND(MIN(300,MAX(1,D1538)),0), FactorTable!$A$2:$A$301,0), Skills!M19+1)</f>
        <v/>
      </c>
      <c r="F1538">
        <f>IF(Skills!N19=TRUE,(Skills!L19/10)*(E1538/1000),Skills!L19/10)+Skills!O19</f>
        <v/>
      </c>
      <c r="G1538">
        <f>Skills!G19*IF(Skills!H19&gt;0,Skills!I19/Skills!H19,1)</f>
        <v/>
      </c>
      <c r="H1538">
        <f>1-(1-Skills!J19/100)^Skills!K19</f>
        <v/>
      </c>
      <c r="I1538" t="inlineStr">
        <is>
          <t>1</t>
        </is>
      </c>
      <c r="J1538" t="inlineStr"/>
      <c r="K1538" t="inlineStr"/>
      <c r="L1538" t="inlineStr"/>
      <c r="M1538" t="inlineStr"/>
      <c r="N1538" t="inlineStr"/>
      <c r="O1538">
        <f>(1-Summary!$B$55)*T1538+Summary!$B$55*V1538</f>
        <v/>
      </c>
      <c r="P1538">
        <f>IF(B1558=0,0,O1538/B1558)</f>
        <v/>
      </c>
      <c r="Q1538">
        <f>IFERROR(1/IF(Inputs!$B$39="pvp",15,MAX(0.1,Skills!D19-IF(Skills!E19=TRUE,4.0,0))),0)</f>
        <v/>
      </c>
      <c r="R1538">
        <f>IF(AND(Inputs!$B$39&lt;&gt;"pvp",Inputs!$B$44&gt;0),IF(Inputs!$B$44&lt;=0,0,(INT(Inputs!$B$44/IF(Inputs!$B$39="pvp",15,MAX(0.1,Skills!D19-IF(Skills!E19=TRUE,4.0,0))))+1)),0)</f>
        <v/>
      </c>
      <c r="S1538">
        <f>IFERROR(O1538/N1538,0)</f>
        <v/>
      </c>
      <c r="T1538" t="n">
        <v>0</v>
      </c>
      <c r="V1538" t="n">
        <v>0</v>
      </c>
    </row>
    <row r="1539">
      <c r="A1539">
        <f>Skills!A20</f>
        <v/>
      </c>
      <c r="B1539">
        <f>Skills!B20</f>
        <v/>
      </c>
      <c r="C1539">
        <f>TRUE</f>
        <v/>
      </c>
      <c r="D1539">
        <f>IF(Skills!C20=1,60+Inputs!$B$26+Inputs!$B$30,IF(Skills!C20=2,90+Inputs!$B$27+Inputs!$B$30,IF(Skills!C20=3,120+Inputs!$B$28+Inputs!$B$30,MAX(0,(Inputs!$B$3-100)*3)+Inputs!$B$29+Inputs!$B$30)))</f>
        <v/>
      </c>
      <c r="E1539">
        <f>INDEX(FactorTable!$B$2:$Y$301, MATCH(ROUND(MIN(300,MAX(1,D1539)),0), FactorTable!$A$2:$A$301,0), Skills!M20+1)</f>
        <v/>
      </c>
      <c r="F1539">
        <f>IF(Skills!N20=TRUE,(Skills!L20/10)*(E1539/1000),Skills!L20/10)+Skills!O20</f>
        <v/>
      </c>
      <c r="G1539">
        <f>Skills!G20*IF(Skills!H20&gt;0,Skills!I20/Skills!H20,1)</f>
        <v/>
      </c>
      <c r="H1539">
        <f>1-(1-Skills!J20/100)^Skills!K20</f>
        <v/>
      </c>
      <c r="I1539" t="inlineStr">
        <is>
          <t>1</t>
        </is>
      </c>
      <c r="J1539" t="inlineStr"/>
      <c r="K1539" t="inlineStr"/>
      <c r="L1539" t="inlineStr"/>
      <c r="M1539" t="inlineStr"/>
      <c r="N1539" t="inlineStr"/>
      <c r="O1539">
        <f>(1-Summary!$B$55)*T1539+Summary!$B$55*V1539</f>
        <v/>
      </c>
      <c r="P1539">
        <f>IF(B1558=0,0,O1539/B1558)</f>
        <v/>
      </c>
      <c r="Q1539">
        <f>IFERROR(1/IF(Inputs!$B$39="pvp",15,MAX(0.1,Skills!D20-IF(Skills!E20=TRUE,4.0,0))),0)</f>
        <v/>
      </c>
      <c r="R1539">
        <f>IF(AND(Inputs!$B$39&lt;&gt;"pvp",Inputs!$B$44&gt;0),IF(Inputs!$B$44&lt;=0,0,(INT(Inputs!$B$44/IF(Inputs!$B$39="pvp",15,MAX(0.1,Skills!D20-IF(Skills!E20=TRUE,4.0,0))))+1)),0)</f>
        <v/>
      </c>
      <c r="S1539">
        <f>IFERROR(O1539/N1539,0)</f>
        <v/>
      </c>
      <c r="T1539" t="n">
        <v>0</v>
      </c>
      <c r="V1539" t="n">
        <v>0</v>
      </c>
    </row>
    <row r="1540">
      <c r="A1540">
        <f>Skills!A21</f>
        <v/>
      </c>
      <c r="B1540">
        <f>Skills!B21</f>
        <v/>
      </c>
      <c r="C1540">
        <f>Inputs!$B$3&gt;=33</f>
        <v/>
      </c>
      <c r="D1540">
        <f>IF(Skills!C21=1,60+Inputs!$B$26+Inputs!$B$30,IF(Skills!C21=2,90+Inputs!$B$27+Inputs!$B$30,IF(Skills!C21=3,120+Inputs!$B$28+Inputs!$B$30,MAX(0,(Inputs!$B$3-100)*3)+Inputs!$B$29+Inputs!$B$30)))</f>
        <v/>
      </c>
      <c r="E1540">
        <f>INDEX(FactorTable!$B$2:$Y$301, MATCH(ROUND(MIN(300,MAX(1,D1540)),0), FactorTable!$A$2:$A$301,0), Skills!M21+1)</f>
        <v/>
      </c>
      <c r="F1540">
        <f>IF(Skills!N21=TRUE,(Skills!L21/10)*(E1540/1000),Skills!L21/10)+Skills!O21</f>
        <v/>
      </c>
      <c r="G1540">
        <f>Skills!G21*IF(Skills!H21&gt;0,Skills!I21/Skills!H21,1)</f>
        <v/>
      </c>
      <c r="H1540">
        <f>1-(1-Skills!J21/100)^Skills!K21</f>
        <v/>
      </c>
      <c r="I1540" t="inlineStr">
        <is>
          <t>1</t>
        </is>
      </c>
      <c r="J1540" t="inlineStr"/>
      <c r="K1540" t="inlineStr"/>
      <c r="L1540" t="inlineStr"/>
      <c r="M1540" t="inlineStr"/>
      <c r="N1540" t="inlineStr"/>
      <c r="O1540">
        <f>(1-Summary!$B$55)*T1540+Summary!$B$55*V1540</f>
        <v/>
      </c>
      <c r="P1540">
        <f>IF(B1558=0,0,O1540/B1558)</f>
        <v/>
      </c>
      <c r="Q1540" t="n">
        <v>0</v>
      </c>
      <c r="R1540" t="n">
        <v>0</v>
      </c>
      <c r="S1540">
        <f>IFERROR(O1540/N1540,0)</f>
        <v/>
      </c>
      <c r="T1540" t="n">
        <v>0</v>
      </c>
      <c r="V1540" t="n">
        <v>0</v>
      </c>
    </row>
    <row r="1541">
      <c r="A1541">
        <f>Skills!A22</f>
        <v/>
      </c>
      <c r="B1541">
        <f>Skills!B22</f>
        <v/>
      </c>
      <c r="C1541">
        <f>Inputs!$B$3&gt;=43</f>
        <v/>
      </c>
      <c r="D1541">
        <f>IF(Skills!C22=1,60+Inputs!$B$26+Inputs!$B$30,IF(Skills!C22=2,90+Inputs!$B$27+Inputs!$B$30,IF(Skills!C22=3,120+Inputs!$B$28+Inputs!$B$30,MAX(0,(Inputs!$B$3-100)*3)+Inputs!$B$29+Inputs!$B$30)))</f>
        <v/>
      </c>
      <c r="E1541">
        <f>INDEX(FactorTable!$B$2:$Y$301, MATCH(ROUND(MIN(300,MAX(1,D1541)),0), FactorTable!$A$2:$A$301,0), Skills!M22+1)</f>
        <v/>
      </c>
      <c r="F1541">
        <f>IF(Skills!N22=TRUE,(Skills!L22/10)*(E1541/1000),Skills!L22/10)+Skills!O22</f>
        <v/>
      </c>
      <c r="G1541">
        <f>Skills!G22*IF(Skills!H22&gt;0,Skills!I22/Skills!H22,1)</f>
        <v/>
      </c>
      <c r="H1541">
        <f>1-(1-Skills!J22/100)^Skills!K22</f>
        <v/>
      </c>
      <c r="I1541" t="inlineStr">
        <is>
          <t>1</t>
        </is>
      </c>
      <c r="J1541" t="inlineStr"/>
      <c r="K1541" t="inlineStr"/>
      <c r="L1541" t="inlineStr"/>
      <c r="M1541" t="inlineStr"/>
      <c r="N1541" t="inlineStr"/>
      <c r="O1541">
        <f>(1-Summary!$B$55)*T1541+Summary!$B$55*V1541</f>
        <v/>
      </c>
      <c r="P1541">
        <f>IF(B1558=0,0,O1541/B1558)</f>
        <v/>
      </c>
      <c r="Q1541" t="n">
        <v>0</v>
      </c>
      <c r="R1541" t="n">
        <v>0</v>
      </c>
      <c r="S1541">
        <f>IFERROR(O1541/N1541,0)</f>
        <v/>
      </c>
      <c r="T1541" t="n">
        <v>0</v>
      </c>
      <c r="V1541" t="n">
        <v>0</v>
      </c>
    </row>
    <row r="1542">
      <c r="A1542">
        <f>Skills!A23</f>
        <v/>
      </c>
      <c r="B1542">
        <f>Skills!B23</f>
        <v/>
      </c>
      <c r="C1542">
        <f>Inputs!$B$3&gt;=120</f>
        <v/>
      </c>
      <c r="D1542">
        <f>IF(Skills!C23=1,60+Inputs!$B$26+Inputs!$B$30,IF(Skills!C23=2,90+Inputs!$B$27+Inputs!$B$30,IF(Skills!C23=3,120+Inputs!$B$28+Inputs!$B$30,MAX(0,(Inputs!$B$3-100)*3)+Inputs!$B$29+Inputs!$B$30)))</f>
        <v/>
      </c>
      <c r="E1542">
        <f>INDEX(FactorTable!$B$2:$Y$301, MATCH(ROUND(MIN(300,MAX(1,D1542)),0), FactorTable!$A$2:$A$301,0), Skills!M23+1)</f>
        <v/>
      </c>
      <c r="F1542">
        <f>IF(Skills!N23=TRUE,(Skills!L23/10)*(E1542/1000),Skills!L23/10)+Skills!O23</f>
        <v/>
      </c>
      <c r="G1542">
        <f>Skills!G23*IF(Skills!H23&gt;0,Skills!I23/Skills!H23,1)</f>
        <v/>
      </c>
      <c r="H1542">
        <f>1-(1-Skills!J23/100)^Skills!K23</f>
        <v/>
      </c>
      <c r="I1542" t="inlineStr">
        <is>
          <t>1</t>
        </is>
      </c>
      <c r="J1542" t="inlineStr"/>
      <c r="K1542" t="inlineStr"/>
      <c r="L1542" t="inlineStr"/>
      <c r="M1542" t="inlineStr"/>
      <c r="N1542" t="inlineStr"/>
      <c r="O1542">
        <f>(1-Summary!$B$55)*T1542+Summary!$B$55*V1542</f>
        <v/>
      </c>
      <c r="P1542">
        <f>IF(B1558=0,0,O1542/B1558)</f>
        <v/>
      </c>
      <c r="Q1542" t="n">
        <v>0</v>
      </c>
      <c r="R1542" t="n">
        <v>0</v>
      </c>
      <c r="S1542">
        <f>IFERROR(O1542/N1542,0)</f>
        <v/>
      </c>
      <c r="T1542" t="n">
        <v>0</v>
      </c>
      <c r="V1542" t="n">
        <v>0</v>
      </c>
    </row>
    <row r="1543">
      <c r="A1543">
        <f>Skills!A24</f>
        <v/>
      </c>
      <c r="B1543">
        <f>Skills!B24</f>
        <v/>
      </c>
      <c r="C1543">
        <f>Inputs!$B$3&gt;=120</f>
        <v/>
      </c>
      <c r="D1543">
        <f>IF(Skills!C24=1,60+Inputs!$B$26+Inputs!$B$30,IF(Skills!C24=2,90+Inputs!$B$27+Inputs!$B$30,IF(Skills!C24=3,120+Inputs!$B$28+Inputs!$B$30,MAX(0,(Inputs!$B$3-100)*3)+Inputs!$B$29+Inputs!$B$30)))</f>
        <v/>
      </c>
      <c r="E1543">
        <f>INDEX(FactorTable!$B$2:$Y$301, MATCH(ROUND(MIN(300,MAX(1,D1543)),0), FactorTable!$A$2:$A$301,0), Skills!M24+1)</f>
        <v/>
      </c>
      <c r="F1543">
        <f>IF(Skills!N24=TRUE,(Skills!L24/10)*(E1543/1000),Skills!L24/10)+Skills!O24</f>
        <v/>
      </c>
      <c r="G1543">
        <f>Skills!G24*IF(Skills!H24&gt;0,Skills!I24/Skills!H24,1)</f>
        <v/>
      </c>
      <c r="H1543">
        <f>1-(1-Skills!J24/100)^Skills!K24</f>
        <v/>
      </c>
      <c r="I1543" t="inlineStr">
        <is>
          <t>1</t>
        </is>
      </c>
      <c r="J1543" t="inlineStr"/>
      <c r="K1543" t="inlineStr"/>
      <c r="L1543" t="inlineStr"/>
      <c r="M1543" t="inlineStr"/>
      <c r="N1543" t="inlineStr"/>
      <c r="O1543">
        <f>(1-Summary!$B$55)*T1543+Summary!$B$55*V1543</f>
        <v/>
      </c>
      <c r="P1543">
        <f>IF(B1558=0,0,O1543/B1558)</f>
        <v/>
      </c>
      <c r="Q1543" t="n">
        <v>0</v>
      </c>
      <c r="R1543" t="n">
        <v>0</v>
      </c>
      <c r="S1543">
        <f>IFERROR(O1543/N1543,0)</f>
        <v/>
      </c>
      <c r="T1543" t="n">
        <v>0</v>
      </c>
      <c r="V1543" t="n">
        <v>0</v>
      </c>
    </row>
    <row r="1544">
      <c r="A1544">
        <f>Skills!A25</f>
        <v/>
      </c>
      <c r="B1544">
        <f>Skills!B25</f>
        <v/>
      </c>
      <c r="C1544">
        <f>Inputs!$B$3&gt;=125</f>
        <v/>
      </c>
      <c r="D1544">
        <f>IF(Skills!C25=1,60+Inputs!$B$26+Inputs!$B$30,IF(Skills!C25=2,90+Inputs!$B$27+Inputs!$B$30,IF(Skills!C25=3,120+Inputs!$B$28+Inputs!$B$30,MAX(0,(Inputs!$B$3-100)*3)+Inputs!$B$29+Inputs!$B$30)))</f>
        <v/>
      </c>
      <c r="E1544">
        <f>INDEX(FactorTable!$B$2:$Y$301, MATCH(ROUND(MIN(300,MAX(1,D1544)),0), FactorTable!$A$2:$A$301,0), Skills!M25+1)</f>
        <v/>
      </c>
      <c r="F1544">
        <f>IF(Skills!N25=TRUE,(Skills!L25/10)*(E1544/1000),Skills!L25/10)+Skills!O25</f>
        <v/>
      </c>
      <c r="G1544">
        <f>Skills!G25*IF(Skills!H25&gt;0,Skills!I25/Skills!H25,1)</f>
        <v/>
      </c>
      <c r="H1544">
        <f>1-(1-Skills!J25/100)^Skills!K25</f>
        <v/>
      </c>
      <c r="I1544" t="inlineStr">
        <is>
          <t>1</t>
        </is>
      </c>
      <c r="J1544" t="inlineStr"/>
      <c r="K1544" t="inlineStr"/>
      <c r="L1544" t="inlineStr"/>
      <c r="M1544" t="inlineStr"/>
      <c r="N1544" t="inlineStr"/>
      <c r="O1544">
        <f>(1-Summary!$B$55)*T1544+Summary!$B$55*V1544</f>
        <v/>
      </c>
      <c r="P1544">
        <f>IF(B1558=0,0,O1544/B1558)</f>
        <v/>
      </c>
      <c r="Q1544" t="n">
        <v>0</v>
      </c>
      <c r="R1544" t="n">
        <v>0</v>
      </c>
      <c r="S1544">
        <f>IFERROR(O1544/N1544,0)</f>
        <v/>
      </c>
      <c r="T1544" t="n">
        <v>0</v>
      </c>
      <c r="V1544" t="n">
        <v>0</v>
      </c>
    </row>
    <row r="1545">
      <c r="A1545">
        <f>Skills!A26</f>
        <v/>
      </c>
      <c r="B1545">
        <f>Skills!B26</f>
        <v/>
      </c>
      <c r="C1545">
        <f>Inputs!$B$3&gt;=107</f>
        <v/>
      </c>
      <c r="D1545">
        <f>IF(Skills!C26=1,60+Inputs!$B$26+Inputs!$B$30,IF(Skills!C26=2,90+Inputs!$B$27+Inputs!$B$30,IF(Skills!C26=3,120+Inputs!$B$28+Inputs!$B$30,MAX(0,(Inputs!$B$3-100)*3)+Inputs!$B$29+Inputs!$B$30)))</f>
        <v/>
      </c>
      <c r="E1545">
        <f>INDEX(FactorTable!$B$2:$Y$301, MATCH(ROUND(MIN(300,MAX(1,D1545)),0), FactorTable!$A$2:$A$301,0), Skills!M26+1)</f>
        <v/>
      </c>
      <c r="F1545">
        <f>IF(Skills!N26=TRUE,(Skills!L26/10)*(E1545/1000),Skills!L26/10)+Skills!O26</f>
        <v/>
      </c>
      <c r="G1545">
        <f>Skills!G26*IF(Skills!H26&gt;0,Skills!I26/Skills!H26,1)</f>
        <v/>
      </c>
      <c r="H1545">
        <f>1-(1-Skills!J26/100)^Skills!K26</f>
        <v/>
      </c>
      <c r="I1545" t="inlineStr">
        <is>
          <t>1</t>
        </is>
      </c>
      <c r="J1545" t="inlineStr"/>
      <c r="K1545" t="inlineStr"/>
      <c r="L1545" t="inlineStr"/>
      <c r="M1545" t="inlineStr"/>
      <c r="N1545" t="inlineStr"/>
      <c r="O1545">
        <f>(1-Summary!$B$55)*T1545+Summary!$B$55*V1545</f>
        <v/>
      </c>
      <c r="P1545">
        <f>IF(B1558=0,0,O1545/B1558)</f>
        <v/>
      </c>
      <c r="Q1545" t="n">
        <v>0</v>
      </c>
      <c r="R1545" t="n">
        <v>0</v>
      </c>
      <c r="S1545">
        <f>IFERROR(O1545/N1545,0)</f>
        <v/>
      </c>
      <c r="T1545" t="n">
        <v>0</v>
      </c>
      <c r="V1545" t="n">
        <v>0</v>
      </c>
    </row>
    <row r="1547">
      <c r="A1547" t="inlineStr">
        <is>
          <t>Attack% Bucket Multiplier</t>
        </is>
      </c>
      <c r="B1547">
        <f>(1+(((C1532=TRUE)*F1532*IF(AND(Inputs!$B$39&lt;&gt;"pvp",Inputs!$B$44&gt;0),(((R1532-1)*(Skills!T13*(1+Inputs!$B$35/100))+MIN((Skills!T13*(1+Inputs!$B$35/100)),MAX(0,Inputs!$B$44-((R1532-1)*Skills!D13))))/Inputs!$B$44),IF(Inputs!$B$39="pvp",MIN((Skills!T13*(1+Inputs!$B$35/100)),15)/15,(Skills!T13*(1+Inputs!$B$35/100))/Skills!D13)))+((C1533=TRUE)*F1533*IF(AND(Inputs!$B$39&lt;&gt;"pvp",Inputs!$B$44&gt;0),(((R1533-1)*(Skills!T14*(1+Inputs!$B$35/100))+MIN((Skills!T14*(1+Inputs!$B$35/100)),MAX(0,Inputs!$B$44-((R1533-1)*Skills!D14))))/Inputs!$B$44),IF(Inputs!$B$39="pvp",MIN((Skills!T14*(1+Inputs!$B$35/100)),15)/15,(Skills!T14*(1+Inputs!$B$35/100))/Skills!D14)))+((C1534=TRUE)*F1534*IF(AND(Inputs!$B$39&lt;&gt;"pvp",Inputs!$B$44&gt;0),(((R1534-1)*(Skills!T15*(1+Inputs!$B$35/100))+MIN((Skills!T15*(1+Inputs!$B$35/100)),MAX(0,Inputs!$B$44-((R1534-1)*Skills!D15))))/Inputs!$B$44),IF(Inputs!$B$39="pvp",MIN((Skills!T15*(1+Inputs!$B$35/100)),15)/15,(Skills!T15*(1+Inputs!$B$35/100))/Skills!D15)))+((C1535=TRUE)*F1535*IF(AND(Inputs!$B$39&lt;&gt;"pvp",Inputs!$B$44&gt;0),(((R1535-1)*(Skills!T16*(1+Inputs!$B$35/100))+MIN((Skills!T16*(1+Inputs!$B$35/100)),MAX(0,Inputs!$B$44-((R1535-1)*Skills!D16))))/Inputs!$B$44),IF(Inputs!$B$39="pvp",MIN((Skills!T16*(1+Inputs!$B$35/100)),15)/15,(Skills!T16*(1+Inputs!$B$35/100))/Skills!D16)))+0)/100)</f>
        <v/>
      </c>
    </row>
    <row r="1548">
      <c r="A1548" t="inlineStr">
        <is>
          <t>Global Crit Rate Bonus % (Lord of Darkness)</t>
        </is>
      </c>
      <c r="B1548">
        <f>((C1537=TRUE)*F1537*(Skills!J18/100)*IF(AND(Inputs!$B$39&lt;&gt;"pvp",Inputs!$B$44&gt;0),(((R1537-1)*(Skills!T18*(1+Inputs!$B$35/100))+MIN((Skills!T18*(1+Inputs!$B$35/100)),MAX(0,Inputs!$B$44-((R1537-1)*Skills!D18))))/Inputs!$B$44),IF(Inputs!$B$39="pvp",MIN((Skills!T18*(1+Inputs!$B$35/100)),15)/15,(Skills!T18*(1+Inputs!$B$35/100))/Skills!D18)))</f>
        <v/>
      </c>
    </row>
    <row r="1549">
      <c r="A1549" t="inlineStr">
        <is>
          <t>Attack Speed Buff Bonus %</t>
        </is>
      </c>
      <c r="B1549">
        <f>((C1539=TRUE)*F1539*IF(AND(Inputs!$B$39&lt;&gt;"pvp",Inputs!$B$44&gt;0),(((R1539-1)*(Skills!T20*(1+Inputs!$B$35/100))+MIN((Skills!T20*(1+Inputs!$B$35/100)),MAX(0,Inputs!$B$44-((R1539-1)*Skills!D20))))/Inputs!$B$44),IF(Inputs!$B$39="pvp",MIN((Skills!T20*(1+Inputs!$B$35/100)),15)/15,(Skills!T20*(1+Inputs!$B$35/100))/Skills!D20)))</f>
        <v/>
      </c>
    </row>
    <row r="1550">
      <c r="A1550" t="inlineStr">
        <is>
          <t>Actions Per Second</t>
        </is>
      </c>
      <c r="B1550">
        <f>1+MIN(150,150*(1-(1-(Inputs!$B$12+((C1540=TRUE)*(F1540-Calc!F21)))/150)*(1-B1549/150)))/100</f>
        <v/>
      </c>
    </row>
    <row r="1551">
      <c r="A1551" t="inlineStr">
        <is>
          <t>Skill + Buff Cast Rate</t>
        </is>
      </c>
      <c r="B1551">
        <f>IF(AND(Inputs!$B$39&lt;&gt;"pvp",Inputs!$B$44&gt;0),SUMPRODUCT((Skills!E2:E26=TRUE)*(C1521:C1545=TRUE)*R1521:R1545*Skills!F2:F26)/Inputs!$B$44,SUMPRODUCT((Skills!E2:E26=TRUE)*(C1521:C1545=TRUE)*Q1521:Q1545*Skills!F2:F26))</f>
        <v/>
      </c>
    </row>
    <row r="1552">
      <c r="A1552" t="inlineStr">
        <is>
          <t>Dark Impale Casts Per Second</t>
        </is>
      </c>
      <c r="B1552">
        <f>MAX(0,B1550-B1551)</f>
        <v/>
      </c>
    </row>
    <row r="1553">
      <c r="A1553" t="inlineStr">
        <is>
          <t>Global Critical Damage Bonus % (Lord of Darkness)</t>
        </is>
      </c>
      <c r="B1553">
        <f>((C1538=TRUE)*F1538*(Skills!J19/100)*IF(AND(Inputs!$B$39&lt;&gt;"pvp",Inputs!$B$44&gt;0),(((R1538-1)*(Skills!T19*(1+Inputs!$B$35/100))+MIN((Skills!T19*(1+Inputs!$B$35/100)),MAX(0,Inputs!$B$44-((R1538-1)*Skills!D19))))/Inputs!$B$44),IF(Inputs!$B$39="pvp",MIN((Skills!T19*(1+Inputs!$B$35/100)),15)/15,(Skills!T19*(1+Inputs!$B$35/100))/Skills!D19)))</f>
        <v/>
      </c>
    </row>
    <row r="1554">
      <c r="A1554" t="inlineStr">
        <is>
          <t>Global Final Damage Bonus % (unused)</t>
        </is>
      </c>
      <c r="B1554" t="n">
        <v>0</v>
      </c>
    </row>
    <row r="1555">
      <c r="A1555" t="inlineStr">
        <is>
          <t>Buff-Casting Startup Delay (s, fixed-duration only)</t>
        </is>
      </c>
      <c r="B1555">
        <f>IF(AND(Inputs!$B$39&lt;&gt;"pvp",Inputs!$B$44&gt;0),SUMPRODUCT((Skills!T2:T26&gt;0)*(Skills!E2:E26=TRUE)*(C1521:C1545=TRUE))/B1550,0)</f>
        <v/>
      </c>
    </row>
    <row r="1556">
      <c r="A1556" t="inlineStr">
        <is>
          <t>Boss-Only Total DPS (this block's swept value)</t>
        </is>
      </c>
      <c r="B1556">
        <f>SUM(T1521:T1545)</f>
        <v/>
      </c>
    </row>
    <row r="1557">
      <c r="A1557" t="inlineStr">
        <is>
          <t>Normal-Only Total DPS (this block's swept value)</t>
        </is>
      </c>
      <c r="B1557">
        <f>SUM(V1521:V1545)</f>
        <v/>
      </c>
    </row>
    <row r="1558">
      <c r="A1558" s="5" t="inlineStr">
        <is>
          <t>TOTAL DPS</t>
        </is>
      </c>
      <c r="B1558" s="5">
        <f>SUM(O1521:O1545)</f>
        <v/>
      </c>
    </row>
    <row r="1561">
      <c r="A1561" s="5" t="inlineStr">
        <is>
          <t>Stat: CDR = 4.5s</t>
        </is>
      </c>
    </row>
    <row r="1562">
      <c r="A1562" s="9" t="inlineStr">
        <is>
          <t>Key</t>
        </is>
      </c>
      <c r="B1562" s="9" t="inlineStr">
        <is>
          <t>Name</t>
        </is>
      </c>
      <c r="C1562" s="9" t="inlineStr">
        <is>
          <t>Unlocked</t>
        </is>
      </c>
      <c r="D1562" s="9" t="inlineStr">
        <is>
          <t>InputLevel</t>
        </is>
      </c>
      <c r="E1562" s="9" t="inlineStr">
        <is>
          <t>Factor</t>
        </is>
      </c>
      <c r="F1562" s="9" t="inlineStr">
        <is>
          <t>CoefficientPercent</t>
        </is>
      </c>
      <c r="G1562" s="9" t="inlineStr">
        <is>
          <t>EffectiveHits</t>
        </is>
      </c>
      <c r="H1562" s="9" t="inlineStr">
        <is>
          <t>ProcProbability</t>
        </is>
      </c>
      <c r="I1562" s="9" t="inlineStr">
        <is>
          <t>MapleHeroMultiplier</t>
        </is>
      </c>
      <c r="J1562" s="9" t="inlineStr">
        <is>
          <t>BaseDamage</t>
        </is>
      </c>
      <c r="K1562" s="9" t="inlineStr">
        <is>
          <t>BaseHitDamage</t>
        </is>
      </c>
      <c r="L1562" s="9" t="inlineStr">
        <is>
          <t>NonCritAvg</t>
        </is>
      </c>
      <c r="M1562" s="9" t="inlineStr">
        <is>
          <t>CritAvg</t>
        </is>
      </c>
      <c r="N1562" s="9" t="inlineStr">
        <is>
          <t>ExpectedDamage(perHit)</t>
        </is>
      </c>
      <c r="O1562" s="9" t="inlineStr">
        <is>
          <t>DPS</t>
        </is>
      </c>
      <c r="P1562" s="9" t="inlineStr">
        <is>
          <t>% of Total</t>
        </is>
      </c>
      <c r="Q1562" s="9" t="inlineStr">
        <is>
          <t>InvCooldown</t>
        </is>
      </c>
      <c r="R1562" s="9" t="inlineStr">
        <is>
          <t>CastsInFight</t>
        </is>
      </c>
      <c r="S1562" s="9" t="inlineStr">
        <is>
          <t>HitRate(perSec)</t>
        </is>
      </c>
      <c r="U1562" t="inlineStr">
        <is>
          <t>helpers</t>
        </is>
      </c>
    </row>
    <row r="1563">
      <c r="A1563">
        <f>Skills!A2</f>
        <v/>
      </c>
      <c r="B1563">
        <f>Skills!B2</f>
        <v/>
      </c>
      <c r="C1563">
        <f>Inputs!$B$3&gt;=100</f>
        <v/>
      </c>
      <c r="D1563" t="inlineStr"/>
      <c r="E1563" t="inlineStr"/>
      <c r="F1563">
        <f>U1565+Skills!O2</f>
        <v/>
      </c>
      <c r="G1563">
        <f>Skills!G2*IF(Skills!H2&gt;0,Skills!I2/Skills!H2,1)</f>
        <v/>
      </c>
      <c r="H1563">
        <f>1-(1-Skills!J2/100)^Skills!K2</f>
        <v/>
      </c>
      <c r="I1563" t="inlineStr">
        <is>
          <t>1</t>
        </is>
      </c>
      <c r="J1563">
        <f>((Inputs!$B$6*(1+Inputs!$B$7/100))+(((Inputs!$B$13*(1+Inputs!$B$14/100))-(Inputs!$B$13*(1+Inputs!$B$14/100)))+0.25*(Inputs!$B$15-Inputs!$B$15))*(1+Inputs!$B$7/100))*(F1563/100)</f>
        <v/>
      </c>
      <c r="K1563">
        <f>J1563*(1+(((Inputs!$B$13+IF(Inputs!$B$3&gt;=38,(10*INDEX(FactorTable!$B$2:$Y$301, MATCH(ROUND(MIN(300,MAX(1,Inputs!$B$3)),0), FactorTable!$A$2:$A$301,0), 23)/1000)/100*(Inputs!$B$8*(1+Inputs!$B$9/100)),0))*(1+Inputs!$B$14/100))*0.01+Inputs!$B$15*0.0025)/100)*(1+Inputs!$B$16/100)*(1+Inputs!$B$17/100)*(5000/(6000+Inputs!$B$43*(1-(Inputs!$B$20+0)/100)))*(1+(Inputs!$B$25+((C1586=TRUE)*(F1586-Calc!F25))+((C1587=TRUE)*(F1587-Calc!F26))+B1596)/100)*(1+(IF(Skills!A2="DARK_IMPALE",Inputs!$B$18+0,Inputs!$B$19+((C1584=TRUE)*(F1584-Calc!F23))))/100)*((1+(((C1574=TRUE)*F1574*IF(AND(Inputs!$B$39&lt;&gt;"pvp",Inputs!$B$44&gt;0),(((R1574-1)*(Skills!T13*(1+Inputs!$B$35/100))+MIN((Skills!T13*(1+Inputs!$B$35/100)),MAX(0,Inputs!$B$44-((R1574-1)*Skills!D13))))/Inputs!$B$44),IF(Inputs!$B$39="pvp",MIN((Skills!T13*(1+Inputs!$B$35/100)),15)/15,(Skills!T13*(1+Inputs!$B$35/100))/Skills!D13)))+((C1575=TRUE)*F1575*IF(AND(Inputs!$B$39&lt;&gt;"pvp",Inputs!$B$44&gt;0),(((R1575-1)*(Skills!T14*(1+Inputs!$B$35/100))+MIN((Skills!T14*(1+Inputs!$B$35/100)),MAX(0,Inputs!$B$44-((R1575-1)*Skills!D14))))/Inputs!$B$44),IF(Inputs!$B$39="pvp",MIN((Skills!T14*(1+Inputs!$B$35/100)),15)/15,(Skills!T14*(1+Inputs!$B$35/100))/Skills!D14)))+((C1576=TRUE)*F1576*IF(AND(Inputs!$B$39&lt;&gt;"pvp",Inputs!$B$44&gt;0),(((R1576-1)*(Skills!T15*(1+Inputs!$B$35/100))+MIN((Skills!T15*(1+Inputs!$B$35/100)),MAX(0,Inputs!$B$44-((R1576-1)*Skills!D15))))/Inputs!$B$44),IF(Inputs!$B$39="pvp",MIN((Skills!T15*(1+Inputs!$B$35/100)),15)/15,(Skills!T15*(1+Inputs!$B$35/100))/Skills!D15)))+((C1577=TRUE)*F1577*IF(AND(Inputs!$B$39&lt;&gt;"pvp",Inputs!$B$44&gt;0),(((R1577-1)*(Skills!T16*(1+Inputs!$B$35/100))+MIN((Skills!T16*(1+Inputs!$B$35/100)),MAX(0,Inputs!$B$44-((R1577-1)*Skills!D16))))/Inputs!$B$44),IF(Inputs!$B$39="pvp",MIN((Skills!T16*(1+Inputs!$B$35/100)),15)/15,(Skills!T16*(1+Inputs!$B$35/100))/Skills!D16)))+0)/100)*I1563)</f>
        <v/>
      </c>
      <c r="L1563">
        <f>K1563*(MIN(Inputs!$B$23+((C1583=TRUE)*(F1583-Calc!F22)),Inputs!$B$24+((C1585=TRUE)*(F1585-Calc!F24)))/100+(Inputs!$B$24+((C1585=TRUE)*(F1585-Calc!F24)))/100)/2</f>
        <v/>
      </c>
      <c r="M1563">
        <f>L1563*(1+(Inputs!$B$11+0+B1595)/100)</f>
        <v/>
      </c>
      <c r="N1563">
        <f>L1563*(1-MIN((Inputs!$B$10+0+B1590),100)/100)+M1563*(MIN((Inputs!$B$10+0+B1590),100)/100)</f>
        <v/>
      </c>
      <c r="O1563">
        <f>(1-Summary!$B$55)*T1563+Summary!$B$55*V1563</f>
        <v/>
      </c>
      <c r="P1563">
        <f>IF(B1600=0,0,O1563/B1600)</f>
        <v/>
      </c>
      <c r="Q1563" t="n">
        <v>0</v>
      </c>
      <c r="R1563" t="n">
        <v>0</v>
      </c>
      <c r="S1563">
        <f>IFERROR(O1563/N1563,0)</f>
        <v/>
      </c>
      <c r="T1563">
        <f>IF(C1563,(Skills!G2*N1563*B1594)*IF(Inputs!$B$39="pvp",1,1+(Inputs!$B$21+0+Skills!P2+((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0)</f>
        <v/>
      </c>
      <c r="U1563">
        <f>MAX(0,(Inputs!$B$3-100)*3)+Inputs!$B$29+Inputs!$B$30</f>
        <v/>
      </c>
      <c r="V1563">
        <f>IF(C1563,(Skills!G2*N1563*B1594)*IF(Inputs!$B$39="pvp",1,(1+(Inputs!$B$22+Skills!Q2+((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MIN((6+Inputs!$B$34),Inputs!$B$38))),0)</f>
        <v/>
      </c>
    </row>
    <row r="1564">
      <c r="A1564">
        <f>Skills!A3</f>
        <v/>
      </c>
      <c r="B1564">
        <f>Skills!B3</f>
        <v/>
      </c>
      <c r="C1564">
        <f>Inputs!$B$3&gt;=50</f>
        <v/>
      </c>
      <c r="D1564">
        <f>IF(Skills!C3=1,60+Inputs!$B$26+Inputs!$B$30,IF(Skills!C3=2,90+Inputs!$B$27+Inputs!$B$30,IF(Skills!C3=3,120+Inputs!$B$28+Inputs!$B$30,MAX(0,(Inputs!$B$3-100)*3)+Inputs!$B$29+Inputs!$B$30)))</f>
        <v/>
      </c>
      <c r="E1564">
        <f>INDEX(FactorTable!$B$2:$Y$301, MATCH(ROUND(MIN(300,MAX(1,D1564)),0), FactorTable!$A$2:$A$301,0), Skills!M3+1)</f>
        <v/>
      </c>
      <c r="F1564">
        <f>IF(Skills!N3=TRUE,(Skills!L3/10)*(E1564/1000),Skills!L3/10)+Skills!O3</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U1564">
        <f>INDEX(FactorTable!$B$2:$Y$301, MATCH(ROUND(MIN(300,MAX(1,U1563)),0), FactorTable!$A$2:$A$301,0), 22)</f>
        <v/>
      </c>
    </row>
    <row r="1565">
      <c r="A1565">
        <f>Skills!A4</f>
        <v/>
      </c>
      <c r="B1565">
        <f>Skills!B4</f>
        <v/>
      </c>
      <c r="C1565">
        <f>Inputs!$B$3&gt;=105</f>
        <v/>
      </c>
      <c r="D1565">
        <f>IF(Skills!C4=1,60+Inputs!$B$26+Inputs!$B$30,IF(Skills!C4=2,90+Inputs!$B$27+Inputs!$B$30,IF(Skills!C4=3,120+Inputs!$B$28+Inputs!$B$30,MAX(0,(Inputs!$B$3-100)*3)+Inputs!$B$29+Inputs!$B$30)))</f>
        <v/>
      </c>
      <c r="E1565">
        <f>INDEX(FactorTable!$B$2:$Y$301, MATCH(ROUND(MIN(300,MAX(1,D1565)),0), FactorTable!$A$2:$A$301,0), Skills!M4+1)</f>
        <v/>
      </c>
      <c r="F1565">
        <f>IF(Skills!N4=TRUE,(Skills!L4/10)*(E1565/1000),Skills!L4/10)+Skills!O4</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U1565">
        <f>290*U1564/1000</f>
        <v/>
      </c>
    </row>
    <row r="1566">
      <c r="A1566">
        <f>Skills!A5</f>
        <v/>
      </c>
      <c r="B1566">
        <f>Skills!B5</f>
        <v/>
      </c>
      <c r="C1566">
        <f>Inputs!$B$3&gt;=117</f>
        <v/>
      </c>
      <c r="D1566">
        <f>IF(Skills!C5=1,60+Inputs!$B$26+Inputs!$B$30,IF(Skills!C5=2,90+Inputs!$B$27+Inputs!$B$30,IF(Skills!C5=3,120+Inputs!$B$28+Inputs!$B$30,MAX(0,(Inputs!$B$3-100)*3)+Inputs!$B$29+Inputs!$B$30)))</f>
        <v/>
      </c>
      <c r="E1566">
        <f>INDEX(FactorTable!$B$2:$Y$301, MATCH(ROUND(MIN(300,MAX(1,D1566)),0), FactorTable!$A$2:$A$301,0), Skills!M5+1)</f>
        <v/>
      </c>
      <c r="F1566">
        <f>IF(Skills!N5=TRUE,(Skills!L5/10)*(E1566/1000),Skills!L5/10)+Skills!O5</f>
        <v/>
      </c>
      <c r="G1566">
        <f>Skills!G5*IF(Skills!H5&gt;0,Skills!I5/Skills!H5,1)</f>
        <v/>
      </c>
      <c r="H1566">
        <f>1-(1-Skills!J5/100)^Skills!K5</f>
        <v/>
      </c>
      <c r="I1566" t="inlineStr">
        <is>
          <t>1</t>
        </is>
      </c>
      <c r="J1566">
        <f>((Inputs!$B$6*(1+Inputs!$B$7/100))+(((Inputs!$B$13*(1+Inputs!$B$14/100))-(Inputs!$B$13*(1+Inputs!$B$14/100)))+0.25*(Inputs!$B$15-Inputs!$B$15))*(1+Inputs!$B$7/100))*(F1566/100)</f>
        <v/>
      </c>
      <c r="K1566">
        <f>J1566*(1+(((Inputs!$B$13+IF(Inputs!$B$3&gt;=38,(10*INDEX(FactorTable!$B$2:$Y$301, MATCH(ROUND(MIN(300,MAX(1,Inputs!$B$3)),0), FactorTable!$A$2:$A$301,0), 23)/1000)/100*(Inputs!$B$8*(1+Inputs!$B$9/100)),0))*(1+Inputs!$B$14/100))*0.01+Inputs!$B$15*0.0025)/100)*(1+Inputs!$B$16/100)*(1+Inputs!$B$17/100)*(5000/(6000+Inputs!$B$43*(1-(Inputs!$B$20+0)/100)))*(1+(Inputs!$B$25+((C1586=TRUE)*(F1586-Calc!F25))+((C1587=TRUE)*(F1587-Calc!F26))+B1596)/100)*(1+(IF(Skills!A5="DARK_IMPALE",Inputs!$B$18+0,Inputs!$B$19+((C1584=TRUE)*(F1584-Calc!F23))))/100)*((1+(((C1574=TRUE)*F1574*IF(AND(Inputs!$B$39&lt;&gt;"pvp",Inputs!$B$44&gt;0),(((R1574-1)*(Skills!T13*(1+Inputs!$B$35/100))+MIN((Skills!T13*(1+Inputs!$B$35/100)),MAX(0,Inputs!$B$44-((R1574-1)*Skills!D13))))/Inputs!$B$44),IF(Inputs!$B$39="pvp",MIN((Skills!T13*(1+Inputs!$B$35/100)),15)/15,(Skills!T13*(1+Inputs!$B$35/100))/Skills!D13)))+((C1575=TRUE)*F1575*IF(AND(Inputs!$B$39&lt;&gt;"pvp",Inputs!$B$44&gt;0),(((R1575-1)*(Skills!T14*(1+Inputs!$B$35/100))+MIN((Skills!T14*(1+Inputs!$B$35/100)),MAX(0,Inputs!$B$44-((R1575-1)*Skills!D14))))/Inputs!$B$44),IF(Inputs!$B$39="pvp",MIN((Skills!T14*(1+Inputs!$B$35/100)),15)/15,(Skills!T14*(1+Inputs!$B$35/100))/Skills!D14)))+((C1576=TRUE)*F1576*IF(AND(Inputs!$B$39&lt;&gt;"pvp",Inputs!$B$44&gt;0),(((R1576-1)*(Skills!T15*(1+Inputs!$B$35/100))+MIN((Skills!T15*(1+Inputs!$B$35/100)),MAX(0,Inputs!$B$44-((R1576-1)*Skills!D15))))/Inputs!$B$44),IF(Inputs!$B$39="pvp",MIN((Skills!T15*(1+Inputs!$B$35/100)),15)/15,(Skills!T15*(1+Inputs!$B$35/100))/Skills!D15)))+((C1577=TRUE)*F1577*IF(AND(Inputs!$B$39&lt;&gt;"pvp",Inputs!$B$44&gt;0),(((R1577-1)*(Skills!T16*(1+Inputs!$B$35/100))+MIN((Skills!T16*(1+Inputs!$B$35/100)),MAX(0,Inputs!$B$44-((R1577-1)*Skills!D16))))/Inputs!$B$44),IF(Inputs!$B$39="pvp",MIN((Skills!T16*(1+Inputs!$B$35/100)),15)/15,(Skills!T16*(1+Inputs!$B$35/100))/Skills!D16)))+0)/100)*I1566)</f>
        <v/>
      </c>
      <c r="L1566">
        <f>K1566*(MIN(Inputs!$B$23+((C1583=TRUE)*(F1583-Calc!F22)),Inputs!$B$24+((C1585=TRUE)*(F1585-Calc!F24)))/100+(Inputs!$B$24+((C1585=TRUE)*(F1585-Calc!F24)))/100)/2</f>
        <v/>
      </c>
      <c r="M1566">
        <f>L1566*(1+(Inputs!$B$11+0+B1595)/100)</f>
        <v/>
      </c>
      <c r="N1566">
        <f>L1566*(1-MIN((Inputs!$B$10+0+B1590),100)/100)+M1566*(MIN((Inputs!$B$10+0+B1590),100)/100)</f>
        <v/>
      </c>
      <c r="O1566">
        <f>(1-Summary!$B$55)*T1566+Summary!$B$55*V1566</f>
        <v/>
      </c>
      <c r="P1566">
        <f>IF(B1600=0,0,O1566/B1600)</f>
        <v/>
      </c>
      <c r="Q1566">
        <f>IFERROR(1/IF(Inputs!$B$39="pvp",15,MAX(0.1,Skills!D5-IF(Skills!E5=TRUE,4.5,0))),0)</f>
        <v/>
      </c>
      <c r="R1566">
        <f>IF(AND(Inputs!$B$39&lt;&gt;"pvp",Inputs!$B$44&gt;0),IF(MAX(0,Inputs!$B$44-B1597)&lt;=0,0,(INT(MAX(0,Inputs!$B$44-B1597)/IF(Inputs!$B$39="pvp",15,MAX(0.1,Skills!D5-IF(Skills!E5=TRUE,4.5,0))))+1)),0)</f>
        <v/>
      </c>
      <c r="S1566">
        <f>IFERROR(O1566/N1566,0)</f>
        <v/>
      </c>
      <c r="T1566">
        <f>IF(C1566,(H1566*N1566*IF(AND(Inputs!$B$39&lt;&gt;"pvp",Inputs!$B$44&gt;0),((Skills!G5*((R1566-1)*IF(Skills!H5&gt;0,Skills!I5/Skills!H5,1)+IF(Skills!H5&gt;0,MIN(Skills!I5,MAX(0,MAX(0,Inputs!$B$44-B1597)-((R1566-1)*IF(Inputs!$B$39="pvp",15,MAX(0.1,Skills!D5-IF(Skills!E5=TRUE,4.5,0))))))/Skills!H5,1)))/Inputs!$B$44),G1566*Q1566))*IF(Inputs!$B$39="pvp",1,1+(Inputs!$B$21+0+Skills!P5+((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0)</f>
        <v/>
      </c>
      <c r="V1566">
        <f>IF(C1566,(H1566*N1566*IF(AND(Inputs!$B$39&lt;&gt;"pvp",Inputs!$B$44&gt;0),((Skills!G5*((R1566-1)*IF(Skills!H5&gt;0,Skills!I5/Skills!H5,1)+IF(Skills!H5&gt;0,MIN(Skills!I5,MAX(0,MAX(0,Inputs!$B$44-B1597)-((R1566-1)*IF(Inputs!$B$39="pvp",15,MAX(0.1,Skills!D5-IF(Skills!E5=TRUE,4.5,0))))))/Skills!H5,1)))/Inputs!$B$44),G1566*Q1566))*IF(Inputs!$B$39="pvp",1,(1+(Inputs!$B$22+Skills!Q5+((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MIN(Skills!R5,Inputs!$B$38))),0)</f>
        <v/>
      </c>
    </row>
    <row r="1567">
      <c r="A1567">
        <f>Skills!A6</f>
        <v/>
      </c>
      <c r="B1567">
        <f>Skills!B6</f>
        <v/>
      </c>
      <c r="C1567">
        <f>Inputs!$B$3&gt;=103</f>
        <v/>
      </c>
      <c r="D1567">
        <f>IF(Skills!C6=1,60+Inputs!$B$26+Inputs!$B$30,IF(Skills!C6=2,90+Inputs!$B$27+Inputs!$B$30,IF(Skills!C6=3,120+Inputs!$B$28+Inputs!$B$30,MAX(0,(Inputs!$B$3-100)*3)+Inputs!$B$29+Inputs!$B$30)))</f>
        <v/>
      </c>
      <c r="E1567">
        <f>INDEX(FactorTable!$B$2:$Y$301, MATCH(ROUND(MIN(300,MAX(1,D1567)),0), FactorTable!$A$2:$A$301,0), Skills!M6+1)</f>
        <v/>
      </c>
      <c r="F1567">
        <f>IF(Skills!N6=TRUE,(Skills!L6/10)*(E1567/1000),Skills!L6/10)+Skills!O6</f>
        <v/>
      </c>
      <c r="G1567">
        <f>Skills!G6*IF(Skills!H6&gt;0,Skills!I6/Skills!H6,1)</f>
        <v/>
      </c>
      <c r="H1567">
        <f>1-(1-Skills!J6/100)^Skills!K6</f>
        <v/>
      </c>
      <c r="I1567" t="inlineStr">
        <is>
          <t>1</t>
        </is>
      </c>
      <c r="J1567">
        <f>((Inputs!$B$6*(1+Inputs!$B$7/100))+(((Inputs!$B$13*(1+Inputs!$B$14/100))-(Inputs!$B$13*(1+Inputs!$B$14/100)))+0.25*(Inputs!$B$15-Inputs!$B$15))*(1+Inputs!$B$7/100))*(F1567/100)</f>
        <v/>
      </c>
      <c r="K1567">
        <f>J1567*(1+(((Inputs!$B$13+IF(Inputs!$B$3&gt;=38,(10*INDEX(FactorTable!$B$2:$Y$301, MATCH(ROUND(MIN(300,MAX(1,Inputs!$B$3)),0), FactorTable!$A$2:$A$301,0), 23)/1000)/100*(Inputs!$B$8*(1+Inputs!$B$9/100)),0))*(1+Inputs!$B$14/100))*0.01+Inputs!$B$15*0.0025)/100)*(1+Inputs!$B$16/100)*(1+Inputs!$B$17/100)*(5000/(6000+Inputs!$B$43*(1-(Inputs!$B$20+0)/100)))*(1+(Inputs!$B$25+((C1586=TRUE)*(F1586-Calc!F25))+((C1587=TRUE)*(F1587-Calc!F26))+B1596)/100)*(1+(IF(Skills!A6="DARK_IMPALE",Inputs!$B$18+0,Inputs!$B$19+((C1584=TRUE)*(F1584-Calc!F23))))/100)*((1+(((C1574=TRUE)*F1574*IF(AND(Inputs!$B$39&lt;&gt;"pvp",Inputs!$B$44&gt;0),(((R1574-1)*(Skills!T13*(1+Inputs!$B$35/100))+MIN((Skills!T13*(1+Inputs!$B$35/100)),MAX(0,Inputs!$B$44-((R1574-1)*Skills!D13))))/Inputs!$B$44),IF(Inputs!$B$39="pvp",MIN((Skills!T13*(1+Inputs!$B$35/100)),15)/15,(Skills!T13*(1+Inputs!$B$35/100))/Skills!D13)))+((C1575=TRUE)*F1575*IF(AND(Inputs!$B$39&lt;&gt;"pvp",Inputs!$B$44&gt;0),(((R1575-1)*(Skills!T14*(1+Inputs!$B$35/100))+MIN((Skills!T14*(1+Inputs!$B$35/100)),MAX(0,Inputs!$B$44-((R1575-1)*Skills!D14))))/Inputs!$B$44),IF(Inputs!$B$39="pvp",MIN((Skills!T14*(1+Inputs!$B$35/100)),15)/15,(Skills!T14*(1+Inputs!$B$35/100))/Skills!D14)))+((C1576=TRUE)*F1576*IF(AND(Inputs!$B$39&lt;&gt;"pvp",Inputs!$B$44&gt;0),(((R1576-1)*(Skills!T15*(1+Inputs!$B$35/100))+MIN((Skills!T15*(1+Inputs!$B$35/100)),MAX(0,Inputs!$B$44-((R1576-1)*Skills!D15))))/Inputs!$B$44),IF(Inputs!$B$39="pvp",MIN((Skills!T15*(1+Inputs!$B$35/100)),15)/15,(Skills!T15*(1+Inputs!$B$35/100))/Skills!D15)))+((C1577=TRUE)*F1577*IF(AND(Inputs!$B$39&lt;&gt;"pvp",Inputs!$B$44&gt;0),(((R1577-1)*(Skills!T16*(1+Inputs!$B$35/100))+MIN((Skills!T16*(1+Inputs!$B$35/100)),MAX(0,Inputs!$B$44-((R1577-1)*Skills!D16))))/Inputs!$B$44),IF(Inputs!$B$39="pvp",MIN((Skills!T16*(1+Inputs!$B$35/100)),15)/15,(Skills!T16*(1+Inputs!$B$35/100))/Skills!D16)))+0)/100)*I1567)</f>
        <v/>
      </c>
      <c r="L1567">
        <f>K1567*(MIN(Inputs!$B$23+((C1583=TRUE)*(F1583-Calc!F22)),Inputs!$B$24+((C1585=TRUE)*(F1585-Calc!F24)))/100+(Inputs!$B$24+((C1585=TRUE)*(F1585-Calc!F24)))/100)/2</f>
        <v/>
      </c>
      <c r="M1567">
        <f>L1567*(1+(Inputs!$B$11+0+B1595)/100)</f>
        <v/>
      </c>
      <c r="N1567">
        <f>L1567*(1-MIN((Inputs!$B$10+0+B1590),100)/100)+M1567*(MIN((Inputs!$B$10+0+B1590),100)/100)</f>
        <v/>
      </c>
      <c r="O1567">
        <f>(1-Summary!$B$55)*T1567+Summary!$B$55*V1567</f>
        <v/>
      </c>
      <c r="P1567">
        <f>IF(B1600=0,0,O1567/B1600)</f>
        <v/>
      </c>
      <c r="Q1567">
        <f>IFERROR(1/IF(Inputs!$B$39="pvp",15,MAX(0.1,Skills!D6-IF(Skills!E6=TRUE,4.5,0))),0)</f>
        <v/>
      </c>
      <c r="R1567">
        <f>IF(AND(Inputs!$B$39&lt;&gt;"pvp",Inputs!$B$44&gt;0),IF(MAX(0,Inputs!$B$44-B1597)&lt;=0,0,(INT(MAX(0,Inputs!$B$44-B1597)/IF(Inputs!$B$39="pvp",15,MAX(0.1,Skills!D6-IF(Skills!E6=TRUE,4.5,0))))+1)),0)</f>
        <v/>
      </c>
      <c r="S1567">
        <f>IFERROR(O1567/N1567,0)</f>
        <v/>
      </c>
      <c r="T1567">
        <f>IF(C1567,(H1567*N1567*IF(AND(Inputs!$B$39&lt;&gt;"pvp",Inputs!$B$44&gt;0),((Skills!G6*((R1567-1)*IF(Skills!H6&gt;0,Skills!I6/Skills!H6,1)+IF(Skills!H6&gt;0,MIN(Skills!I6,MAX(0,MAX(0,Inputs!$B$44-B1597)-((R1567-1)*IF(Inputs!$B$39="pvp",15,MAX(0.1,Skills!D6-IF(Skills!E6=TRUE,4.5,0))))))/Skills!H6,1)))/Inputs!$B$44),G1567*Q1567))*IF(Inputs!$B$39="pvp",1,1+(Inputs!$B$21+0+Skills!P6+((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0)</f>
        <v/>
      </c>
      <c r="V1567">
        <f>IF(C1567,(H1567*N1567*IF(AND(Inputs!$B$39&lt;&gt;"pvp",Inputs!$B$44&gt;0),((Skills!G6*((R1567-1)*IF(Skills!H6&gt;0,Skills!I6/Skills!H6,1)+IF(Skills!H6&gt;0,MIN(Skills!I6,MAX(0,MAX(0,Inputs!$B$44-B1597)-((R1567-1)*IF(Inputs!$B$39="pvp",15,MAX(0.1,Skills!D6-IF(Skills!E6=TRUE,4.5,0))))))/Skills!H6,1)))/Inputs!$B$44),G1567*Q1567))*IF(Inputs!$B$39="pvp",1,(1+(Inputs!$B$22+Skills!Q6+((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MIN(Skills!R6,Inputs!$B$38))),0)</f>
        <v/>
      </c>
    </row>
    <row r="1568">
      <c r="A1568">
        <f>Skills!A7</f>
        <v/>
      </c>
      <c r="B1568">
        <f>Skills!B7</f>
        <v/>
      </c>
      <c r="C1568">
        <f>Inputs!$B$3&gt;=40</f>
        <v/>
      </c>
      <c r="D1568">
        <f>IF(Skills!C7=1,60+Inputs!$B$26+Inputs!$B$30,IF(Skills!C7=2,90+Inputs!$B$27+Inputs!$B$30,IF(Skills!C7=3,120+Inputs!$B$28+Inputs!$B$30,MAX(0,(Inputs!$B$3-100)*3)+Inputs!$B$29+Inputs!$B$30)))</f>
        <v/>
      </c>
      <c r="E1568">
        <f>INDEX(FactorTable!$B$2:$Y$301, MATCH(ROUND(MIN(300,MAX(1,D1568)),0), FactorTable!$A$2:$A$301,0), Skills!M7+1)</f>
        <v/>
      </c>
      <c r="F1568">
        <f>IF(Skills!N7=TRUE,(Skills!L7/10)*(E1568/1000),Skills!L7/10)+Skills!O7</f>
        <v/>
      </c>
      <c r="G1568">
        <f>Skills!G7*IF(Skills!H7&gt;0,Skills!I7/Skills!H7,1)</f>
        <v/>
      </c>
      <c r="H1568">
        <f>1-(1-Skills!J7/100)^Skills!K7</f>
        <v/>
      </c>
      <c r="I1568" t="inlineStr">
        <is>
          <t>1</t>
        </is>
      </c>
      <c r="J1568">
        <f>((Inputs!$B$6*(1+Inputs!$B$7/100))+(((Inputs!$B$13*(1+Inputs!$B$14/100))-(Inputs!$B$13*(1+Inputs!$B$14/100)))+0.25*(Inputs!$B$15-Inputs!$B$15))*(1+Inputs!$B$7/100))*(F1568/100)</f>
        <v/>
      </c>
      <c r="K1568">
        <f>J1568*(1+(((Inputs!$B$13+IF(Inputs!$B$3&gt;=38,(10*INDEX(FactorTable!$B$2:$Y$301, MATCH(ROUND(MIN(300,MAX(1,Inputs!$B$3)),0), FactorTable!$A$2:$A$301,0), 23)/1000)/100*(Inputs!$B$8*(1+Inputs!$B$9/100)),0))*(1+Inputs!$B$14/100))*0.01+Inputs!$B$15*0.0025)/100)*(1+Inputs!$B$16/100)*(1+Inputs!$B$17/100)*(5000/(6000+Inputs!$B$43*(1-(Inputs!$B$20+0)/100)))*(1+(Inputs!$B$25+((C1586=TRUE)*(F1586-Calc!F25))+((C1587=TRUE)*(F1587-Calc!F26))+B1596)/100)*(1+0.75*IF(C1572=TRUE,F1572,0)/100)*(1+(IF(Skills!A7="DARK_IMPALE",Inputs!$B$18+0,Inputs!$B$19+((C1584=TRUE)*(F1584-Calc!F23))))/100)*((1+(((C1574=TRUE)*F1574*IF(AND(Inputs!$B$39&lt;&gt;"pvp",Inputs!$B$44&gt;0),(((R1574-1)*(Skills!T13*(1+Inputs!$B$35/100))+MIN((Skills!T13*(1+Inputs!$B$35/100)),MAX(0,Inputs!$B$44-((R1574-1)*Skills!D13))))/Inputs!$B$44),IF(Inputs!$B$39="pvp",MIN((Skills!T13*(1+Inputs!$B$35/100)),15)/15,(Skills!T13*(1+Inputs!$B$35/100))/Skills!D13)))+((C1575=TRUE)*F1575*IF(AND(Inputs!$B$39&lt;&gt;"pvp",Inputs!$B$44&gt;0),(((R1575-1)*(Skills!T14*(1+Inputs!$B$35/100))+MIN((Skills!T14*(1+Inputs!$B$35/100)),MAX(0,Inputs!$B$44-((R1575-1)*Skills!D14))))/Inputs!$B$44),IF(Inputs!$B$39="pvp",MIN((Skills!T14*(1+Inputs!$B$35/100)),15)/15,(Skills!T14*(1+Inputs!$B$35/100))/Skills!D14)))+((C1576=TRUE)*F1576*IF(AND(Inputs!$B$39&lt;&gt;"pvp",Inputs!$B$44&gt;0),(((R1576-1)*(Skills!T15*(1+Inputs!$B$35/100))+MIN((Skills!T15*(1+Inputs!$B$35/100)),MAX(0,Inputs!$B$44-((R1576-1)*Skills!D15))))/Inputs!$B$44),IF(Inputs!$B$39="pvp",MIN((Skills!T15*(1+Inputs!$B$35/100)),15)/15,(Skills!T15*(1+Inputs!$B$35/100))/Skills!D15)))+((C1577=TRUE)*F1577*IF(AND(Inputs!$B$39&lt;&gt;"pvp",Inputs!$B$44&gt;0),(((R1577-1)*(Skills!T16*(1+Inputs!$B$35/100))+MIN((Skills!T16*(1+Inputs!$B$35/100)),MAX(0,Inputs!$B$44-((R1577-1)*Skills!D16))))/Inputs!$B$44),IF(Inputs!$B$39="pvp",MIN((Skills!T16*(1+Inputs!$B$35/100)),15)/15,(Skills!T16*(1+Inputs!$B$35/100))/Skills!D16)))+0)/100)*I1568)</f>
        <v/>
      </c>
      <c r="L1568">
        <f>K1568*(MIN(Inputs!$B$23+((C1583=TRUE)*(F1583-Calc!F22)),Inputs!$B$24+((C1585=TRUE)*(F1585-Calc!F24)))/100+(Inputs!$B$24+((C1585=TRUE)*(F1585-Calc!F24)))/100)/2</f>
        <v/>
      </c>
      <c r="M1568">
        <f>L1568*(1+(Inputs!$B$11+0+B1595)/100)</f>
        <v/>
      </c>
      <c r="N1568">
        <f>L1568*(1-MIN((Inputs!$B$10+0+B1590),100)/100)+M1568*(MIN((Inputs!$B$10+0+B1590),100)/100)</f>
        <v/>
      </c>
      <c r="O1568">
        <f>(1-Summary!$B$55)*T1568+Summary!$B$55*V1568</f>
        <v/>
      </c>
      <c r="P1568">
        <f>IF(B1600=0,0,O1568/B1600)</f>
        <v/>
      </c>
      <c r="Q1568">
        <f>IFERROR(1/IF(Inputs!$B$39="pvp",15,MAX(0.1,Skills!D7-IF(Skills!E7=TRUE,4.5,0))),0)</f>
        <v/>
      </c>
      <c r="R1568">
        <f>IF(AND(Inputs!$B$39&lt;&gt;"pvp",Inputs!$B$44&gt;0),IF(MAX(0,Inputs!$B$44-B1597)&lt;=0,0,(INT(MAX(0,Inputs!$B$44-B1597)/IF(Inputs!$B$39="pvp",15,MAX(0.1,Skills!D7-IF(Skills!E7=TRUE,4.5,0))))+1)),0)</f>
        <v/>
      </c>
      <c r="S1568">
        <f>IFERROR(O1568/N1568,0)</f>
        <v/>
      </c>
      <c r="T1568">
        <f>IF(C1568,(H1568*N1568*IF(AND(Inputs!$B$39&lt;&gt;"pvp",Inputs!$B$44&gt;0),((Skills!G7*((R1568-1)*IF(Skills!H7&gt;0,Skills!I7/Skills!H7,1)+IF(Skills!H7&gt;0,MIN(Skills!I7,MAX(0,MAX(0,Inputs!$B$44-B1597)-((R1568-1)*IF(Inputs!$B$39="pvp",15,MAX(0.1,Skills!D7-IF(Skills!E7=TRUE,4.5,0))))))/Skills!H7,1)))/Inputs!$B$44),G1568*Q1568))*IF(Inputs!$B$39="pvp",1,1+(Inputs!$B$21+0+Skills!P7+((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0)</f>
        <v/>
      </c>
      <c r="V1568">
        <f>IF(C1568,(H1568*N1568*IF(AND(Inputs!$B$39&lt;&gt;"pvp",Inputs!$B$44&gt;0),((Skills!G7*((R1568-1)*IF(Skills!H7&gt;0,Skills!I7/Skills!H7,1)+IF(Skills!H7&gt;0,MIN(Skills!I7,MAX(0,MAX(0,Inputs!$B$44-B1597)-((R1568-1)*IF(Inputs!$B$39="pvp",15,MAX(0.1,Skills!D7-IF(Skills!E7=TRUE,4.5,0))))))/Skills!H7,1)))/Inputs!$B$44),G1568*Q1568))*IF(Inputs!$B$39="pvp",1,(1+(Inputs!$B$22+Skills!Q7+((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MIN(Skills!R7,Inputs!$B$38))),0)</f>
        <v/>
      </c>
    </row>
    <row r="1569">
      <c r="A1569">
        <f>Skills!A8</f>
        <v/>
      </c>
      <c r="B1569">
        <f>Skills!B8</f>
        <v/>
      </c>
      <c r="C1569">
        <f>Inputs!$B$3&gt;=75</f>
        <v/>
      </c>
      <c r="D1569">
        <f>IF(Skills!C8=1,60+Inputs!$B$26+Inputs!$B$30,IF(Skills!C8=2,90+Inputs!$B$27+Inputs!$B$30,IF(Skills!C8=3,120+Inputs!$B$28+Inputs!$B$30,MAX(0,(Inputs!$B$3-100)*3)+Inputs!$B$29+Inputs!$B$30)))</f>
        <v/>
      </c>
      <c r="E1569">
        <f>INDEX(FactorTable!$B$2:$Y$301, MATCH(ROUND(MIN(300,MAX(1,D1569)),0), FactorTable!$A$2:$A$301,0), Skills!M8+1)</f>
        <v/>
      </c>
      <c r="F1569">
        <f>IF(Skills!N8=TRUE,(Skills!L8/10)*(E1569/1000),Skills!L8/10)+Skills!O8</f>
        <v/>
      </c>
      <c r="G1569" t="inlineStr"/>
      <c r="H1569" t="inlineStr"/>
      <c r="I1569" t="inlineStr">
        <is>
          <t>1</t>
        </is>
      </c>
      <c r="J1569" t="inlineStr"/>
      <c r="K1569" t="inlineStr"/>
      <c r="L1569" t="inlineStr"/>
      <c r="M1569" t="inlineStr"/>
      <c r="N1569" t="inlineStr"/>
      <c r="O1569" t="inlineStr"/>
      <c r="P1569" t="inlineStr"/>
      <c r="Q1569" t="inlineStr"/>
      <c r="R1569" t="inlineStr"/>
      <c r="S1569" t="inlineStr"/>
    </row>
    <row r="1570">
      <c r="A1570">
        <f>Skills!A9</f>
        <v/>
      </c>
      <c r="B1570">
        <f>Skills!B9</f>
        <v/>
      </c>
      <c r="C1570">
        <f>Inputs!$B$3&gt;=60</f>
        <v/>
      </c>
      <c r="D1570">
        <f>IF(Skills!C9=1,60+Inputs!$B$26+Inputs!$B$30,IF(Skills!C9=2,90+Inputs!$B$27+Inputs!$B$30,IF(Skills!C9=3,120+Inputs!$B$28+Inputs!$B$30,MAX(0,(Inputs!$B$3-100)*3)+Inputs!$B$29+Inputs!$B$30)))</f>
        <v/>
      </c>
      <c r="E1570">
        <f>INDEX(FactorTable!$B$2:$Y$301, MATCH(ROUND(MIN(300,MAX(1,D1570)),0), FactorTable!$A$2:$A$301,0), Skills!M9+1)</f>
        <v/>
      </c>
      <c r="F1570">
        <f>IF(Skills!N9=TRUE,(Skills!L9/10)*(E1570/1000),Skills!L9/10)+Skills!O9</f>
        <v/>
      </c>
      <c r="G1570">
        <f>Skills!G9*IF(Skills!H9&gt;0,Skills!I9/Skills!H9,1)</f>
        <v/>
      </c>
      <c r="H1570">
        <f>1-(1-Skills!J9/100)^Skills!K9</f>
        <v/>
      </c>
      <c r="I1570" t="inlineStr">
        <is>
          <t>1</t>
        </is>
      </c>
      <c r="J1570">
        <f>((Inputs!$B$6*(1+Inputs!$B$7/100))+(((Inputs!$B$13*(1+Inputs!$B$14/100))-(Inputs!$B$13*(1+Inputs!$B$14/100)))+0.25*(Inputs!$B$15-Inputs!$B$15))*(1+Inputs!$B$7/100))*(F1570/100)</f>
        <v/>
      </c>
      <c r="K1570">
        <f>J1570*(1+(((Inputs!$B$13+IF(Inputs!$B$3&gt;=38,(10*INDEX(FactorTable!$B$2:$Y$301, MATCH(ROUND(MIN(300,MAX(1,Inputs!$B$3)),0), FactorTable!$A$2:$A$301,0), 23)/1000)/100*(Inputs!$B$8*(1+Inputs!$B$9/100)),0))*(1+Inputs!$B$14/100))*0.01+Inputs!$B$15*0.0025)/100)*(1+Inputs!$B$16/100)*(1+Inputs!$B$17/100)*(5000/(6000+Inputs!$B$43*(1-(Inputs!$B$20+0)/100)))*(1+(Inputs!$B$25+((C1586=TRUE)*(F1586-Calc!F25))+((C1587=TRUE)*(F1587-Calc!F26))+B1596)/100)*(1+1.0*IF(C1572=TRUE,F1572,0)/100)*(1+(IF(Skills!A9="DARK_IMPALE",Inputs!$B$18+0,Inputs!$B$19+((C1584=TRUE)*(F1584-Calc!F23))))/100)*((1+(((C1574=TRUE)*F1574*IF(AND(Inputs!$B$39&lt;&gt;"pvp",Inputs!$B$44&gt;0),(((R1574-1)*(Skills!T13*(1+Inputs!$B$35/100))+MIN((Skills!T13*(1+Inputs!$B$35/100)),MAX(0,Inputs!$B$44-((R1574-1)*Skills!D13))))/Inputs!$B$44),IF(Inputs!$B$39="pvp",MIN((Skills!T13*(1+Inputs!$B$35/100)),15)/15,(Skills!T13*(1+Inputs!$B$35/100))/Skills!D13)))+((C1575=TRUE)*F1575*IF(AND(Inputs!$B$39&lt;&gt;"pvp",Inputs!$B$44&gt;0),(((R1575-1)*(Skills!T14*(1+Inputs!$B$35/100))+MIN((Skills!T14*(1+Inputs!$B$35/100)),MAX(0,Inputs!$B$44-((R1575-1)*Skills!D14))))/Inputs!$B$44),IF(Inputs!$B$39="pvp",MIN((Skills!T14*(1+Inputs!$B$35/100)),15)/15,(Skills!T14*(1+Inputs!$B$35/100))/Skills!D14)))+((C1576=TRUE)*F1576*IF(AND(Inputs!$B$39&lt;&gt;"pvp",Inputs!$B$44&gt;0),(((R1576-1)*(Skills!T15*(1+Inputs!$B$35/100))+MIN((Skills!T15*(1+Inputs!$B$35/100)),MAX(0,Inputs!$B$44-((R1576-1)*Skills!D15))))/Inputs!$B$44),IF(Inputs!$B$39="pvp",MIN((Skills!T15*(1+Inputs!$B$35/100)),15)/15,(Skills!T15*(1+Inputs!$B$35/100))/Skills!D15)))+((C1577=TRUE)*F1577*IF(AND(Inputs!$B$39&lt;&gt;"pvp",Inputs!$B$44&gt;0),(((R1577-1)*(Skills!T16*(1+Inputs!$B$35/100))+MIN((Skills!T16*(1+Inputs!$B$35/100)),MAX(0,Inputs!$B$44-((R1577-1)*Skills!D16))))/Inputs!$B$44),IF(Inputs!$B$39="pvp",MIN((Skills!T16*(1+Inputs!$B$35/100)),15)/15,(Skills!T16*(1+Inputs!$B$35/100))/Skills!D16)))+0)/100)*I1570)</f>
        <v/>
      </c>
      <c r="L1570">
        <f>K1570*(MIN(Inputs!$B$23+((C1583=TRUE)*(F1583-Calc!F22)),Inputs!$B$24+((C1585=TRUE)*(F1585-Calc!F24)))/100+(Inputs!$B$24+((C1585=TRUE)*(F1585-Calc!F24)))/100)/2</f>
        <v/>
      </c>
      <c r="M1570">
        <f>L1570*(1+(Inputs!$B$11+0+B1595)/100)</f>
        <v/>
      </c>
      <c r="N1570">
        <f>L1570*(1-MIN((Inputs!$B$10+0+B1590),100)/100)+M1570*(MIN((Inputs!$B$10+0+B1590),100)/100)</f>
        <v/>
      </c>
      <c r="O1570">
        <f>(1-Summary!$B$55)*T1570+Summary!$B$55*V1570</f>
        <v/>
      </c>
      <c r="P1570">
        <f>IF(B1600=0,0,O1570/B1600)</f>
        <v/>
      </c>
      <c r="Q1570">
        <f>IFERROR(1/IF(Inputs!$B$39="pvp",15,MAX(0.1,Skills!D9-IF(Skills!E9=TRUE,4.5,0))),0)</f>
        <v/>
      </c>
      <c r="R1570">
        <f>IF(AND(Inputs!$B$39&lt;&gt;"pvp",Inputs!$B$44&gt;0),IF(MAX(0,Inputs!$B$44-B1597)&lt;=0,0,(INT(MAX(0,Inputs!$B$44-B1597)/IF(Inputs!$B$39="pvp",15,MAX(0.1,Skills!D9-IF(Skills!E9=TRUE,4.5,0))))+1)),0)</f>
        <v/>
      </c>
      <c r="S1570">
        <f>IFERROR(O1570/N1570,0)</f>
        <v/>
      </c>
      <c r="T1570">
        <f>IF(C1570,(H1570*N1570*IF(AND(Inputs!$B$39&lt;&gt;"pvp",Inputs!$B$44&gt;0),((Skills!G9*((R1570-1)*IF(Skills!H9&gt;0,Skills!I9/Skills!H9,1)+IF(Skills!H9&gt;0,MIN(Skills!I9,MAX(0,MAX(0,Inputs!$B$44-B1597)-((R1570-1)*IF(Inputs!$B$39="pvp",15,MAX(0.1,Skills!D9-IF(Skills!E9=TRUE,4.5,0))))))/Skills!H9,1)))/Inputs!$B$44),G1570*Q1570))*IF(Inputs!$B$39="pvp",1,1+(Inputs!$B$21+0+Skills!P9+((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0)</f>
        <v/>
      </c>
      <c r="V1570">
        <f>IF(C1570,(H1570*N1570*IF(AND(Inputs!$B$39&lt;&gt;"pvp",Inputs!$B$44&gt;0),((Skills!G9*((R1570-1)*IF(Skills!H9&gt;0,Skills!I9/Skills!H9,1)+IF(Skills!H9&gt;0,MIN(Skills!I9,MAX(0,MAX(0,Inputs!$B$44-B1597)-((R1570-1)*IF(Inputs!$B$39="pvp",15,MAX(0.1,Skills!D9-IF(Skills!E9=TRUE,4.5,0))))))/Skills!H9,1)))/Inputs!$B$44),G1570*Q1570))*IF(Inputs!$B$39="pvp",1,(1+(Inputs!$B$22+Skills!Q9+((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MIN(Skills!R9,Inputs!$B$38))),0)</f>
        <v/>
      </c>
    </row>
    <row r="1571">
      <c r="A1571">
        <f>Skills!A10</f>
        <v/>
      </c>
      <c r="B1571">
        <f>Skills!B10</f>
        <v/>
      </c>
      <c r="C1571">
        <f>Inputs!$B$3&gt;=110</f>
        <v/>
      </c>
      <c r="D1571">
        <f>IF(Skills!C10=1,60+Inputs!$B$26+Inputs!$B$30,IF(Skills!C10=2,90+Inputs!$B$27+Inputs!$B$30,IF(Skills!C10=3,120+Inputs!$B$28+Inputs!$B$30,MAX(0,(Inputs!$B$3-100)*3)+Inputs!$B$29+Inputs!$B$30)))</f>
        <v/>
      </c>
      <c r="E1571">
        <f>INDEX(FactorTable!$B$2:$Y$301, MATCH(ROUND(MIN(300,MAX(1,D1571)),0), FactorTable!$A$2:$A$301,0), Skills!M10+1)</f>
        <v/>
      </c>
      <c r="F1571">
        <f>IF(Skills!N10=TRUE,(Skills!L10/10)*(E1571/1000),Skills!L10/10)+Skills!O10</f>
        <v/>
      </c>
      <c r="G1571">
        <f>Skills!G10*IF(Skills!H10&gt;0,Skills!I10/Skills!H10,1)</f>
        <v/>
      </c>
      <c r="H1571">
        <f>1-(1-Skills!J10/100)^Skills!K10</f>
        <v/>
      </c>
      <c r="I1571" t="inlineStr">
        <is>
          <t>1</t>
        </is>
      </c>
      <c r="J1571">
        <f>((Inputs!$B$6*(1+Inputs!$B$7/100))+(((Inputs!$B$13*(1+Inputs!$B$14/100))-(Inputs!$B$13*(1+Inputs!$B$14/100)))+0.25*(Inputs!$B$15-Inputs!$B$15))*(1+Inputs!$B$7/100))*(F1571/100)</f>
        <v/>
      </c>
      <c r="K1571">
        <f>J1571*(1+(((Inputs!$B$13+IF(Inputs!$B$3&gt;=38,(10*INDEX(FactorTable!$B$2:$Y$301, MATCH(ROUND(MIN(300,MAX(1,Inputs!$B$3)),0), FactorTable!$A$2:$A$301,0), 23)/1000)/100*(Inputs!$B$8*(1+Inputs!$B$9/100)),0))*(1+Inputs!$B$14/100))*0.01+Inputs!$B$15*0.0025)/100)*(1+Inputs!$B$16/100)*(1+Inputs!$B$17/100)*(5000/(6000+Inputs!$B$43*(1-(Inputs!$B$20+0)/100)))*(1+(Inputs!$B$25+((C1586=TRUE)*(F1586-Calc!F25))+((C1587=TRUE)*(F1587-Calc!F26))+B1596)/100)*(1+(IF(Skills!A10="DARK_IMPALE",Inputs!$B$18+0,Inputs!$B$19+((C1584=TRUE)*(F1584-Calc!F23))))/100)*((1+(((C1574=TRUE)*F1574*IF(AND(Inputs!$B$39&lt;&gt;"pvp",Inputs!$B$44&gt;0),(((R1574-1)*(Skills!T13*(1+Inputs!$B$35/100))+MIN((Skills!T13*(1+Inputs!$B$35/100)),MAX(0,Inputs!$B$44-((R1574-1)*Skills!D13))))/Inputs!$B$44),IF(Inputs!$B$39="pvp",MIN((Skills!T13*(1+Inputs!$B$35/100)),15)/15,(Skills!T13*(1+Inputs!$B$35/100))/Skills!D13)))+((C1575=TRUE)*F1575*IF(AND(Inputs!$B$39&lt;&gt;"pvp",Inputs!$B$44&gt;0),(((R1575-1)*(Skills!T14*(1+Inputs!$B$35/100))+MIN((Skills!T14*(1+Inputs!$B$35/100)),MAX(0,Inputs!$B$44-((R1575-1)*Skills!D14))))/Inputs!$B$44),IF(Inputs!$B$39="pvp",MIN((Skills!T14*(1+Inputs!$B$35/100)),15)/15,(Skills!T14*(1+Inputs!$B$35/100))/Skills!D14)))+((C1576=TRUE)*F1576*IF(AND(Inputs!$B$39&lt;&gt;"pvp",Inputs!$B$44&gt;0),(((R1576-1)*(Skills!T15*(1+Inputs!$B$35/100))+MIN((Skills!T15*(1+Inputs!$B$35/100)),MAX(0,Inputs!$B$44-((R1576-1)*Skills!D15))))/Inputs!$B$44),IF(Inputs!$B$39="pvp",MIN((Skills!T15*(1+Inputs!$B$35/100)),15)/15,(Skills!T15*(1+Inputs!$B$35/100))/Skills!D15)))+((C1577=TRUE)*F1577*IF(AND(Inputs!$B$39&lt;&gt;"pvp",Inputs!$B$44&gt;0),(((R1577-1)*(Skills!T16*(1+Inputs!$B$35/100))+MIN((Skills!T16*(1+Inputs!$B$35/100)),MAX(0,Inputs!$B$44-((R1577-1)*Skills!D16))))/Inputs!$B$44),IF(Inputs!$B$39="pvp",MIN((Skills!T16*(1+Inputs!$B$35/100)),15)/15,(Skills!T16*(1+Inputs!$B$35/100))/Skills!D16)))+0)/100)*I1571)</f>
        <v/>
      </c>
      <c r="L1571">
        <f>K1571*(MIN(Inputs!$B$23+((C1583=TRUE)*(F1583-Calc!F22)),Inputs!$B$24+((C1585=TRUE)*(F1585-Calc!F24)))/100+(Inputs!$B$24+((C1585=TRUE)*(F1585-Calc!F24)))/100)/2</f>
        <v/>
      </c>
      <c r="M1571">
        <f>L1571*(1+(Inputs!$B$11+0+B1595)/100)</f>
        <v/>
      </c>
      <c r="N1571">
        <f>L1571*(1-MIN((Inputs!$B$10+0+B1590),100)/100)+M1571*(MIN((Inputs!$B$10+0+B1590),100)/100)</f>
        <v/>
      </c>
      <c r="O1571">
        <f>(1-Summary!$B$55)*T1571+Summary!$B$55*V1571</f>
        <v/>
      </c>
      <c r="P1571">
        <f>IF(B1600=0,0,O1571/B1600)</f>
        <v/>
      </c>
      <c r="Q1571">
        <f>IFERROR(1/IF(Inputs!$B$39="pvp",15,MAX(0.1,Skills!D10-IF(Skills!E10=TRUE,4.5,0))),0)</f>
        <v/>
      </c>
      <c r="R1571">
        <f>IF(AND(Inputs!$B$39&lt;&gt;"pvp",Inputs!$B$44&gt;0),IF(MAX(0,Inputs!$B$44-B1597)&lt;=0,0,(INT(MAX(0,Inputs!$B$44-B1597)/IF(Inputs!$B$39="pvp",15,MAX(0.1,Skills!D10-IF(Skills!E10=TRUE,4.5,0))))+1)),0)</f>
        <v/>
      </c>
      <c r="S1571">
        <f>IFERROR(O1571/N1571,0)</f>
        <v/>
      </c>
      <c r="T1571">
        <f>IF(C1571,(H1571*N1571*IF(AND(Inputs!$B$39&lt;&gt;"pvp",Inputs!$B$44&gt;0),((Skills!G10*((R1571-1)*IF(Skills!H10&gt;0,Skills!I10/Skills!H10,1)+IF(Skills!H10&gt;0,MIN(Skills!I10,MAX(0,MAX(0,Inputs!$B$44-B1597)-((R1571-1)*IF(Inputs!$B$39="pvp",15,MAX(0.1,Skills!D10-IF(Skills!E10=TRUE,4.5,0))))))/Skills!H10,1)))/Inputs!$B$44),G1571*Q1571))*IF(Inputs!$B$39="pvp",1,1+(Inputs!$B$21+0+Skills!P10+((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0)</f>
        <v/>
      </c>
      <c r="V1571">
        <f>IF(C1571,(H1571*N1571*IF(AND(Inputs!$B$39&lt;&gt;"pvp",Inputs!$B$44&gt;0),((Skills!G10*((R1571-1)*IF(Skills!H10&gt;0,Skills!I10/Skills!H10,1)+IF(Skills!H10&gt;0,MIN(Skills!I10,MAX(0,MAX(0,Inputs!$B$44-B1597)-((R1571-1)*IF(Inputs!$B$39="pvp",15,MAX(0.1,Skills!D10-IF(Skills!E10=TRUE,4.5,0))))))/Skills!H10,1)))/Inputs!$B$44),G1571*Q1571))*IF(Inputs!$B$39="pvp",1,(1+(Inputs!$B$22+Skills!Q10+((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MIN(Skills!R10,Inputs!$B$38))),0)</f>
        <v/>
      </c>
    </row>
    <row r="1572">
      <c r="A1572">
        <f>Skills!A11</f>
        <v/>
      </c>
      <c r="B1572">
        <f>Skills!B11</f>
        <v/>
      </c>
      <c r="C1572">
        <f>Inputs!$B$3&gt;=100</f>
        <v/>
      </c>
      <c r="D1572">
        <f>IF(Skills!C11=1,60+Inputs!$B$26+Inputs!$B$30,IF(Skills!C11=2,90+Inputs!$B$27+Inputs!$B$30,IF(Skills!C11=3,120+Inputs!$B$28+Inputs!$B$30,MAX(0,(Inputs!$B$3-100)*3)+Inputs!$B$29+Inputs!$B$30)))</f>
        <v/>
      </c>
      <c r="E1572">
        <f>INDEX(FactorTable!$B$2:$Y$301, MATCH(ROUND(MIN(300,MAX(1,D1572)),0), FactorTable!$A$2:$A$301,0), Skills!M11+1)</f>
        <v/>
      </c>
      <c r="F1572">
        <f>IF(Skills!N11=TRUE,(Skills!L11/10)*(E1572/1000),Skills!L11/10)+Skills!O11</f>
        <v/>
      </c>
      <c r="G1572" t="inlineStr"/>
      <c r="H1572" t="inlineStr"/>
      <c r="I1572" t="inlineStr">
        <is>
          <t>1</t>
        </is>
      </c>
      <c r="J1572" t="inlineStr"/>
      <c r="K1572" t="inlineStr"/>
      <c r="L1572" t="inlineStr"/>
      <c r="M1572" t="inlineStr"/>
      <c r="N1572" t="inlineStr"/>
      <c r="O1572" t="inlineStr"/>
      <c r="P1572" t="inlineStr"/>
      <c r="Q1572" t="inlineStr"/>
      <c r="R1572" t="inlineStr"/>
      <c r="S1572" t="inlineStr"/>
    </row>
    <row r="1573">
      <c r="A1573">
        <f>Skills!A12</f>
        <v/>
      </c>
      <c r="B1573">
        <f>Skills!B12</f>
        <v/>
      </c>
      <c r="C1573">
        <f>Inputs!$B$3&gt;=63</f>
        <v/>
      </c>
      <c r="D1573">
        <f>IF(Skills!C12=1,60+Inputs!$B$26+Inputs!$B$30,IF(Skills!C12=2,90+Inputs!$B$27+Inputs!$B$30,IF(Skills!C12=3,120+Inputs!$B$28+Inputs!$B$30,MAX(0,(Inputs!$B$3-100)*3)+Inputs!$B$29+Inputs!$B$30)))</f>
        <v/>
      </c>
      <c r="E1573">
        <f>INDEX(FactorTable!$B$2:$Y$301, MATCH(ROUND(MIN(300,MAX(1,D1573)),0), FactorTable!$A$2:$A$301,0), Skills!M12+1)</f>
        <v/>
      </c>
      <c r="F1573">
        <f>IF(Skills!N12=TRUE,(Skills!L12/10)*(E1573/1000),Skills!L12/10)+Skills!O12</f>
        <v/>
      </c>
      <c r="G1573">
        <f>Skills!G12*IF(Skills!H12&gt;0,Skills!I12/Skills!H12,1)</f>
        <v/>
      </c>
      <c r="H1573">
        <f>1-(1-Skills!J12/100)^Skills!K12</f>
        <v/>
      </c>
      <c r="I1573" t="inlineStr">
        <is>
          <t>1</t>
        </is>
      </c>
      <c r="J1573">
        <f>((Inputs!$B$6*(1+Inputs!$B$7/100))+(((Inputs!$B$13*(1+Inputs!$B$14/100))-(Inputs!$B$13*(1+Inputs!$B$14/100)))+0.25*(Inputs!$B$15-Inputs!$B$15))*(1+Inputs!$B$7/100))*(F1573/100)</f>
        <v/>
      </c>
      <c r="K1573">
        <f>J1573*(1+(((Inputs!$B$13+IF(Inputs!$B$3&gt;=38,(10*INDEX(FactorTable!$B$2:$Y$301, MATCH(ROUND(MIN(300,MAX(1,Inputs!$B$3)),0), FactorTable!$A$2:$A$301,0), 23)/1000)/100*(Inputs!$B$8*(1+Inputs!$B$9/100)),0))*(1+Inputs!$B$14/100))*0.01+Inputs!$B$15*0.0025)/100)*(1+Inputs!$B$16/100)*(1+Inputs!$B$17/100)*(5000/(6000+Inputs!$B$43*(1-(Inputs!$B$20+0)/100)))*(1+(Inputs!$B$25+((C1586=TRUE)*(F1586-Calc!F25))+((C1587=TRUE)*(F1587-Calc!F26))+B1596)/100)*(1+0.75*IF(C1572=TRUE,F1572,0)/100)*(1+(IF(Skills!A12="DARK_IMPALE",Inputs!$B$18+0,Inputs!$B$19+((C1584=TRUE)*(F1584-Calc!F23))))/100)*((1+(((C1574=TRUE)*F1574*IF(AND(Inputs!$B$39&lt;&gt;"pvp",Inputs!$B$44&gt;0),(((R1574-1)*(Skills!T13*(1+Inputs!$B$35/100))+MIN((Skills!T13*(1+Inputs!$B$35/100)),MAX(0,Inputs!$B$44-((R1574-1)*Skills!D13))))/Inputs!$B$44),IF(Inputs!$B$39="pvp",MIN((Skills!T13*(1+Inputs!$B$35/100)),15)/15,(Skills!T13*(1+Inputs!$B$35/100))/Skills!D13)))+((C1575=TRUE)*F1575*IF(AND(Inputs!$B$39&lt;&gt;"pvp",Inputs!$B$44&gt;0),(((R1575-1)*(Skills!T14*(1+Inputs!$B$35/100))+MIN((Skills!T14*(1+Inputs!$B$35/100)),MAX(0,Inputs!$B$44-((R1575-1)*Skills!D14))))/Inputs!$B$44),IF(Inputs!$B$39="pvp",MIN((Skills!T14*(1+Inputs!$B$35/100)),15)/15,(Skills!T14*(1+Inputs!$B$35/100))/Skills!D14)))+((C1576=TRUE)*F1576*IF(AND(Inputs!$B$39&lt;&gt;"pvp",Inputs!$B$44&gt;0),(((R1576-1)*(Skills!T15*(1+Inputs!$B$35/100))+MIN((Skills!T15*(1+Inputs!$B$35/100)),MAX(0,Inputs!$B$44-((R1576-1)*Skills!D15))))/Inputs!$B$44),IF(Inputs!$B$39="pvp",MIN((Skills!T15*(1+Inputs!$B$35/100)),15)/15,(Skills!T15*(1+Inputs!$B$35/100))/Skills!D15)))+((C1577=TRUE)*F1577*IF(AND(Inputs!$B$39&lt;&gt;"pvp",Inputs!$B$44&gt;0),(((R1577-1)*(Skills!T16*(1+Inputs!$B$35/100))+MIN((Skills!T16*(1+Inputs!$B$35/100)),MAX(0,Inputs!$B$44-((R1577-1)*Skills!D16))))/Inputs!$B$44),IF(Inputs!$B$39="pvp",MIN((Skills!T16*(1+Inputs!$B$35/100)),15)/15,(Skills!T16*(1+Inputs!$B$35/100))/Skills!D16)))+0)/100)*I1573)</f>
        <v/>
      </c>
      <c r="L1573">
        <f>K1573*(MIN(Inputs!$B$23+((C1583=TRUE)*(F1583-Calc!F22)),Inputs!$B$24+((C1585=TRUE)*(F1585-Calc!F24)))/100+(Inputs!$B$24+((C1585=TRUE)*(F1585-Calc!F24)))/100)/2</f>
        <v/>
      </c>
      <c r="M1573">
        <f>L1573*(1+(Inputs!$B$11+0+B1595)/100)</f>
        <v/>
      </c>
      <c r="N1573">
        <f>L1573*(1-MIN((Inputs!$B$10+0+B1590),100)/100)+M1573*(MIN((Inputs!$B$10+0+B1590),100)/100)</f>
        <v/>
      </c>
      <c r="O1573">
        <f>(1-Summary!$B$55)*T1573+Summary!$B$55*V1573</f>
        <v/>
      </c>
      <c r="P1573">
        <f>IF(B1600=0,0,O1573/B1600)</f>
        <v/>
      </c>
      <c r="Q1573">
        <f>IFERROR(1/IF(Inputs!$B$39="pvp",15,MAX(0.1,Skills!D12-IF(Skills!E12=TRUE,4.5,0))),0)</f>
        <v/>
      </c>
      <c r="R1573">
        <f>IF(AND(Inputs!$B$39&lt;&gt;"pvp",Inputs!$B$44&gt;0),IF(MAX(0,Inputs!$B$44-B1597)&lt;=0,0,(INT(MAX(0,Inputs!$B$44-B1597)/IF(Inputs!$B$39="pvp",15,MAX(0.1,Skills!D12-IF(Skills!E12=TRUE,4.5,0))))+1)),0)</f>
        <v/>
      </c>
      <c r="S1573">
        <f>IFERROR(O1573/N1573,0)</f>
        <v/>
      </c>
      <c r="T1573">
        <f>IF(C1573,(H1573*N1573*IF(AND(Inputs!$B$39&lt;&gt;"pvp",Inputs!$B$44&gt;0),((Skills!G12*((R1573-1)*IF(Skills!H12&gt;0,Skills!I12/Skills!H12,1)+IF(Skills!H12&gt;0,MIN(Skills!I12,MAX(0,MAX(0,Inputs!$B$44-B1597)-((R1573-1)*IF(Inputs!$B$39="pvp",15,MAX(0.1,Skills!D12-IF(Skills!E12=TRUE,4.5,0))))))/Skills!H12,1)))/Inputs!$B$44),G1573*Q1573))*IF(Inputs!$B$39="pvp",1,1+(Inputs!$B$21+0+Skills!P12+((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0)</f>
        <v/>
      </c>
      <c r="V1573">
        <f>IF(C1573,(H1573*N1573*IF(AND(Inputs!$B$39&lt;&gt;"pvp",Inputs!$B$44&gt;0),((Skills!G12*((R1573-1)*IF(Skills!H12&gt;0,Skills!I12/Skills!H12,1)+IF(Skills!H12&gt;0,MIN(Skills!I12,MAX(0,MAX(0,Inputs!$B$44-B1597)-((R1573-1)*IF(Inputs!$B$39="pvp",15,MAX(0.1,Skills!D12-IF(Skills!E12=TRUE,4.5,0))))))/Skills!H12,1)))/Inputs!$B$44),G1573*Q1573))*IF(Inputs!$B$39="pvp",1,(1+(Inputs!$B$22+Skills!Q12+((C1578=TRUE)*F1578*IF(AND(Inputs!$B$39&lt;&gt;"pvp",Inputs!$B$44&gt;0),(((R1578-1)*(Skills!T17*(1+Inputs!$B$35/100))+MIN((Skills!T17*(1+Inputs!$B$35/100)),MAX(0,Inputs!$B$44-((R1578-1)*Skills!D17))))/Inputs!$B$44),IF(Inputs!$B$39="pvp",MIN((Skills!T17*(1+Inputs!$B$35/100)),15)/15,(Skills!T17*(1+Inputs!$B$35/100))/Skills!D17)))+((C1575=TRUE)*IF(Inputs!$B$39="pvp",20,(1-Summary!$B$55)*(20)+Summary!$B$55*(0))*IF(AND(Inputs!$B$39&lt;&gt;"pvp",Inputs!$B$44&gt;0),(((R1575-1)*(Skills!T14*(1+Inputs!$B$35/100))+MIN((Skills!T14*(1+Inputs!$B$35/100)),MAX(0,Inputs!$B$44-((R1575-1)*Skills!D14))))/Inputs!$B$44),IF(Inputs!$B$39="pvp",MIN((Skills!T14*(1+Inputs!$B$35/100)),15)/15,(Skills!T14*(1+Inputs!$B$35/100))/Skills!D14))))/100)*(MIN(Skills!R12,Inputs!$B$38))),0)</f>
        <v/>
      </c>
    </row>
    <row r="1574">
      <c r="A1574">
        <f>Skills!A13</f>
        <v/>
      </c>
      <c r="B1574">
        <f>Skills!B13</f>
        <v/>
      </c>
      <c r="C1574">
        <f>Inputs!$B$3&gt;=69</f>
        <v/>
      </c>
      <c r="D1574">
        <f>IF(Skills!C13=1,60+Inputs!$B$26+Inputs!$B$30,IF(Skills!C13=2,90+Inputs!$B$27+Inputs!$B$30,IF(Skills!C13=3,120+Inputs!$B$28+Inputs!$B$30,MAX(0,(Inputs!$B$3-100)*3)+Inputs!$B$29+Inputs!$B$30)))</f>
        <v/>
      </c>
      <c r="E1574">
        <f>INDEX(FactorTable!$B$2:$Y$301, MATCH(ROUND(MIN(300,MAX(1,D1574)),0), FactorTable!$A$2:$A$301,0), Skills!M13+1)</f>
        <v/>
      </c>
      <c r="F1574">
        <f>IF(Skills!N13=TRUE,(Skills!L13/10)*(E1574/1000),Skills!L13/10)+Skills!O13</f>
        <v/>
      </c>
      <c r="G1574">
        <f>Skills!G13*IF(Skills!H13&gt;0,Skills!I13/Skills!H13,1)</f>
        <v/>
      </c>
      <c r="H1574">
        <f>1-(1-Skills!J13/100)^Skills!K13</f>
        <v/>
      </c>
      <c r="I1574" t="inlineStr">
        <is>
          <t>1</t>
        </is>
      </c>
      <c r="J1574" t="inlineStr"/>
      <c r="K1574" t="inlineStr"/>
      <c r="L1574" t="inlineStr"/>
      <c r="M1574" t="inlineStr"/>
      <c r="N1574" t="inlineStr"/>
      <c r="O1574">
        <f>(1-Summary!$B$55)*T1574+Summary!$B$55*V1574</f>
        <v/>
      </c>
      <c r="P1574">
        <f>IF(B1600=0,0,O1574/B1600)</f>
        <v/>
      </c>
      <c r="Q1574">
        <f>IFERROR(1/IF(Inputs!$B$39="pvp",15,MAX(0.1,Skills!D13-IF(Skills!E13=TRUE,4.5,0))),0)</f>
        <v/>
      </c>
      <c r="R1574">
        <f>IF(AND(Inputs!$B$39&lt;&gt;"pvp",Inputs!$B$44&gt;0),IF(Inputs!$B$44&lt;=0,0,(INT(Inputs!$B$44/IF(Inputs!$B$39="pvp",15,MAX(0.1,Skills!D13-IF(Skills!E13=TRUE,4.5,0))))+1)),0)</f>
        <v/>
      </c>
      <c r="S1574">
        <f>IFERROR(O1574/N1574,0)</f>
        <v/>
      </c>
      <c r="T1574" t="n">
        <v>0</v>
      </c>
      <c r="V1574" t="n">
        <v>0</v>
      </c>
    </row>
    <row r="1575">
      <c r="A1575">
        <f>Skills!A14</f>
        <v/>
      </c>
      <c r="B1575">
        <f>Skills!B14</f>
        <v/>
      </c>
      <c r="C1575">
        <f>Inputs!$B$3&gt;=115</f>
        <v/>
      </c>
      <c r="D1575">
        <f>IF(Skills!C14=1,60+Inputs!$B$26+Inputs!$B$30,IF(Skills!C14=2,90+Inputs!$B$27+Inputs!$B$30,IF(Skills!C14=3,120+Inputs!$B$28+Inputs!$B$30,MAX(0,(Inputs!$B$3-100)*3)+Inputs!$B$29+Inputs!$B$30)))</f>
        <v/>
      </c>
      <c r="E1575">
        <f>INDEX(FactorTable!$B$2:$Y$301, MATCH(ROUND(MIN(300,MAX(1,D1575)),0), FactorTable!$A$2:$A$301,0), Skills!M14+1)</f>
        <v/>
      </c>
      <c r="F1575">
        <f>IF(Skills!N14=TRUE,(Skills!L14/10)*(E1575/1000),Skills!L14/10)+Skills!O14</f>
        <v/>
      </c>
      <c r="G1575">
        <f>Skills!G14*IF(Skills!H14&gt;0,Skills!I14/Skills!H14,1)</f>
        <v/>
      </c>
      <c r="H1575">
        <f>1-(1-Skills!J14/100)^Skills!K14</f>
        <v/>
      </c>
      <c r="I1575" t="inlineStr">
        <is>
          <t>1</t>
        </is>
      </c>
      <c r="J1575" t="inlineStr"/>
      <c r="K1575" t="inlineStr"/>
      <c r="L1575" t="inlineStr"/>
      <c r="M1575" t="inlineStr"/>
      <c r="N1575" t="inlineStr"/>
      <c r="O1575">
        <f>(1-Summary!$B$55)*T1575+Summary!$B$55*V1575</f>
        <v/>
      </c>
      <c r="P1575">
        <f>IF(B1600=0,0,O1575/B1600)</f>
        <v/>
      </c>
      <c r="Q1575">
        <f>IFERROR(1/IF(Inputs!$B$39="pvp",15,MAX(0.1,Skills!D14-IF(Skills!E14=TRUE,4.5,0))),0)</f>
        <v/>
      </c>
      <c r="R1575">
        <f>IF(AND(Inputs!$B$39&lt;&gt;"pvp",Inputs!$B$44&gt;0),IF(Inputs!$B$44&lt;=0,0,(INT(Inputs!$B$44/IF(Inputs!$B$39="pvp",15,MAX(0.1,Skills!D14-IF(Skills!E14=TRUE,4.5,0))))+1)),0)</f>
        <v/>
      </c>
      <c r="S1575">
        <f>IFERROR(O1575/N1575,0)</f>
        <v/>
      </c>
      <c r="T1575" t="n">
        <v>0</v>
      </c>
      <c r="V1575" t="n">
        <v>0</v>
      </c>
    </row>
    <row r="1576">
      <c r="A1576">
        <f>Skills!A15</f>
        <v/>
      </c>
      <c r="B1576">
        <f>Skills!B15</f>
        <v/>
      </c>
      <c r="C1576">
        <f>Inputs!$B$3&gt;=66</f>
        <v/>
      </c>
      <c r="D1576">
        <f>IF(Skills!C15=1,60+Inputs!$B$26+Inputs!$B$30,IF(Skills!C15=2,90+Inputs!$B$27+Inputs!$B$30,IF(Skills!C15=3,120+Inputs!$B$28+Inputs!$B$30,MAX(0,(Inputs!$B$3-100)*3)+Inputs!$B$29+Inputs!$B$30)))</f>
        <v/>
      </c>
      <c r="E1576">
        <f>INDEX(FactorTable!$B$2:$Y$301, MATCH(ROUND(MIN(300,MAX(1,D1576)),0), FactorTable!$A$2:$A$301,0), Skills!M15+1)</f>
        <v/>
      </c>
      <c r="F1576">
        <f>IF(Skills!N15=TRUE,(Skills!L15/10)*(E1576/1000),Skills!L15/10)+Skills!O15</f>
        <v/>
      </c>
      <c r="G1576">
        <f>Skills!G15*IF(Skills!H15&gt;0,Skills!I15/Skills!H15,1)</f>
        <v/>
      </c>
      <c r="H1576">
        <f>1-(1-Skills!J15/100)^Skills!K15</f>
        <v/>
      </c>
      <c r="I1576" t="inlineStr">
        <is>
          <t>1</t>
        </is>
      </c>
      <c r="J1576" t="inlineStr"/>
      <c r="K1576" t="inlineStr"/>
      <c r="L1576" t="inlineStr"/>
      <c r="M1576" t="inlineStr"/>
      <c r="N1576" t="inlineStr"/>
      <c r="O1576">
        <f>(1-Summary!$B$55)*T1576+Summary!$B$55*V1576</f>
        <v/>
      </c>
      <c r="P1576">
        <f>IF(B1600=0,0,O1576/B1600)</f>
        <v/>
      </c>
      <c r="Q1576">
        <f>IFERROR(1/IF(Inputs!$B$39="pvp",15,MAX(0.1,Skills!D15-IF(Skills!E15=TRUE,4.5,0))),0)</f>
        <v/>
      </c>
      <c r="R1576">
        <f>IF(AND(Inputs!$B$39&lt;&gt;"pvp",Inputs!$B$44&gt;0),IF(Inputs!$B$44&lt;=0,0,(INT(Inputs!$B$44/IF(Inputs!$B$39="pvp",15,MAX(0.1,Skills!D15-IF(Skills!E15=TRUE,4.5,0))))+1)),0)</f>
        <v/>
      </c>
      <c r="S1576">
        <f>IFERROR(O1576/N1576,0)</f>
        <v/>
      </c>
      <c r="T1576" t="n">
        <v>0</v>
      </c>
      <c r="V1576" t="n">
        <v>0</v>
      </c>
    </row>
    <row r="1577">
      <c r="A1577">
        <f>Skills!A16</f>
        <v/>
      </c>
      <c r="B1577">
        <f>Skills!B16</f>
        <v/>
      </c>
      <c r="C1577">
        <f>Inputs!$B$3&gt;=45</f>
        <v/>
      </c>
      <c r="D1577">
        <f>IF(Skills!C16=1,60+Inputs!$B$26+Inputs!$B$30,IF(Skills!C16=2,90+Inputs!$B$27+Inputs!$B$30,IF(Skills!C16=3,120+Inputs!$B$28+Inputs!$B$30,MAX(0,(Inputs!$B$3-100)*3)+Inputs!$B$29+Inputs!$B$30)))</f>
        <v/>
      </c>
      <c r="E1577">
        <f>INDEX(FactorTable!$B$2:$Y$301, MATCH(ROUND(MIN(300,MAX(1,D1577)),0), FactorTable!$A$2:$A$301,0), Skills!M16+1)</f>
        <v/>
      </c>
      <c r="F1577">
        <f>IF(Skills!N16=TRUE,(Skills!L16/10)*(E1577/1000),Skills!L16/10)+Skills!O16</f>
        <v/>
      </c>
      <c r="G1577">
        <f>Skills!G16*IF(Skills!H16&gt;0,Skills!I16/Skills!H16,1)</f>
        <v/>
      </c>
      <c r="H1577">
        <f>1-(1-Skills!J16/100)^Skills!K16</f>
        <v/>
      </c>
      <c r="I1577" t="inlineStr">
        <is>
          <t>1</t>
        </is>
      </c>
      <c r="J1577" t="inlineStr"/>
      <c r="K1577" t="inlineStr"/>
      <c r="L1577" t="inlineStr"/>
      <c r="M1577" t="inlineStr"/>
      <c r="N1577" t="inlineStr"/>
      <c r="O1577">
        <f>(1-Summary!$B$55)*T1577+Summary!$B$55*V1577</f>
        <v/>
      </c>
      <c r="P1577">
        <f>IF(B1600=0,0,O1577/B1600)</f>
        <v/>
      </c>
      <c r="Q1577">
        <f>IFERROR(1/IF(Inputs!$B$39="pvp",15,MAX(0.1,Skills!D16-IF(Skills!E16=TRUE,4.5,0))),0)</f>
        <v/>
      </c>
      <c r="R1577">
        <f>IF(AND(Inputs!$B$39&lt;&gt;"pvp",Inputs!$B$44&gt;0),IF(Inputs!$B$44&lt;=0,0,(INT(Inputs!$B$44/IF(Inputs!$B$39="pvp",15,MAX(0.1,Skills!D16-IF(Skills!E16=TRUE,4.5,0))))+1)),0)</f>
        <v/>
      </c>
      <c r="S1577">
        <f>IFERROR(O1577/N1577,0)</f>
        <v/>
      </c>
      <c r="T1577" t="n">
        <v>0</v>
      </c>
      <c r="V1577" t="n">
        <v>0</v>
      </c>
    </row>
    <row r="1578">
      <c r="A1578">
        <f>Skills!A17</f>
        <v/>
      </c>
      <c r="B1578">
        <f>Skills!B17</f>
        <v/>
      </c>
      <c r="C1578">
        <f>Inputs!$B$3&gt;=35</f>
        <v/>
      </c>
      <c r="D1578">
        <f>IF(Skills!C17=1,60+Inputs!$B$26+Inputs!$B$30,IF(Skills!C17=2,90+Inputs!$B$27+Inputs!$B$30,IF(Skills!C17=3,120+Inputs!$B$28+Inputs!$B$30,MAX(0,(Inputs!$B$3-100)*3)+Inputs!$B$29+Inputs!$B$30)))</f>
        <v/>
      </c>
      <c r="E1578">
        <f>INDEX(FactorTable!$B$2:$Y$301, MATCH(ROUND(MIN(300,MAX(1,D1578)),0), FactorTable!$A$2:$A$301,0), Skills!M17+1)</f>
        <v/>
      </c>
      <c r="F1578">
        <f>IF(Skills!N17=TRUE,(Skills!L17/10)*(E1578/1000),Skills!L17/10)+Skills!O17</f>
        <v/>
      </c>
      <c r="G1578">
        <f>Skills!G17*IF(Skills!H17&gt;0,Skills!I17/Skills!H17,1)</f>
        <v/>
      </c>
      <c r="H1578">
        <f>1-(1-Skills!J17/100)^Skills!K17</f>
        <v/>
      </c>
      <c r="I1578" t="inlineStr">
        <is>
          <t>1</t>
        </is>
      </c>
      <c r="J1578" t="inlineStr"/>
      <c r="K1578" t="inlineStr"/>
      <c r="L1578" t="inlineStr"/>
      <c r="M1578" t="inlineStr"/>
      <c r="N1578" t="inlineStr"/>
      <c r="O1578">
        <f>(1-Summary!$B$55)*T1578+Summary!$B$55*V1578</f>
        <v/>
      </c>
      <c r="P1578">
        <f>IF(B1600=0,0,O1578/B1600)</f>
        <v/>
      </c>
      <c r="Q1578">
        <f>IFERROR(1/IF(Inputs!$B$39="pvp",15,MAX(0.1,Skills!D17-IF(Skills!E17=TRUE,4.5,0))),0)</f>
        <v/>
      </c>
      <c r="R1578">
        <f>IF(AND(Inputs!$B$39&lt;&gt;"pvp",Inputs!$B$44&gt;0),IF(Inputs!$B$44&lt;=0,0,(INT(Inputs!$B$44/IF(Inputs!$B$39="pvp",15,MAX(0.1,Skills!D17-IF(Skills!E17=TRUE,4.5,0))))+1)),0)</f>
        <v/>
      </c>
      <c r="S1578">
        <f>IFERROR(O1578/N1578,0)</f>
        <v/>
      </c>
      <c r="T1578" t="n">
        <v>0</v>
      </c>
      <c r="V1578" t="n">
        <v>0</v>
      </c>
    </row>
    <row r="1579">
      <c r="A1579">
        <f>Skills!A18</f>
        <v/>
      </c>
      <c r="B1579">
        <f>Skills!B18</f>
        <v/>
      </c>
      <c r="C1579">
        <f>Inputs!$B$3&gt;=72</f>
        <v/>
      </c>
      <c r="D1579">
        <f>IF(Skills!C18=1,60+Inputs!$B$26+Inputs!$B$30,IF(Skills!C18=2,90+Inputs!$B$27+Inputs!$B$30,IF(Skills!C18=3,120+Inputs!$B$28+Inputs!$B$30,MAX(0,(Inputs!$B$3-100)*3)+Inputs!$B$29+Inputs!$B$30)))</f>
        <v/>
      </c>
      <c r="E1579">
        <f>INDEX(FactorTable!$B$2:$Y$301, MATCH(ROUND(MIN(300,MAX(1,D1579)),0), FactorTable!$A$2:$A$301,0), Skills!M18+1)</f>
        <v/>
      </c>
      <c r="F1579">
        <f>IF(Skills!N18=TRUE,(Skills!L18/10)*(E1579/1000),Skills!L18/10)+Skills!O18</f>
        <v/>
      </c>
      <c r="G1579">
        <f>Skills!G18*IF(Skills!H18&gt;0,Skills!I18/Skills!H18,1)</f>
        <v/>
      </c>
      <c r="H1579">
        <f>1-(1-Skills!J18/100)^Skills!K18</f>
        <v/>
      </c>
      <c r="I1579" t="inlineStr">
        <is>
          <t>1</t>
        </is>
      </c>
      <c r="J1579" t="inlineStr"/>
      <c r="K1579" t="inlineStr"/>
      <c r="L1579" t="inlineStr"/>
      <c r="M1579" t="inlineStr"/>
      <c r="N1579" t="inlineStr"/>
      <c r="O1579">
        <f>(1-Summary!$B$55)*T1579+Summary!$B$55*V1579</f>
        <v/>
      </c>
      <c r="P1579">
        <f>IF(B1600=0,0,O1579/B1600)</f>
        <v/>
      </c>
      <c r="Q1579">
        <f>IFERROR(1/IF(Inputs!$B$39="pvp",15,MAX(0.1,Skills!D18-IF(Skills!E18=TRUE,4.5,0))),0)</f>
        <v/>
      </c>
      <c r="R1579">
        <f>IF(AND(Inputs!$B$39&lt;&gt;"pvp",Inputs!$B$44&gt;0),IF(Inputs!$B$44&lt;=0,0,(INT(Inputs!$B$44/IF(Inputs!$B$39="pvp",15,MAX(0.1,Skills!D18-IF(Skills!E18=TRUE,4.5,0))))+1)),0)</f>
        <v/>
      </c>
      <c r="S1579">
        <f>IFERROR(O1579/N1579,0)</f>
        <v/>
      </c>
      <c r="T1579" t="n">
        <v>0</v>
      </c>
      <c r="V1579" t="n">
        <v>0</v>
      </c>
    </row>
    <row r="1580">
      <c r="A1580">
        <f>Skills!A19</f>
        <v/>
      </c>
      <c r="B1580">
        <f>Skills!B19</f>
        <v/>
      </c>
      <c r="C1580">
        <f>Inputs!$B$3&gt;=72</f>
        <v/>
      </c>
      <c r="D1580">
        <f>IF(Skills!C19=1,60+Inputs!$B$26+Inputs!$B$30,IF(Skills!C19=2,90+Inputs!$B$27+Inputs!$B$30,IF(Skills!C19=3,120+Inputs!$B$28+Inputs!$B$30,MAX(0,(Inputs!$B$3-100)*3)+Inputs!$B$29+Inputs!$B$30)))</f>
        <v/>
      </c>
      <c r="E1580">
        <f>INDEX(FactorTable!$B$2:$Y$301, MATCH(ROUND(MIN(300,MAX(1,D1580)),0), FactorTable!$A$2:$A$301,0), Skills!M19+1)</f>
        <v/>
      </c>
      <c r="F1580">
        <f>IF(Skills!N19=TRUE,(Skills!L19/10)*(E1580/1000),Skills!L19/10)+Skills!O19</f>
        <v/>
      </c>
      <c r="G1580">
        <f>Skills!G19*IF(Skills!H19&gt;0,Skills!I19/Skills!H19,1)</f>
        <v/>
      </c>
      <c r="H1580">
        <f>1-(1-Skills!J19/100)^Skills!K19</f>
        <v/>
      </c>
      <c r="I1580" t="inlineStr">
        <is>
          <t>1</t>
        </is>
      </c>
      <c r="J1580" t="inlineStr"/>
      <c r="K1580" t="inlineStr"/>
      <c r="L1580" t="inlineStr"/>
      <c r="M1580" t="inlineStr"/>
      <c r="N1580" t="inlineStr"/>
      <c r="O1580">
        <f>(1-Summary!$B$55)*T1580+Summary!$B$55*V1580</f>
        <v/>
      </c>
      <c r="P1580">
        <f>IF(B1600=0,0,O1580/B1600)</f>
        <v/>
      </c>
      <c r="Q1580">
        <f>IFERROR(1/IF(Inputs!$B$39="pvp",15,MAX(0.1,Skills!D19-IF(Skills!E19=TRUE,4.5,0))),0)</f>
        <v/>
      </c>
      <c r="R1580">
        <f>IF(AND(Inputs!$B$39&lt;&gt;"pvp",Inputs!$B$44&gt;0),IF(Inputs!$B$44&lt;=0,0,(INT(Inputs!$B$44/IF(Inputs!$B$39="pvp",15,MAX(0.1,Skills!D19-IF(Skills!E19=TRUE,4.5,0))))+1)),0)</f>
        <v/>
      </c>
      <c r="S1580">
        <f>IFERROR(O1580/N1580,0)</f>
        <v/>
      </c>
      <c r="T1580" t="n">
        <v>0</v>
      </c>
      <c r="V1580" t="n">
        <v>0</v>
      </c>
    </row>
    <row r="1581">
      <c r="A1581">
        <f>Skills!A20</f>
        <v/>
      </c>
      <c r="B1581">
        <f>Skills!B20</f>
        <v/>
      </c>
      <c r="C1581">
        <f>TRUE</f>
        <v/>
      </c>
      <c r="D1581">
        <f>IF(Skills!C20=1,60+Inputs!$B$26+Inputs!$B$30,IF(Skills!C20=2,90+Inputs!$B$27+Inputs!$B$30,IF(Skills!C20=3,120+Inputs!$B$28+Inputs!$B$30,MAX(0,(Inputs!$B$3-100)*3)+Inputs!$B$29+Inputs!$B$30)))</f>
        <v/>
      </c>
      <c r="E1581">
        <f>INDEX(FactorTable!$B$2:$Y$301, MATCH(ROUND(MIN(300,MAX(1,D1581)),0), FactorTable!$A$2:$A$301,0), Skills!M20+1)</f>
        <v/>
      </c>
      <c r="F1581">
        <f>IF(Skills!N20=TRUE,(Skills!L20/10)*(E1581/1000),Skills!L20/10)+Skills!O20</f>
        <v/>
      </c>
      <c r="G1581">
        <f>Skills!G20*IF(Skills!H20&gt;0,Skills!I20/Skills!H20,1)</f>
        <v/>
      </c>
      <c r="H1581">
        <f>1-(1-Skills!J20/100)^Skills!K20</f>
        <v/>
      </c>
      <c r="I1581" t="inlineStr">
        <is>
          <t>1</t>
        </is>
      </c>
      <c r="J1581" t="inlineStr"/>
      <c r="K1581" t="inlineStr"/>
      <c r="L1581" t="inlineStr"/>
      <c r="M1581" t="inlineStr"/>
      <c r="N1581" t="inlineStr"/>
      <c r="O1581">
        <f>(1-Summary!$B$55)*T1581+Summary!$B$55*V1581</f>
        <v/>
      </c>
      <c r="P1581">
        <f>IF(B1600=0,0,O1581/B1600)</f>
        <v/>
      </c>
      <c r="Q1581">
        <f>IFERROR(1/IF(Inputs!$B$39="pvp",15,MAX(0.1,Skills!D20-IF(Skills!E20=TRUE,4.5,0))),0)</f>
        <v/>
      </c>
      <c r="R1581">
        <f>IF(AND(Inputs!$B$39&lt;&gt;"pvp",Inputs!$B$44&gt;0),IF(Inputs!$B$44&lt;=0,0,(INT(Inputs!$B$44/IF(Inputs!$B$39="pvp",15,MAX(0.1,Skills!D20-IF(Skills!E20=TRUE,4.5,0))))+1)),0)</f>
        <v/>
      </c>
      <c r="S1581">
        <f>IFERROR(O1581/N1581,0)</f>
        <v/>
      </c>
      <c r="T1581" t="n">
        <v>0</v>
      </c>
      <c r="V1581" t="n">
        <v>0</v>
      </c>
    </row>
    <row r="1582">
      <c r="A1582">
        <f>Skills!A21</f>
        <v/>
      </c>
      <c r="B1582">
        <f>Skills!B21</f>
        <v/>
      </c>
      <c r="C1582">
        <f>Inputs!$B$3&gt;=33</f>
        <v/>
      </c>
      <c r="D1582">
        <f>IF(Skills!C21=1,60+Inputs!$B$26+Inputs!$B$30,IF(Skills!C21=2,90+Inputs!$B$27+Inputs!$B$30,IF(Skills!C21=3,120+Inputs!$B$28+Inputs!$B$30,MAX(0,(Inputs!$B$3-100)*3)+Inputs!$B$29+Inputs!$B$30)))</f>
        <v/>
      </c>
      <c r="E1582">
        <f>INDEX(FactorTable!$B$2:$Y$301, MATCH(ROUND(MIN(300,MAX(1,D1582)),0), FactorTable!$A$2:$A$301,0), Skills!M21+1)</f>
        <v/>
      </c>
      <c r="F1582">
        <f>IF(Skills!N21=TRUE,(Skills!L21/10)*(E1582/1000),Skills!L21/10)+Skills!O21</f>
        <v/>
      </c>
      <c r="G1582">
        <f>Skills!G21*IF(Skills!H21&gt;0,Skills!I21/Skills!H21,1)</f>
        <v/>
      </c>
      <c r="H1582">
        <f>1-(1-Skills!J21/100)^Skills!K21</f>
        <v/>
      </c>
      <c r="I1582" t="inlineStr">
        <is>
          <t>1</t>
        </is>
      </c>
      <c r="J1582" t="inlineStr"/>
      <c r="K1582" t="inlineStr"/>
      <c r="L1582" t="inlineStr"/>
      <c r="M1582" t="inlineStr"/>
      <c r="N1582" t="inlineStr"/>
      <c r="O1582">
        <f>(1-Summary!$B$55)*T1582+Summary!$B$55*V1582</f>
        <v/>
      </c>
      <c r="P1582">
        <f>IF(B1600=0,0,O1582/B1600)</f>
        <v/>
      </c>
      <c r="Q1582" t="n">
        <v>0</v>
      </c>
      <c r="R1582" t="n">
        <v>0</v>
      </c>
      <c r="S1582">
        <f>IFERROR(O1582/N1582,0)</f>
        <v/>
      </c>
      <c r="T1582" t="n">
        <v>0</v>
      </c>
      <c r="V1582" t="n">
        <v>0</v>
      </c>
    </row>
    <row r="1583">
      <c r="A1583">
        <f>Skills!A22</f>
        <v/>
      </c>
      <c r="B1583">
        <f>Skills!B22</f>
        <v/>
      </c>
      <c r="C1583">
        <f>Inputs!$B$3&gt;=43</f>
        <v/>
      </c>
      <c r="D1583">
        <f>IF(Skills!C22=1,60+Inputs!$B$26+Inputs!$B$30,IF(Skills!C22=2,90+Inputs!$B$27+Inputs!$B$30,IF(Skills!C22=3,120+Inputs!$B$28+Inputs!$B$30,MAX(0,(Inputs!$B$3-100)*3)+Inputs!$B$29+Inputs!$B$30)))</f>
        <v/>
      </c>
      <c r="E1583">
        <f>INDEX(FactorTable!$B$2:$Y$301, MATCH(ROUND(MIN(300,MAX(1,D1583)),0), FactorTable!$A$2:$A$301,0), Skills!M22+1)</f>
        <v/>
      </c>
      <c r="F1583">
        <f>IF(Skills!N22=TRUE,(Skills!L22/10)*(E1583/1000),Skills!L22/10)+Skills!O22</f>
        <v/>
      </c>
      <c r="G1583">
        <f>Skills!G22*IF(Skills!H22&gt;0,Skills!I22/Skills!H22,1)</f>
        <v/>
      </c>
      <c r="H1583">
        <f>1-(1-Skills!J22/100)^Skills!K22</f>
        <v/>
      </c>
      <c r="I1583" t="inlineStr">
        <is>
          <t>1</t>
        </is>
      </c>
      <c r="J1583" t="inlineStr"/>
      <c r="K1583" t="inlineStr"/>
      <c r="L1583" t="inlineStr"/>
      <c r="M1583" t="inlineStr"/>
      <c r="N1583" t="inlineStr"/>
      <c r="O1583">
        <f>(1-Summary!$B$55)*T1583+Summary!$B$55*V1583</f>
        <v/>
      </c>
      <c r="P1583">
        <f>IF(B1600=0,0,O1583/B1600)</f>
        <v/>
      </c>
      <c r="Q1583" t="n">
        <v>0</v>
      </c>
      <c r="R1583" t="n">
        <v>0</v>
      </c>
      <c r="S1583">
        <f>IFERROR(O1583/N1583,0)</f>
        <v/>
      </c>
      <c r="T1583" t="n">
        <v>0</v>
      </c>
      <c r="V1583" t="n">
        <v>0</v>
      </c>
    </row>
    <row r="1584">
      <c r="A1584">
        <f>Skills!A23</f>
        <v/>
      </c>
      <c r="B1584">
        <f>Skills!B23</f>
        <v/>
      </c>
      <c r="C1584">
        <f>Inputs!$B$3&gt;=120</f>
        <v/>
      </c>
      <c r="D1584">
        <f>IF(Skills!C23=1,60+Inputs!$B$26+Inputs!$B$30,IF(Skills!C23=2,90+Inputs!$B$27+Inputs!$B$30,IF(Skills!C23=3,120+Inputs!$B$28+Inputs!$B$30,MAX(0,(Inputs!$B$3-100)*3)+Inputs!$B$29+Inputs!$B$30)))</f>
        <v/>
      </c>
      <c r="E1584">
        <f>INDEX(FactorTable!$B$2:$Y$301, MATCH(ROUND(MIN(300,MAX(1,D1584)),0), FactorTable!$A$2:$A$301,0), Skills!M23+1)</f>
        <v/>
      </c>
      <c r="F1584">
        <f>IF(Skills!N23=TRUE,(Skills!L23/10)*(E1584/1000),Skills!L23/10)+Skills!O23</f>
        <v/>
      </c>
      <c r="G1584">
        <f>Skills!G23*IF(Skills!H23&gt;0,Skills!I23/Skills!H23,1)</f>
        <v/>
      </c>
      <c r="H1584">
        <f>1-(1-Skills!J23/100)^Skills!K23</f>
        <v/>
      </c>
      <c r="I1584" t="inlineStr">
        <is>
          <t>1</t>
        </is>
      </c>
      <c r="J1584" t="inlineStr"/>
      <c r="K1584" t="inlineStr"/>
      <c r="L1584" t="inlineStr"/>
      <c r="M1584" t="inlineStr"/>
      <c r="N1584" t="inlineStr"/>
      <c r="O1584">
        <f>(1-Summary!$B$55)*T1584+Summary!$B$55*V1584</f>
        <v/>
      </c>
      <c r="P1584">
        <f>IF(B1600=0,0,O1584/B1600)</f>
        <v/>
      </c>
      <c r="Q1584" t="n">
        <v>0</v>
      </c>
      <c r="R1584" t="n">
        <v>0</v>
      </c>
      <c r="S1584">
        <f>IFERROR(O1584/N1584,0)</f>
        <v/>
      </c>
      <c r="T1584" t="n">
        <v>0</v>
      </c>
      <c r="V1584" t="n">
        <v>0</v>
      </c>
    </row>
    <row r="1585">
      <c r="A1585">
        <f>Skills!A24</f>
        <v/>
      </c>
      <c r="B1585">
        <f>Skills!B24</f>
        <v/>
      </c>
      <c r="C1585">
        <f>Inputs!$B$3&gt;=120</f>
        <v/>
      </c>
      <c r="D1585">
        <f>IF(Skills!C24=1,60+Inputs!$B$26+Inputs!$B$30,IF(Skills!C24=2,90+Inputs!$B$27+Inputs!$B$30,IF(Skills!C24=3,120+Inputs!$B$28+Inputs!$B$30,MAX(0,(Inputs!$B$3-100)*3)+Inputs!$B$29+Inputs!$B$30)))</f>
        <v/>
      </c>
      <c r="E1585">
        <f>INDEX(FactorTable!$B$2:$Y$301, MATCH(ROUND(MIN(300,MAX(1,D1585)),0), FactorTable!$A$2:$A$301,0), Skills!M24+1)</f>
        <v/>
      </c>
      <c r="F1585">
        <f>IF(Skills!N24=TRUE,(Skills!L24/10)*(E1585/1000),Skills!L24/10)+Skills!O24</f>
        <v/>
      </c>
      <c r="G1585">
        <f>Skills!G24*IF(Skills!H24&gt;0,Skills!I24/Skills!H24,1)</f>
        <v/>
      </c>
      <c r="H1585">
        <f>1-(1-Skills!J24/100)^Skills!K24</f>
        <v/>
      </c>
      <c r="I1585" t="inlineStr">
        <is>
          <t>1</t>
        </is>
      </c>
      <c r="J1585" t="inlineStr"/>
      <c r="K1585" t="inlineStr"/>
      <c r="L1585" t="inlineStr"/>
      <c r="M1585" t="inlineStr"/>
      <c r="N1585" t="inlineStr"/>
      <c r="O1585">
        <f>(1-Summary!$B$55)*T1585+Summary!$B$55*V1585</f>
        <v/>
      </c>
      <c r="P1585">
        <f>IF(B1600=0,0,O1585/B1600)</f>
        <v/>
      </c>
      <c r="Q1585" t="n">
        <v>0</v>
      </c>
      <c r="R1585" t="n">
        <v>0</v>
      </c>
      <c r="S1585">
        <f>IFERROR(O1585/N1585,0)</f>
        <v/>
      </c>
      <c r="T1585" t="n">
        <v>0</v>
      </c>
      <c r="V1585" t="n">
        <v>0</v>
      </c>
    </row>
    <row r="1586">
      <c r="A1586">
        <f>Skills!A25</f>
        <v/>
      </c>
      <c r="B1586">
        <f>Skills!B25</f>
        <v/>
      </c>
      <c r="C1586">
        <f>Inputs!$B$3&gt;=125</f>
        <v/>
      </c>
      <c r="D1586">
        <f>IF(Skills!C25=1,60+Inputs!$B$26+Inputs!$B$30,IF(Skills!C25=2,90+Inputs!$B$27+Inputs!$B$30,IF(Skills!C25=3,120+Inputs!$B$28+Inputs!$B$30,MAX(0,(Inputs!$B$3-100)*3)+Inputs!$B$29+Inputs!$B$30)))</f>
        <v/>
      </c>
      <c r="E1586">
        <f>INDEX(FactorTable!$B$2:$Y$301, MATCH(ROUND(MIN(300,MAX(1,D1586)),0), FactorTable!$A$2:$A$301,0), Skills!M25+1)</f>
        <v/>
      </c>
      <c r="F1586">
        <f>IF(Skills!N25=TRUE,(Skills!L25/10)*(E1586/1000),Skills!L25/10)+Skills!O25</f>
        <v/>
      </c>
      <c r="G1586">
        <f>Skills!G25*IF(Skills!H25&gt;0,Skills!I25/Skills!H25,1)</f>
        <v/>
      </c>
      <c r="H1586">
        <f>1-(1-Skills!J25/100)^Skills!K25</f>
        <v/>
      </c>
      <c r="I1586" t="inlineStr">
        <is>
          <t>1</t>
        </is>
      </c>
      <c r="J1586" t="inlineStr"/>
      <c r="K1586" t="inlineStr"/>
      <c r="L1586" t="inlineStr"/>
      <c r="M1586" t="inlineStr"/>
      <c r="N1586" t="inlineStr"/>
      <c r="O1586">
        <f>(1-Summary!$B$55)*T1586+Summary!$B$55*V1586</f>
        <v/>
      </c>
      <c r="P1586">
        <f>IF(B1600=0,0,O1586/B1600)</f>
        <v/>
      </c>
      <c r="Q1586" t="n">
        <v>0</v>
      </c>
      <c r="R1586" t="n">
        <v>0</v>
      </c>
      <c r="S1586">
        <f>IFERROR(O1586/N1586,0)</f>
        <v/>
      </c>
      <c r="T1586" t="n">
        <v>0</v>
      </c>
      <c r="V1586" t="n">
        <v>0</v>
      </c>
    </row>
    <row r="1587">
      <c r="A1587">
        <f>Skills!A26</f>
        <v/>
      </c>
      <c r="B1587">
        <f>Skills!B26</f>
        <v/>
      </c>
      <c r="C1587">
        <f>Inputs!$B$3&gt;=107</f>
        <v/>
      </c>
      <c r="D1587">
        <f>IF(Skills!C26=1,60+Inputs!$B$26+Inputs!$B$30,IF(Skills!C26=2,90+Inputs!$B$27+Inputs!$B$30,IF(Skills!C26=3,120+Inputs!$B$28+Inputs!$B$30,MAX(0,(Inputs!$B$3-100)*3)+Inputs!$B$29+Inputs!$B$30)))</f>
        <v/>
      </c>
      <c r="E1587">
        <f>INDEX(FactorTable!$B$2:$Y$301, MATCH(ROUND(MIN(300,MAX(1,D1587)),0), FactorTable!$A$2:$A$301,0), Skills!M26+1)</f>
        <v/>
      </c>
      <c r="F1587">
        <f>IF(Skills!N26=TRUE,(Skills!L26/10)*(E1587/1000),Skills!L26/10)+Skills!O26</f>
        <v/>
      </c>
      <c r="G1587">
        <f>Skills!G26*IF(Skills!H26&gt;0,Skills!I26/Skills!H26,1)</f>
        <v/>
      </c>
      <c r="H1587">
        <f>1-(1-Skills!J26/100)^Skills!K26</f>
        <v/>
      </c>
      <c r="I1587" t="inlineStr">
        <is>
          <t>1</t>
        </is>
      </c>
      <c r="J1587" t="inlineStr"/>
      <c r="K1587" t="inlineStr"/>
      <c r="L1587" t="inlineStr"/>
      <c r="M1587" t="inlineStr"/>
      <c r="N1587" t="inlineStr"/>
      <c r="O1587">
        <f>(1-Summary!$B$55)*T1587+Summary!$B$55*V1587</f>
        <v/>
      </c>
      <c r="P1587">
        <f>IF(B1600=0,0,O1587/B1600)</f>
        <v/>
      </c>
      <c r="Q1587" t="n">
        <v>0</v>
      </c>
      <c r="R1587" t="n">
        <v>0</v>
      </c>
      <c r="S1587">
        <f>IFERROR(O1587/N1587,0)</f>
        <v/>
      </c>
      <c r="T1587" t="n">
        <v>0</v>
      </c>
      <c r="V1587" t="n">
        <v>0</v>
      </c>
    </row>
    <row r="1589">
      <c r="A1589" t="inlineStr">
        <is>
          <t>Attack% Bucket Multiplier</t>
        </is>
      </c>
      <c r="B1589">
        <f>(1+(((C1574=TRUE)*F1574*IF(AND(Inputs!$B$39&lt;&gt;"pvp",Inputs!$B$44&gt;0),(((R1574-1)*(Skills!T13*(1+Inputs!$B$35/100))+MIN((Skills!T13*(1+Inputs!$B$35/100)),MAX(0,Inputs!$B$44-((R1574-1)*Skills!D13))))/Inputs!$B$44),IF(Inputs!$B$39="pvp",MIN((Skills!T13*(1+Inputs!$B$35/100)),15)/15,(Skills!T13*(1+Inputs!$B$35/100))/Skills!D13)))+((C1575=TRUE)*F1575*IF(AND(Inputs!$B$39&lt;&gt;"pvp",Inputs!$B$44&gt;0),(((R1575-1)*(Skills!T14*(1+Inputs!$B$35/100))+MIN((Skills!T14*(1+Inputs!$B$35/100)),MAX(0,Inputs!$B$44-((R1575-1)*Skills!D14))))/Inputs!$B$44),IF(Inputs!$B$39="pvp",MIN((Skills!T14*(1+Inputs!$B$35/100)),15)/15,(Skills!T14*(1+Inputs!$B$35/100))/Skills!D14)))+((C1576=TRUE)*F1576*IF(AND(Inputs!$B$39&lt;&gt;"pvp",Inputs!$B$44&gt;0),(((R1576-1)*(Skills!T15*(1+Inputs!$B$35/100))+MIN((Skills!T15*(1+Inputs!$B$35/100)),MAX(0,Inputs!$B$44-((R1576-1)*Skills!D15))))/Inputs!$B$44),IF(Inputs!$B$39="pvp",MIN((Skills!T15*(1+Inputs!$B$35/100)),15)/15,(Skills!T15*(1+Inputs!$B$35/100))/Skills!D15)))+((C1577=TRUE)*F1577*IF(AND(Inputs!$B$39&lt;&gt;"pvp",Inputs!$B$44&gt;0),(((R1577-1)*(Skills!T16*(1+Inputs!$B$35/100))+MIN((Skills!T16*(1+Inputs!$B$35/100)),MAX(0,Inputs!$B$44-((R1577-1)*Skills!D16))))/Inputs!$B$44),IF(Inputs!$B$39="pvp",MIN((Skills!T16*(1+Inputs!$B$35/100)),15)/15,(Skills!T16*(1+Inputs!$B$35/100))/Skills!D16)))+0)/100)</f>
        <v/>
      </c>
    </row>
    <row r="1590">
      <c r="A1590" t="inlineStr">
        <is>
          <t>Global Crit Rate Bonus % (Lord of Darkness)</t>
        </is>
      </c>
      <c r="B1590">
        <f>((C1579=TRUE)*F1579*(Skills!J18/100)*IF(AND(Inputs!$B$39&lt;&gt;"pvp",Inputs!$B$44&gt;0),(((R1579-1)*(Skills!T18*(1+Inputs!$B$35/100))+MIN((Skills!T18*(1+Inputs!$B$35/100)),MAX(0,Inputs!$B$44-((R1579-1)*Skills!D18))))/Inputs!$B$44),IF(Inputs!$B$39="pvp",MIN((Skills!T18*(1+Inputs!$B$35/100)),15)/15,(Skills!T18*(1+Inputs!$B$35/100))/Skills!D18)))</f>
        <v/>
      </c>
    </row>
    <row r="1591">
      <c r="A1591" t="inlineStr">
        <is>
          <t>Attack Speed Buff Bonus %</t>
        </is>
      </c>
      <c r="B1591">
        <f>((C1581=TRUE)*F1581*IF(AND(Inputs!$B$39&lt;&gt;"pvp",Inputs!$B$44&gt;0),(((R1581-1)*(Skills!T20*(1+Inputs!$B$35/100))+MIN((Skills!T20*(1+Inputs!$B$35/100)),MAX(0,Inputs!$B$44-((R1581-1)*Skills!D20))))/Inputs!$B$44),IF(Inputs!$B$39="pvp",MIN((Skills!T20*(1+Inputs!$B$35/100)),15)/15,(Skills!T20*(1+Inputs!$B$35/100))/Skills!D20)))</f>
        <v/>
      </c>
    </row>
    <row r="1592">
      <c r="A1592" t="inlineStr">
        <is>
          <t>Actions Per Second</t>
        </is>
      </c>
      <c r="B1592">
        <f>1+MIN(150,150*(1-(1-(Inputs!$B$12+((C1582=TRUE)*(F1582-Calc!F21)))/150)*(1-B1591/150)))/100</f>
        <v/>
      </c>
    </row>
    <row r="1593">
      <c r="A1593" t="inlineStr">
        <is>
          <t>Skill + Buff Cast Rate</t>
        </is>
      </c>
      <c r="B1593">
        <f>IF(AND(Inputs!$B$39&lt;&gt;"pvp",Inputs!$B$44&gt;0),SUMPRODUCT((Skills!E2:E26=TRUE)*(C1563:C1587=TRUE)*R1563:R1587*Skills!F2:F26)/Inputs!$B$44,SUMPRODUCT((Skills!E2:E26=TRUE)*(C1563:C1587=TRUE)*Q1563:Q1587*Skills!F2:F26))</f>
        <v/>
      </c>
    </row>
    <row r="1594">
      <c r="A1594" t="inlineStr">
        <is>
          <t>Dark Impale Casts Per Second</t>
        </is>
      </c>
      <c r="B1594">
        <f>MAX(0,B1592-B1593)</f>
        <v/>
      </c>
    </row>
    <row r="1595">
      <c r="A1595" t="inlineStr">
        <is>
          <t>Global Critical Damage Bonus % (Lord of Darkness)</t>
        </is>
      </c>
      <c r="B1595">
        <f>((C1580=TRUE)*F1580*(Skills!J19/100)*IF(AND(Inputs!$B$39&lt;&gt;"pvp",Inputs!$B$44&gt;0),(((R1580-1)*(Skills!T19*(1+Inputs!$B$35/100))+MIN((Skills!T19*(1+Inputs!$B$35/100)),MAX(0,Inputs!$B$44-((R1580-1)*Skills!D19))))/Inputs!$B$44),IF(Inputs!$B$39="pvp",MIN((Skills!T19*(1+Inputs!$B$35/100)),15)/15,(Skills!T19*(1+Inputs!$B$35/100))/Skills!D19)))</f>
        <v/>
      </c>
    </row>
    <row r="1596">
      <c r="A1596" t="inlineStr">
        <is>
          <t>Global Final Damage Bonus % (unused)</t>
        </is>
      </c>
      <c r="B1596" t="n">
        <v>0</v>
      </c>
    </row>
    <row r="1597">
      <c r="A1597" t="inlineStr">
        <is>
          <t>Buff-Casting Startup Delay (s, fixed-duration only)</t>
        </is>
      </c>
      <c r="B1597">
        <f>IF(AND(Inputs!$B$39&lt;&gt;"pvp",Inputs!$B$44&gt;0),SUMPRODUCT((Skills!T2:T26&gt;0)*(Skills!E2:E26=TRUE)*(C1563:C1587=TRUE))/B1592,0)</f>
        <v/>
      </c>
    </row>
    <row r="1598">
      <c r="A1598" t="inlineStr">
        <is>
          <t>Boss-Only Total DPS (this block's swept value)</t>
        </is>
      </c>
      <c r="B1598">
        <f>SUM(T1563:T1587)</f>
        <v/>
      </c>
    </row>
    <row r="1599">
      <c r="A1599" t="inlineStr">
        <is>
          <t>Normal-Only Total DPS (this block's swept value)</t>
        </is>
      </c>
      <c r="B1599">
        <f>SUM(V1563:V1587)</f>
        <v/>
      </c>
    </row>
    <row r="1600">
      <c r="A1600" s="5" t="inlineStr">
        <is>
          <t>TOTAL DPS</t>
        </is>
      </c>
      <c r="B1600" s="5">
        <f>SUM(O1563:O1587)</f>
        <v/>
      </c>
    </row>
    <row r="1603">
      <c r="A1603" s="5" t="inlineStr">
        <is>
          <t>Stat: CDR = 5.0s</t>
        </is>
      </c>
    </row>
    <row r="1604">
      <c r="A1604" s="9" t="inlineStr">
        <is>
          <t>Key</t>
        </is>
      </c>
      <c r="B1604" s="9" t="inlineStr">
        <is>
          <t>Name</t>
        </is>
      </c>
      <c r="C1604" s="9" t="inlineStr">
        <is>
          <t>Unlocked</t>
        </is>
      </c>
      <c r="D1604" s="9" t="inlineStr">
        <is>
          <t>InputLevel</t>
        </is>
      </c>
      <c r="E1604" s="9" t="inlineStr">
        <is>
          <t>Factor</t>
        </is>
      </c>
      <c r="F1604" s="9" t="inlineStr">
        <is>
          <t>CoefficientPercent</t>
        </is>
      </c>
      <c r="G1604" s="9" t="inlineStr">
        <is>
          <t>EffectiveHits</t>
        </is>
      </c>
      <c r="H1604" s="9" t="inlineStr">
        <is>
          <t>ProcProbability</t>
        </is>
      </c>
      <c r="I1604" s="9" t="inlineStr">
        <is>
          <t>MapleHeroMultiplier</t>
        </is>
      </c>
      <c r="J1604" s="9" t="inlineStr">
        <is>
          <t>BaseDamage</t>
        </is>
      </c>
      <c r="K1604" s="9" t="inlineStr">
        <is>
          <t>BaseHitDamage</t>
        </is>
      </c>
      <c r="L1604" s="9" t="inlineStr">
        <is>
          <t>NonCritAvg</t>
        </is>
      </c>
      <c r="M1604" s="9" t="inlineStr">
        <is>
          <t>CritAvg</t>
        </is>
      </c>
      <c r="N1604" s="9" t="inlineStr">
        <is>
          <t>ExpectedDamage(perHit)</t>
        </is>
      </c>
      <c r="O1604" s="9" t="inlineStr">
        <is>
          <t>DPS</t>
        </is>
      </c>
      <c r="P1604" s="9" t="inlineStr">
        <is>
          <t>% of Total</t>
        </is>
      </c>
      <c r="Q1604" s="9" t="inlineStr">
        <is>
          <t>InvCooldown</t>
        </is>
      </c>
      <c r="R1604" s="9" t="inlineStr">
        <is>
          <t>CastsInFight</t>
        </is>
      </c>
      <c r="S1604" s="9" t="inlineStr">
        <is>
          <t>HitRate(perSec)</t>
        </is>
      </c>
      <c r="U1604" t="inlineStr">
        <is>
          <t>helpers</t>
        </is>
      </c>
    </row>
    <row r="1605">
      <c r="A1605">
        <f>Skills!A2</f>
        <v/>
      </c>
      <c r="B1605">
        <f>Skills!B2</f>
        <v/>
      </c>
      <c r="C1605">
        <f>Inputs!$B$3&gt;=100</f>
        <v/>
      </c>
      <c r="D1605" t="inlineStr"/>
      <c r="E1605" t="inlineStr"/>
      <c r="F1605">
        <f>U1607+Skills!O2</f>
        <v/>
      </c>
      <c r="G1605">
        <f>Skills!G2*IF(Skills!H2&gt;0,Skills!I2/Skills!H2,1)</f>
        <v/>
      </c>
      <c r="H1605">
        <f>1-(1-Skills!J2/100)^Skills!K2</f>
        <v/>
      </c>
      <c r="I1605" t="inlineStr">
        <is>
          <t>1</t>
        </is>
      </c>
      <c r="J1605">
        <f>((Inputs!$B$6*(1+Inputs!$B$7/100))+(((Inputs!$B$13*(1+Inputs!$B$14/100))-(Inputs!$B$13*(1+Inputs!$B$14/100)))+0.25*(Inputs!$B$15-Inputs!$B$15))*(1+Inputs!$B$7/100))*(F1605/100)</f>
        <v/>
      </c>
      <c r="K1605">
        <f>J1605*(1+(((Inputs!$B$13+IF(Inputs!$B$3&gt;=38,(10*INDEX(FactorTable!$B$2:$Y$301, MATCH(ROUND(MIN(300,MAX(1,Inputs!$B$3)),0), FactorTable!$A$2:$A$301,0), 23)/1000)/100*(Inputs!$B$8*(1+Inputs!$B$9/100)),0))*(1+Inputs!$B$14/100))*0.01+Inputs!$B$15*0.0025)/100)*(1+Inputs!$B$16/100)*(1+Inputs!$B$17/100)*(5000/(6000+Inputs!$B$43*(1-(Inputs!$B$20+0)/100)))*(1+(Inputs!$B$25+((C1628=TRUE)*(F1628-Calc!F25))+((C1629=TRUE)*(F1629-Calc!F26))+B1638)/100)*(1+(IF(Skills!A2="DARK_IMPALE",Inputs!$B$18+0,Inputs!$B$19+((C1626=TRUE)*(F1626-Calc!F23))))/100)*((1+(((C1616=TRUE)*F1616*IF(AND(Inputs!$B$39&lt;&gt;"pvp",Inputs!$B$44&gt;0),(((R1616-1)*(Skills!T13*(1+Inputs!$B$35/100))+MIN((Skills!T13*(1+Inputs!$B$35/100)),MAX(0,Inputs!$B$44-((R1616-1)*Skills!D13))))/Inputs!$B$44),IF(Inputs!$B$39="pvp",MIN((Skills!T13*(1+Inputs!$B$35/100)),15)/15,(Skills!T13*(1+Inputs!$B$35/100))/Skills!D13)))+((C1617=TRUE)*F1617*IF(AND(Inputs!$B$39&lt;&gt;"pvp",Inputs!$B$44&gt;0),(((R1617-1)*(Skills!T14*(1+Inputs!$B$35/100))+MIN((Skills!T14*(1+Inputs!$B$35/100)),MAX(0,Inputs!$B$44-((R1617-1)*Skills!D14))))/Inputs!$B$44),IF(Inputs!$B$39="pvp",MIN((Skills!T14*(1+Inputs!$B$35/100)),15)/15,(Skills!T14*(1+Inputs!$B$35/100))/Skills!D14)))+((C1618=TRUE)*F1618*IF(AND(Inputs!$B$39&lt;&gt;"pvp",Inputs!$B$44&gt;0),(((R1618-1)*(Skills!T15*(1+Inputs!$B$35/100))+MIN((Skills!T15*(1+Inputs!$B$35/100)),MAX(0,Inputs!$B$44-((R1618-1)*Skills!D15))))/Inputs!$B$44),IF(Inputs!$B$39="pvp",MIN((Skills!T15*(1+Inputs!$B$35/100)),15)/15,(Skills!T15*(1+Inputs!$B$35/100))/Skills!D15)))+((C1619=TRUE)*F1619*IF(AND(Inputs!$B$39&lt;&gt;"pvp",Inputs!$B$44&gt;0),(((R1619-1)*(Skills!T16*(1+Inputs!$B$35/100))+MIN((Skills!T16*(1+Inputs!$B$35/100)),MAX(0,Inputs!$B$44-((R1619-1)*Skills!D16))))/Inputs!$B$44),IF(Inputs!$B$39="pvp",MIN((Skills!T16*(1+Inputs!$B$35/100)),15)/15,(Skills!T16*(1+Inputs!$B$35/100))/Skills!D16)))+0)/100)*I1605)</f>
        <v/>
      </c>
      <c r="L1605">
        <f>K1605*(MIN(Inputs!$B$23+((C1625=TRUE)*(F1625-Calc!F22)),Inputs!$B$24+((C1627=TRUE)*(F1627-Calc!F24)))/100+(Inputs!$B$24+((C1627=TRUE)*(F1627-Calc!F24)))/100)/2</f>
        <v/>
      </c>
      <c r="M1605">
        <f>L1605*(1+(Inputs!$B$11+0+B1637)/100)</f>
        <v/>
      </c>
      <c r="N1605">
        <f>L1605*(1-MIN((Inputs!$B$10+0+B1632),100)/100)+M1605*(MIN((Inputs!$B$10+0+B1632),100)/100)</f>
        <v/>
      </c>
      <c r="O1605">
        <f>(1-Summary!$B$55)*T1605+Summary!$B$55*V1605</f>
        <v/>
      </c>
      <c r="P1605">
        <f>IF(B1642=0,0,O1605/B1642)</f>
        <v/>
      </c>
      <c r="Q1605" t="n">
        <v>0</v>
      </c>
      <c r="R1605" t="n">
        <v>0</v>
      </c>
      <c r="S1605">
        <f>IFERROR(O1605/N1605,0)</f>
        <v/>
      </c>
      <c r="T1605">
        <f>IF(C1605,(Skills!G2*N1605*B1636)*IF(Inputs!$B$39="pvp",1,1+(Inputs!$B$21+0+Skills!P2+((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0)</f>
        <v/>
      </c>
      <c r="U1605">
        <f>MAX(0,(Inputs!$B$3-100)*3)+Inputs!$B$29+Inputs!$B$30</f>
        <v/>
      </c>
      <c r="V1605">
        <f>IF(C1605,(Skills!G2*N1605*B1636)*IF(Inputs!$B$39="pvp",1,(1+(Inputs!$B$22+Skills!Q2+((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MIN((6+Inputs!$B$34),Inputs!$B$38))),0)</f>
        <v/>
      </c>
    </row>
    <row r="1606">
      <c r="A1606">
        <f>Skills!A3</f>
        <v/>
      </c>
      <c r="B1606">
        <f>Skills!B3</f>
        <v/>
      </c>
      <c r="C1606">
        <f>Inputs!$B$3&gt;=50</f>
        <v/>
      </c>
      <c r="D1606">
        <f>IF(Skills!C3=1,60+Inputs!$B$26+Inputs!$B$30,IF(Skills!C3=2,90+Inputs!$B$27+Inputs!$B$30,IF(Skills!C3=3,120+Inputs!$B$28+Inputs!$B$30,MAX(0,(Inputs!$B$3-100)*3)+Inputs!$B$29+Inputs!$B$30)))</f>
        <v/>
      </c>
      <c r="E1606">
        <f>INDEX(FactorTable!$B$2:$Y$301, MATCH(ROUND(MIN(300,MAX(1,D1606)),0), FactorTable!$A$2:$A$301,0), Skills!M3+1)</f>
        <v/>
      </c>
      <c r="F1606">
        <f>IF(Skills!N3=TRUE,(Skills!L3/10)*(E1606/1000),Skills!L3/10)+Skills!O3</f>
        <v/>
      </c>
      <c r="G1606" t="inlineStr"/>
      <c r="H1606" t="inlineStr"/>
      <c r="I1606" t="inlineStr">
        <is>
          <t>1</t>
        </is>
      </c>
      <c r="J1606" t="inlineStr"/>
      <c r="K1606" t="inlineStr"/>
      <c r="L1606" t="inlineStr"/>
      <c r="M1606" t="inlineStr"/>
      <c r="N1606" t="inlineStr"/>
      <c r="O1606" t="inlineStr"/>
      <c r="P1606" t="inlineStr"/>
      <c r="Q1606" t="inlineStr"/>
      <c r="R1606" t="inlineStr"/>
      <c r="S1606" t="inlineStr"/>
      <c r="U1606">
        <f>INDEX(FactorTable!$B$2:$Y$301, MATCH(ROUND(MIN(300,MAX(1,U1605)),0), FactorTable!$A$2:$A$301,0), 22)</f>
        <v/>
      </c>
    </row>
    <row r="1607">
      <c r="A1607">
        <f>Skills!A4</f>
        <v/>
      </c>
      <c r="B1607">
        <f>Skills!B4</f>
        <v/>
      </c>
      <c r="C1607">
        <f>Inputs!$B$3&gt;=105</f>
        <v/>
      </c>
      <c r="D1607">
        <f>IF(Skills!C4=1,60+Inputs!$B$26+Inputs!$B$30,IF(Skills!C4=2,90+Inputs!$B$27+Inputs!$B$30,IF(Skills!C4=3,120+Inputs!$B$28+Inputs!$B$30,MAX(0,(Inputs!$B$3-100)*3)+Inputs!$B$29+Inputs!$B$30)))</f>
        <v/>
      </c>
      <c r="E1607">
        <f>INDEX(FactorTable!$B$2:$Y$301, MATCH(ROUND(MIN(300,MAX(1,D1607)),0), FactorTable!$A$2:$A$301,0), Skills!M4+1)</f>
        <v/>
      </c>
      <c r="F1607">
        <f>IF(Skills!N4=TRUE,(Skills!L4/10)*(E1607/1000),Skills!L4/10)+Skills!O4</f>
        <v/>
      </c>
      <c r="G1607" t="inlineStr"/>
      <c r="H1607" t="inlineStr"/>
      <c r="I1607" t="inlineStr">
        <is>
          <t>1</t>
        </is>
      </c>
      <c r="J1607" t="inlineStr"/>
      <c r="K1607" t="inlineStr"/>
      <c r="L1607" t="inlineStr"/>
      <c r="M1607" t="inlineStr"/>
      <c r="N1607" t="inlineStr"/>
      <c r="O1607" t="inlineStr"/>
      <c r="P1607" t="inlineStr"/>
      <c r="Q1607" t="inlineStr"/>
      <c r="R1607" t="inlineStr"/>
      <c r="S1607" t="inlineStr"/>
      <c r="U1607">
        <f>290*U1606/1000</f>
        <v/>
      </c>
    </row>
    <row r="1608">
      <c r="A1608">
        <f>Skills!A5</f>
        <v/>
      </c>
      <c r="B1608">
        <f>Skills!B5</f>
        <v/>
      </c>
      <c r="C1608">
        <f>Inputs!$B$3&gt;=117</f>
        <v/>
      </c>
      <c r="D1608">
        <f>IF(Skills!C5=1,60+Inputs!$B$26+Inputs!$B$30,IF(Skills!C5=2,90+Inputs!$B$27+Inputs!$B$30,IF(Skills!C5=3,120+Inputs!$B$28+Inputs!$B$30,MAX(0,(Inputs!$B$3-100)*3)+Inputs!$B$29+Inputs!$B$30)))</f>
        <v/>
      </c>
      <c r="E1608">
        <f>INDEX(FactorTable!$B$2:$Y$301, MATCH(ROUND(MIN(300,MAX(1,D1608)),0), FactorTable!$A$2:$A$301,0), Skills!M5+1)</f>
        <v/>
      </c>
      <c r="F1608">
        <f>IF(Skills!N5=TRUE,(Skills!L5/10)*(E1608/1000),Skills!L5/10)+Skills!O5</f>
        <v/>
      </c>
      <c r="G1608">
        <f>Skills!G5*IF(Skills!H5&gt;0,Skills!I5/Skills!H5,1)</f>
        <v/>
      </c>
      <c r="H1608">
        <f>1-(1-Skills!J5/100)^Skills!K5</f>
        <v/>
      </c>
      <c r="I1608" t="inlineStr">
        <is>
          <t>1</t>
        </is>
      </c>
      <c r="J1608">
        <f>((Inputs!$B$6*(1+Inputs!$B$7/100))+(((Inputs!$B$13*(1+Inputs!$B$14/100))-(Inputs!$B$13*(1+Inputs!$B$14/100)))+0.25*(Inputs!$B$15-Inputs!$B$15))*(1+Inputs!$B$7/100))*(F1608/100)</f>
        <v/>
      </c>
      <c r="K1608">
        <f>J1608*(1+(((Inputs!$B$13+IF(Inputs!$B$3&gt;=38,(10*INDEX(FactorTable!$B$2:$Y$301, MATCH(ROUND(MIN(300,MAX(1,Inputs!$B$3)),0), FactorTable!$A$2:$A$301,0), 23)/1000)/100*(Inputs!$B$8*(1+Inputs!$B$9/100)),0))*(1+Inputs!$B$14/100))*0.01+Inputs!$B$15*0.0025)/100)*(1+Inputs!$B$16/100)*(1+Inputs!$B$17/100)*(5000/(6000+Inputs!$B$43*(1-(Inputs!$B$20+0)/100)))*(1+(Inputs!$B$25+((C1628=TRUE)*(F1628-Calc!F25))+((C1629=TRUE)*(F1629-Calc!F26))+B1638)/100)*(1+(IF(Skills!A5="DARK_IMPALE",Inputs!$B$18+0,Inputs!$B$19+((C1626=TRUE)*(F1626-Calc!F23))))/100)*((1+(((C1616=TRUE)*F1616*IF(AND(Inputs!$B$39&lt;&gt;"pvp",Inputs!$B$44&gt;0),(((R1616-1)*(Skills!T13*(1+Inputs!$B$35/100))+MIN((Skills!T13*(1+Inputs!$B$35/100)),MAX(0,Inputs!$B$44-((R1616-1)*Skills!D13))))/Inputs!$B$44),IF(Inputs!$B$39="pvp",MIN((Skills!T13*(1+Inputs!$B$35/100)),15)/15,(Skills!T13*(1+Inputs!$B$35/100))/Skills!D13)))+((C1617=TRUE)*F1617*IF(AND(Inputs!$B$39&lt;&gt;"pvp",Inputs!$B$44&gt;0),(((R1617-1)*(Skills!T14*(1+Inputs!$B$35/100))+MIN((Skills!T14*(1+Inputs!$B$35/100)),MAX(0,Inputs!$B$44-((R1617-1)*Skills!D14))))/Inputs!$B$44),IF(Inputs!$B$39="pvp",MIN((Skills!T14*(1+Inputs!$B$35/100)),15)/15,(Skills!T14*(1+Inputs!$B$35/100))/Skills!D14)))+((C1618=TRUE)*F1618*IF(AND(Inputs!$B$39&lt;&gt;"pvp",Inputs!$B$44&gt;0),(((R1618-1)*(Skills!T15*(1+Inputs!$B$35/100))+MIN((Skills!T15*(1+Inputs!$B$35/100)),MAX(0,Inputs!$B$44-((R1618-1)*Skills!D15))))/Inputs!$B$44),IF(Inputs!$B$39="pvp",MIN((Skills!T15*(1+Inputs!$B$35/100)),15)/15,(Skills!T15*(1+Inputs!$B$35/100))/Skills!D15)))+((C1619=TRUE)*F1619*IF(AND(Inputs!$B$39&lt;&gt;"pvp",Inputs!$B$44&gt;0),(((R1619-1)*(Skills!T16*(1+Inputs!$B$35/100))+MIN((Skills!T16*(1+Inputs!$B$35/100)),MAX(0,Inputs!$B$44-((R1619-1)*Skills!D16))))/Inputs!$B$44),IF(Inputs!$B$39="pvp",MIN((Skills!T16*(1+Inputs!$B$35/100)),15)/15,(Skills!T16*(1+Inputs!$B$35/100))/Skills!D16)))+0)/100)*I1608)</f>
        <v/>
      </c>
      <c r="L1608">
        <f>K1608*(MIN(Inputs!$B$23+((C1625=TRUE)*(F1625-Calc!F22)),Inputs!$B$24+((C1627=TRUE)*(F1627-Calc!F24)))/100+(Inputs!$B$24+((C1627=TRUE)*(F1627-Calc!F24)))/100)/2</f>
        <v/>
      </c>
      <c r="M1608">
        <f>L1608*(1+(Inputs!$B$11+0+B1637)/100)</f>
        <v/>
      </c>
      <c r="N1608">
        <f>L1608*(1-MIN((Inputs!$B$10+0+B1632),100)/100)+M1608*(MIN((Inputs!$B$10+0+B1632),100)/100)</f>
        <v/>
      </c>
      <c r="O1608">
        <f>(1-Summary!$B$55)*T1608+Summary!$B$55*V1608</f>
        <v/>
      </c>
      <c r="P1608">
        <f>IF(B1642=0,0,O1608/B1642)</f>
        <v/>
      </c>
      <c r="Q1608">
        <f>IFERROR(1/IF(Inputs!$B$39="pvp",15,MAX(0.1,Skills!D5-IF(Skills!E5=TRUE,5.0,0))),0)</f>
        <v/>
      </c>
      <c r="R1608">
        <f>IF(AND(Inputs!$B$39&lt;&gt;"pvp",Inputs!$B$44&gt;0),IF(MAX(0,Inputs!$B$44-B1639)&lt;=0,0,(INT(MAX(0,Inputs!$B$44-B1639)/IF(Inputs!$B$39="pvp",15,MAX(0.1,Skills!D5-IF(Skills!E5=TRUE,5.0,0))))+1)),0)</f>
        <v/>
      </c>
      <c r="S1608">
        <f>IFERROR(O1608/N1608,0)</f>
        <v/>
      </c>
      <c r="T1608">
        <f>IF(C1608,(H1608*N1608*IF(AND(Inputs!$B$39&lt;&gt;"pvp",Inputs!$B$44&gt;0),((Skills!G5*((R1608-1)*IF(Skills!H5&gt;0,Skills!I5/Skills!H5,1)+IF(Skills!H5&gt;0,MIN(Skills!I5,MAX(0,MAX(0,Inputs!$B$44-B1639)-((R1608-1)*IF(Inputs!$B$39="pvp",15,MAX(0.1,Skills!D5-IF(Skills!E5=TRUE,5.0,0))))))/Skills!H5,1)))/Inputs!$B$44),G1608*Q1608))*IF(Inputs!$B$39="pvp",1,1+(Inputs!$B$21+0+Skills!P5+((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0)</f>
        <v/>
      </c>
      <c r="V1608">
        <f>IF(C1608,(H1608*N1608*IF(AND(Inputs!$B$39&lt;&gt;"pvp",Inputs!$B$44&gt;0),((Skills!G5*((R1608-1)*IF(Skills!H5&gt;0,Skills!I5/Skills!H5,1)+IF(Skills!H5&gt;0,MIN(Skills!I5,MAX(0,MAX(0,Inputs!$B$44-B1639)-((R1608-1)*IF(Inputs!$B$39="pvp",15,MAX(0.1,Skills!D5-IF(Skills!E5=TRUE,5.0,0))))))/Skills!H5,1)))/Inputs!$B$44),G1608*Q1608))*IF(Inputs!$B$39="pvp",1,(1+(Inputs!$B$22+Skills!Q5+((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MIN(Skills!R5,Inputs!$B$38))),0)</f>
        <v/>
      </c>
    </row>
    <row r="1609">
      <c r="A1609">
        <f>Skills!A6</f>
        <v/>
      </c>
      <c r="B1609">
        <f>Skills!B6</f>
        <v/>
      </c>
      <c r="C1609">
        <f>Inputs!$B$3&gt;=103</f>
        <v/>
      </c>
      <c r="D1609">
        <f>IF(Skills!C6=1,60+Inputs!$B$26+Inputs!$B$30,IF(Skills!C6=2,90+Inputs!$B$27+Inputs!$B$30,IF(Skills!C6=3,120+Inputs!$B$28+Inputs!$B$30,MAX(0,(Inputs!$B$3-100)*3)+Inputs!$B$29+Inputs!$B$30)))</f>
        <v/>
      </c>
      <c r="E1609">
        <f>INDEX(FactorTable!$B$2:$Y$301, MATCH(ROUND(MIN(300,MAX(1,D1609)),0), FactorTable!$A$2:$A$301,0), Skills!M6+1)</f>
        <v/>
      </c>
      <c r="F1609">
        <f>IF(Skills!N6=TRUE,(Skills!L6/10)*(E1609/1000),Skills!L6/10)+Skills!O6</f>
        <v/>
      </c>
      <c r="G1609">
        <f>Skills!G6*IF(Skills!H6&gt;0,Skills!I6/Skills!H6,1)</f>
        <v/>
      </c>
      <c r="H1609">
        <f>1-(1-Skills!J6/100)^Skills!K6</f>
        <v/>
      </c>
      <c r="I1609" t="inlineStr">
        <is>
          <t>1</t>
        </is>
      </c>
      <c r="J1609">
        <f>((Inputs!$B$6*(1+Inputs!$B$7/100))+(((Inputs!$B$13*(1+Inputs!$B$14/100))-(Inputs!$B$13*(1+Inputs!$B$14/100)))+0.25*(Inputs!$B$15-Inputs!$B$15))*(1+Inputs!$B$7/100))*(F1609/100)</f>
        <v/>
      </c>
      <c r="K1609">
        <f>J1609*(1+(((Inputs!$B$13+IF(Inputs!$B$3&gt;=38,(10*INDEX(FactorTable!$B$2:$Y$301, MATCH(ROUND(MIN(300,MAX(1,Inputs!$B$3)),0), FactorTable!$A$2:$A$301,0), 23)/1000)/100*(Inputs!$B$8*(1+Inputs!$B$9/100)),0))*(1+Inputs!$B$14/100))*0.01+Inputs!$B$15*0.0025)/100)*(1+Inputs!$B$16/100)*(1+Inputs!$B$17/100)*(5000/(6000+Inputs!$B$43*(1-(Inputs!$B$20+0)/100)))*(1+(Inputs!$B$25+((C1628=TRUE)*(F1628-Calc!F25))+((C1629=TRUE)*(F1629-Calc!F26))+B1638)/100)*(1+(IF(Skills!A6="DARK_IMPALE",Inputs!$B$18+0,Inputs!$B$19+((C1626=TRUE)*(F1626-Calc!F23))))/100)*((1+(((C1616=TRUE)*F1616*IF(AND(Inputs!$B$39&lt;&gt;"pvp",Inputs!$B$44&gt;0),(((R1616-1)*(Skills!T13*(1+Inputs!$B$35/100))+MIN((Skills!T13*(1+Inputs!$B$35/100)),MAX(0,Inputs!$B$44-((R1616-1)*Skills!D13))))/Inputs!$B$44),IF(Inputs!$B$39="pvp",MIN((Skills!T13*(1+Inputs!$B$35/100)),15)/15,(Skills!T13*(1+Inputs!$B$35/100))/Skills!D13)))+((C1617=TRUE)*F1617*IF(AND(Inputs!$B$39&lt;&gt;"pvp",Inputs!$B$44&gt;0),(((R1617-1)*(Skills!T14*(1+Inputs!$B$35/100))+MIN((Skills!T14*(1+Inputs!$B$35/100)),MAX(0,Inputs!$B$44-((R1617-1)*Skills!D14))))/Inputs!$B$44),IF(Inputs!$B$39="pvp",MIN((Skills!T14*(1+Inputs!$B$35/100)),15)/15,(Skills!T14*(1+Inputs!$B$35/100))/Skills!D14)))+((C1618=TRUE)*F1618*IF(AND(Inputs!$B$39&lt;&gt;"pvp",Inputs!$B$44&gt;0),(((R1618-1)*(Skills!T15*(1+Inputs!$B$35/100))+MIN((Skills!T15*(1+Inputs!$B$35/100)),MAX(0,Inputs!$B$44-((R1618-1)*Skills!D15))))/Inputs!$B$44),IF(Inputs!$B$39="pvp",MIN((Skills!T15*(1+Inputs!$B$35/100)),15)/15,(Skills!T15*(1+Inputs!$B$35/100))/Skills!D15)))+((C1619=TRUE)*F1619*IF(AND(Inputs!$B$39&lt;&gt;"pvp",Inputs!$B$44&gt;0),(((R1619-1)*(Skills!T16*(1+Inputs!$B$35/100))+MIN((Skills!T16*(1+Inputs!$B$35/100)),MAX(0,Inputs!$B$44-((R1619-1)*Skills!D16))))/Inputs!$B$44),IF(Inputs!$B$39="pvp",MIN((Skills!T16*(1+Inputs!$B$35/100)),15)/15,(Skills!T16*(1+Inputs!$B$35/100))/Skills!D16)))+0)/100)*I1609)</f>
        <v/>
      </c>
      <c r="L1609">
        <f>K1609*(MIN(Inputs!$B$23+((C1625=TRUE)*(F1625-Calc!F22)),Inputs!$B$24+((C1627=TRUE)*(F1627-Calc!F24)))/100+(Inputs!$B$24+((C1627=TRUE)*(F1627-Calc!F24)))/100)/2</f>
        <v/>
      </c>
      <c r="M1609">
        <f>L1609*(1+(Inputs!$B$11+0+B1637)/100)</f>
        <v/>
      </c>
      <c r="N1609">
        <f>L1609*(1-MIN((Inputs!$B$10+0+B1632),100)/100)+M1609*(MIN((Inputs!$B$10+0+B1632),100)/100)</f>
        <v/>
      </c>
      <c r="O1609">
        <f>(1-Summary!$B$55)*T1609+Summary!$B$55*V1609</f>
        <v/>
      </c>
      <c r="P1609">
        <f>IF(B1642=0,0,O1609/B1642)</f>
        <v/>
      </c>
      <c r="Q1609">
        <f>IFERROR(1/IF(Inputs!$B$39="pvp",15,MAX(0.1,Skills!D6-IF(Skills!E6=TRUE,5.0,0))),0)</f>
        <v/>
      </c>
      <c r="R1609">
        <f>IF(AND(Inputs!$B$39&lt;&gt;"pvp",Inputs!$B$44&gt;0),IF(MAX(0,Inputs!$B$44-B1639)&lt;=0,0,(INT(MAX(0,Inputs!$B$44-B1639)/IF(Inputs!$B$39="pvp",15,MAX(0.1,Skills!D6-IF(Skills!E6=TRUE,5.0,0))))+1)),0)</f>
        <v/>
      </c>
      <c r="S1609">
        <f>IFERROR(O1609/N1609,0)</f>
        <v/>
      </c>
      <c r="T1609">
        <f>IF(C1609,(H1609*N1609*IF(AND(Inputs!$B$39&lt;&gt;"pvp",Inputs!$B$44&gt;0),((Skills!G6*((R1609-1)*IF(Skills!H6&gt;0,Skills!I6/Skills!H6,1)+IF(Skills!H6&gt;0,MIN(Skills!I6,MAX(0,MAX(0,Inputs!$B$44-B1639)-((R1609-1)*IF(Inputs!$B$39="pvp",15,MAX(0.1,Skills!D6-IF(Skills!E6=TRUE,5.0,0))))))/Skills!H6,1)))/Inputs!$B$44),G1609*Q1609))*IF(Inputs!$B$39="pvp",1,1+(Inputs!$B$21+0+Skills!P6+((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0)</f>
        <v/>
      </c>
      <c r="V1609">
        <f>IF(C1609,(H1609*N1609*IF(AND(Inputs!$B$39&lt;&gt;"pvp",Inputs!$B$44&gt;0),((Skills!G6*((R1609-1)*IF(Skills!H6&gt;0,Skills!I6/Skills!H6,1)+IF(Skills!H6&gt;0,MIN(Skills!I6,MAX(0,MAX(0,Inputs!$B$44-B1639)-((R1609-1)*IF(Inputs!$B$39="pvp",15,MAX(0.1,Skills!D6-IF(Skills!E6=TRUE,5.0,0))))))/Skills!H6,1)))/Inputs!$B$44),G1609*Q1609))*IF(Inputs!$B$39="pvp",1,(1+(Inputs!$B$22+Skills!Q6+((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MIN(Skills!R6,Inputs!$B$38))),0)</f>
        <v/>
      </c>
    </row>
    <row r="1610">
      <c r="A1610">
        <f>Skills!A7</f>
        <v/>
      </c>
      <c r="B1610">
        <f>Skills!B7</f>
        <v/>
      </c>
      <c r="C1610">
        <f>Inputs!$B$3&gt;=40</f>
        <v/>
      </c>
      <c r="D1610">
        <f>IF(Skills!C7=1,60+Inputs!$B$26+Inputs!$B$30,IF(Skills!C7=2,90+Inputs!$B$27+Inputs!$B$30,IF(Skills!C7=3,120+Inputs!$B$28+Inputs!$B$30,MAX(0,(Inputs!$B$3-100)*3)+Inputs!$B$29+Inputs!$B$30)))</f>
        <v/>
      </c>
      <c r="E1610">
        <f>INDEX(FactorTable!$B$2:$Y$301, MATCH(ROUND(MIN(300,MAX(1,D1610)),0), FactorTable!$A$2:$A$301,0), Skills!M7+1)</f>
        <v/>
      </c>
      <c r="F1610">
        <f>IF(Skills!N7=TRUE,(Skills!L7/10)*(E1610/1000),Skills!L7/10)+Skills!O7</f>
        <v/>
      </c>
      <c r="G1610">
        <f>Skills!G7*IF(Skills!H7&gt;0,Skills!I7/Skills!H7,1)</f>
        <v/>
      </c>
      <c r="H1610">
        <f>1-(1-Skills!J7/100)^Skills!K7</f>
        <v/>
      </c>
      <c r="I1610" t="inlineStr">
        <is>
          <t>1</t>
        </is>
      </c>
      <c r="J1610">
        <f>((Inputs!$B$6*(1+Inputs!$B$7/100))+(((Inputs!$B$13*(1+Inputs!$B$14/100))-(Inputs!$B$13*(1+Inputs!$B$14/100)))+0.25*(Inputs!$B$15-Inputs!$B$15))*(1+Inputs!$B$7/100))*(F1610/100)</f>
        <v/>
      </c>
      <c r="K1610">
        <f>J1610*(1+(((Inputs!$B$13+IF(Inputs!$B$3&gt;=38,(10*INDEX(FactorTable!$B$2:$Y$301, MATCH(ROUND(MIN(300,MAX(1,Inputs!$B$3)),0), FactorTable!$A$2:$A$301,0), 23)/1000)/100*(Inputs!$B$8*(1+Inputs!$B$9/100)),0))*(1+Inputs!$B$14/100))*0.01+Inputs!$B$15*0.0025)/100)*(1+Inputs!$B$16/100)*(1+Inputs!$B$17/100)*(5000/(6000+Inputs!$B$43*(1-(Inputs!$B$20+0)/100)))*(1+(Inputs!$B$25+((C1628=TRUE)*(F1628-Calc!F25))+((C1629=TRUE)*(F1629-Calc!F26))+B1638)/100)*(1+0.75*IF(C1614=TRUE,F1614,0)/100)*(1+(IF(Skills!A7="DARK_IMPALE",Inputs!$B$18+0,Inputs!$B$19+((C1626=TRUE)*(F1626-Calc!F23))))/100)*((1+(((C1616=TRUE)*F1616*IF(AND(Inputs!$B$39&lt;&gt;"pvp",Inputs!$B$44&gt;0),(((R1616-1)*(Skills!T13*(1+Inputs!$B$35/100))+MIN((Skills!T13*(1+Inputs!$B$35/100)),MAX(0,Inputs!$B$44-((R1616-1)*Skills!D13))))/Inputs!$B$44),IF(Inputs!$B$39="pvp",MIN((Skills!T13*(1+Inputs!$B$35/100)),15)/15,(Skills!T13*(1+Inputs!$B$35/100))/Skills!D13)))+((C1617=TRUE)*F1617*IF(AND(Inputs!$B$39&lt;&gt;"pvp",Inputs!$B$44&gt;0),(((R1617-1)*(Skills!T14*(1+Inputs!$B$35/100))+MIN((Skills!T14*(1+Inputs!$B$35/100)),MAX(0,Inputs!$B$44-((R1617-1)*Skills!D14))))/Inputs!$B$44),IF(Inputs!$B$39="pvp",MIN((Skills!T14*(1+Inputs!$B$35/100)),15)/15,(Skills!T14*(1+Inputs!$B$35/100))/Skills!D14)))+((C1618=TRUE)*F1618*IF(AND(Inputs!$B$39&lt;&gt;"pvp",Inputs!$B$44&gt;0),(((R1618-1)*(Skills!T15*(1+Inputs!$B$35/100))+MIN((Skills!T15*(1+Inputs!$B$35/100)),MAX(0,Inputs!$B$44-((R1618-1)*Skills!D15))))/Inputs!$B$44),IF(Inputs!$B$39="pvp",MIN((Skills!T15*(1+Inputs!$B$35/100)),15)/15,(Skills!T15*(1+Inputs!$B$35/100))/Skills!D15)))+((C1619=TRUE)*F1619*IF(AND(Inputs!$B$39&lt;&gt;"pvp",Inputs!$B$44&gt;0),(((R1619-1)*(Skills!T16*(1+Inputs!$B$35/100))+MIN((Skills!T16*(1+Inputs!$B$35/100)),MAX(0,Inputs!$B$44-((R1619-1)*Skills!D16))))/Inputs!$B$44),IF(Inputs!$B$39="pvp",MIN((Skills!T16*(1+Inputs!$B$35/100)),15)/15,(Skills!T16*(1+Inputs!$B$35/100))/Skills!D16)))+0)/100)*I1610)</f>
        <v/>
      </c>
      <c r="L1610">
        <f>K1610*(MIN(Inputs!$B$23+((C1625=TRUE)*(F1625-Calc!F22)),Inputs!$B$24+((C1627=TRUE)*(F1627-Calc!F24)))/100+(Inputs!$B$24+((C1627=TRUE)*(F1627-Calc!F24)))/100)/2</f>
        <v/>
      </c>
      <c r="M1610">
        <f>L1610*(1+(Inputs!$B$11+0+B1637)/100)</f>
        <v/>
      </c>
      <c r="N1610">
        <f>L1610*(1-MIN((Inputs!$B$10+0+B1632),100)/100)+M1610*(MIN((Inputs!$B$10+0+B1632),100)/100)</f>
        <v/>
      </c>
      <c r="O1610">
        <f>(1-Summary!$B$55)*T1610+Summary!$B$55*V1610</f>
        <v/>
      </c>
      <c r="P1610">
        <f>IF(B1642=0,0,O1610/B1642)</f>
        <v/>
      </c>
      <c r="Q1610">
        <f>IFERROR(1/IF(Inputs!$B$39="pvp",15,MAX(0.1,Skills!D7-IF(Skills!E7=TRUE,5.0,0))),0)</f>
        <v/>
      </c>
      <c r="R1610">
        <f>IF(AND(Inputs!$B$39&lt;&gt;"pvp",Inputs!$B$44&gt;0),IF(MAX(0,Inputs!$B$44-B1639)&lt;=0,0,(INT(MAX(0,Inputs!$B$44-B1639)/IF(Inputs!$B$39="pvp",15,MAX(0.1,Skills!D7-IF(Skills!E7=TRUE,5.0,0))))+1)),0)</f>
        <v/>
      </c>
      <c r="S1610">
        <f>IFERROR(O1610/N1610,0)</f>
        <v/>
      </c>
      <c r="T1610">
        <f>IF(C1610,(H1610*N1610*IF(AND(Inputs!$B$39&lt;&gt;"pvp",Inputs!$B$44&gt;0),((Skills!G7*((R1610-1)*IF(Skills!H7&gt;0,Skills!I7/Skills!H7,1)+IF(Skills!H7&gt;0,MIN(Skills!I7,MAX(0,MAX(0,Inputs!$B$44-B1639)-((R1610-1)*IF(Inputs!$B$39="pvp",15,MAX(0.1,Skills!D7-IF(Skills!E7=TRUE,5.0,0))))))/Skills!H7,1)))/Inputs!$B$44),G1610*Q1610))*IF(Inputs!$B$39="pvp",1,1+(Inputs!$B$21+0+Skills!P7+((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0)</f>
        <v/>
      </c>
      <c r="V1610">
        <f>IF(C1610,(H1610*N1610*IF(AND(Inputs!$B$39&lt;&gt;"pvp",Inputs!$B$44&gt;0),((Skills!G7*((R1610-1)*IF(Skills!H7&gt;0,Skills!I7/Skills!H7,1)+IF(Skills!H7&gt;0,MIN(Skills!I7,MAX(0,MAX(0,Inputs!$B$44-B1639)-((R1610-1)*IF(Inputs!$B$39="pvp",15,MAX(0.1,Skills!D7-IF(Skills!E7=TRUE,5.0,0))))))/Skills!H7,1)))/Inputs!$B$44),G1610*Q1610))*IF(Inputs!$B$39="pvp",1,(1+(Inputs!$B$22+Skills!Q7+((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MIN(Skills!R7,Inputs!$B$38))),0)</f>
        <v/>
      </c>
    </row>
    <row r="1611">
      <c r="A1611">
        <f>Skills!A8</f>
        <v/>
      </c>
      <c r="B1611">
        <f>Skills!B8</f>
        <v/>
      </c>
      <c r="C1611">
        <f>Inputs!$B$3&gt;=75</f>
        <v/>
      </c>
      <c r="D1611">
        <f>IF(Skills!C8=1,60+Inputs!$B$26+Inputs!$B$30,IF(Skills!C8=2,90+Inputs!$B$27+Inputs!$B$30,IF(Skills!C8=3,120+Inputs!$B$28+Inputs!$B$30,MAX(0,(Inputs!$B$3-100)*3)+Inputs!$B$29+Inputs!$B$30)))</f>
        <v/>
      </c>
      <c r="E1611">
        <f>INDEX(FactorTable!$B$2:$Y$301, MATCH(ROUND(MIN(300,MAX(1,D1611)),0), FactorTable!$A$2:$A$301,0), Skills!M8+1)</f>
        <v/>
      </c>
      <c r="F1611">
        <f>IF(Skills!N8=TRUE,(Skills!L8/10)*(E1611/1000),Skills!L8/10)+Skills!O8</f>
        <v/>
      </c>
      <c r="G1611" t="inlineStr"/>
      <c r="H1611" t="inlineStr"/>
      <c r="I1611" t="inlineStr">
        <is>
          <t>1</t>
        </is>
      </c>
      <c r="J1611" t="inlineStr"/>
      <c r="K1611" t="inlineStr"/>
      <c r="L1611" t="inlineStr"/>
      <c r="M1611" t="inlineStr"/>
      <c r="N1611" t="inlineStr"/>
      <c r="O1611" t="inlineStr"/>
      <c r="P1611" t="inlineStr"/>
      <c r="Q1611" t="inlineStr"/>
      <c r="R1611" t="inlineStr"/>
      <c r="S1611" t="inlineStr"/>
    </row>
    <row r="1612">
      <c r="A1612">
        <f>Skills!A9</f>
        <v/>
      </c>
      <c r="B1612">
        <f>Skills!B9</f>
        <v/>
      </c>
      <c r="C1612">
        <f>Inputs!$B$3&gt;=60</f>
        <v/>
      </c>
      <c r="D1612">
        <f>IF(Skills!C9=1,60+Inputs!$B$26+Inputs!$B$30,IF(Skills!C9=2,90+Inputs!$B$27+Inputs!$B$30,IF(Skills!C9=3,120+Inputs!$B$28+Inputs!$B$30,MAX(0,(Inputs!$B$3-100)*3)+Inputs!$B$29+Inputs!$B$30)))</f>
        <v/>
      </c>
      <c r="E1612">
        <f>INDEX(FactorTable!$B$2:$Y$301, MATCH(ROUND(MIN(300,MAX(1,D1612)),0), FactorTable!$A$2:$A$301,0), Skills!M9+1)</f>
        <v/>
      </c>
      <c r="F1612">
        <f>IF(Skills!N9=TRUE,(Skills!L9/10)*(E1612/1000),Skills!L9/10)+Skills!O9</f>
        <v/>
      </c>
      <c r="G1612">
        <f>Skills!G9*IF(Skills!H9&gt;0,Skills!I9/Skills!H9,1)</f>
        <v/>
      </c>
      <c r="H1612">
        <f>1-(1-Skills!J9/100)^Skills!K9</f>
        <v/>
      </c>
      <c r="I1612" t="inlineStr">
        <is>
          <t>1</t>
        </is>
      </c>
      <c r="J1612">
        <f>((Inputs!$B$6*(1+Inputs!$B$7/100))+(((Inputs!$B$13*(1+Inputs!$B$14/100))-(Inputs!$B$13*(1+Inputs!$B$14/100)))+0.25*(Inputs!$B$15-Inputs!$B$15))*(1+Inputs!$B$7/100))*(F1612/100)</f>
        <v/>
      </c>
      <c r="K1612">
        <f>J1612*(1+(((Inputs!$B$13+IF(Inputs!$B$3&gt;=38,(10*INDEX(FactorTable!$B$2:$Y$301, MATCH(ROUND(MIN(300,MAX(1,Inputs!$B$3)),0), FactorTable!$A$2:$A$301,0), 23)/1000)/100*(Inputs!$B$8*(1+Inputs!$B$9/100)),0))*(1+Inputs!$B$14/100))*0.01+Inputs!$B$15*0.0025)/100)*(1+Inputs!$B$16/100)*(1+Inputs!$B$17/100)*(5000/(6000+Inputs!$B$43*(1-(Inputs!$B$20+0)/100)))*(1+(Inputs!$B$25+((C1628=TRUE)*(F1628-Calc!F25))+((C1629=TRUE)*(F1629-Calc!F26))+B1638)/100)*(1+1.0*IF(C1614=TRUE,F1614,0)/100)*(1+(IF(Skills!A9="DARK_IMPALE",Inputs!$B$18+0,Inputs!$B$19+((C1626=TRUE)*(F1626-Calc!F23))))/100)*((1+(((C1616=TRUE)*F1616*IF(AND(Inputs!$B$39&lt;&gt;"pvp",Inputs!$B$44&gt;0),(((R1616-1)*(Skills!T13*(1+Inputs!$B$35/100))+MIN((Skills!T13*(1+Inputs!$B$35/100)),MAX(0,Inputs!$B$44-((R1616-1)*Skills!D13))))/Inputs!$B$44),IF(Inputs!$B$39="pvp",MIN((Skills!T13*(1+Inputs!$B$35/100)),15)/15,(Skills!T13*(1+Inputs!$B$35/100))/Skills!D13)))+((C1617=TRUE)*F1617*IF(AND(Inputs!$B$39&lt;&gt;"pvp",Inputs!$B$44&gt;0),(((R1617-1)*(Skills!T14*(1+Inputs!$B$35/100))+MIN((Skills!T14*(1+Inputs!$B$35/100)),MAX(0,Inputs!$B$44-((R1617-1)*Skills!D14))))/Inputs!$B$44),IF(Inputs!$B$39="pvp",MIN((Skills!T14*(1+Inputs!$B$35/100)),15)/15,(Skills!T14*(1+Inputs!$B$35/100))/Skills!D14)))+((C1618=TRUE)*F1618*IF(AND(Inputs!$B$39&lt;&gt;"pvp",Inputs!$B$44&gt;0),(((R1618-1)*(Skills!T15*(1+Inputs!$B$35/100))+MIN((Skills!T15*(1+Inputs!$B$35/100)),MAX(0,Inputs!$B$44-((R1618-1)*Skills!D15))))/Inputs!$B$44),IF(Inputs!$B$39="pvp",MIN((Skills!T15*(1+Inputs!$B$35/100)),15)/15,(Skills!T15*(1+Inputs!$B$35/100))/Skills!D15)))+((C1619=TRUE)*F1619*IF(AND(Inputs!$B$39&lt;&gt;"pvp",Inputs!$B$44&gt;0),(((R1619-1)*(Skills!T16*(1+Inputs!$B$35/100))+MIN((Skills!T16*(1+Inputs!$B$35/100)),MAX(0,Inputs!$B$44-((R1619-1)*Skills!D16))))/Inputs!$B$44),IF(Inputs!$B$39="pvp",MIN((Skills!T16*(1+Inputs!$B$35/100)),15)/15,(Skills!T16*(1+Inputs!$B$35/100))/Skills!D16)))+0)/100)*I1612)</f>
        <v/>
      </c>
      <c r="L1612">
        <f>K1612*(MIN(Inputs!$B$23+((C1625=TRUE)*(F1625-Calc!F22)),Inputs!$B$24+((C1627=TRUE)*(F1627-Calc!F24)))/100+(Inputs!$B$24+((C1627=TRUE)*(F1627-Calc!F24)))/100)/2</f>
        <v/>
      </c>
      <c r="M1612">
        <f>L1612*(1+(Inputs!$B$11+0+B1637)/100)</f>
        <v/>
      </c>
      <c r="N1612">
        <f>L1612*(1-MIN((Inputs!$B$10+0+B1632),100)/100)+M1612*(MIN((Inputs!$B$10+0+B1632),100)/100)</f>
        <v/>
      </c>
      <c r="O1612">
        <f>(1-Summary!$B$55)*T1612+Summary!$B$55*V1612</f>
        <v/>
      </c>
      <c r="P1612">
        <f>IF(B1642=0,0,O1612/B1642)</f>
        <v/>
      </c>
      <c r="Q1612">
        <f>IFERROR(1/IF(Inputs!$B$39="pvp",15,MAX(0.1,Skills!D9-IF(Skills!E9=TRUE,5.0,0))),0)</f>
        <v/>
      </c>
      <c r="R1612">
        <f>IF(AND(Inputs!$B$39&lt;&gt;"pvp",Inputs!$B$44&gt;0),IF(MAX(0,Inputs!$B$44-B1639)&lt;=0,0,(INT(MAX(0,Inputs!$B$44-B1639)/IF(Inputs!$B$39="pvp",15,MAX(0.1,Skills!D9-IF(Skills!E9=TRUE,5.0,0))))+1)),0)</f>
        <v/>
      </c>
      <c r="S1612">
        <f>IFERROR(O1612/N1612,0)</f>
        <v/>
      </c>
      <c r="T1612">
        <f>IF(C1612,(H1612*N1612*IF(AND(Inputs!$B$39&lt;&gt;"pvp",Inputs!$B$44&gt;0),((Skills!G9*((R1612-1)*IF(Skills!H9&gt;0,Skills!I9/Skills!H9,1)+IF(Skills!H9&gt;0,MIN(Skills!I9,MAX(0,MAX(0,Inputs!$B$44-B1639)-((R1612-1)*IF(Inputs!$B$39="pvp",15,MAX(0.1,Skills!D9-IF(Skills!E9=TRUE,5.0,0))))))/Skills!H9,1)))/Inputs!$B$44),G1612*Q1612))*IF(Inputs!$B$39="pvp",1,1+(Inputs!$B$21+0+Skills!P9+((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0)</f>
        <v/>
      </c>
      <c r="V1612">
        <f>IF(C1612,(H1612*N1612*IF(AND(Inputs!$B$39&lt;&gt;"pvp",Inputs!$B$44&gt;0),((Skills!G9*((R1612-1)*IF(Skills!H9&gt;0,Skills!I9/Skills!H9,1)+IF(Skills!H9&gt;0,MIN(Skills!I9,MAX(0,MAX(0,Inputs!$B$44-B1639)-((R1612-1)*IF(Inputs!$B$39="pvp",15,MAX(0.1,Skills!D9-IF(Skills!E9=TRUE,5.0,0))))))/Skills!H9,1)))/Inputs!$B$44),G1612*Q1612))*IF(Inputs!$B$39="pvp",1,(1+(Inputs!$B$22+Skills!Q9+((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MIN(Skills!R9,Inputs!$B$38))),0)</f>
        <v/>
      </c>
    </row>
    <row r="1613">
      <c r="A1613">
        <f>Skills!A10</f>
        <v/>
      </c>
      <c r="B1613">
        <f>Skills!B10</f>
        <v/>
      </c>
      <c r="C1613">
        <f>Inputs!$B$3&gt;=110</f>
        <v/>
      </c>
      <c r="D1613">
        <f>IF(Skills!C10=1,60+Inputs!$B$26+Inputs!$B$30,IF(Skills!C10=2,90+Inputs!$B$27+Inputs!$B$30,IF(Skills!C10=3,120+Inputs!$B$28+Inputs!$B$30,MAX(0,(Inputs!$B$3-100)*3)+Inputs!$B$29+Inputs!$B$30)))</f>
        <v/>
      </c>
      <c r="E1613">
        <f>INDEX(FactorTable!$B$2:$Y$301, MATCH(ROUND(MIN(300,MAX(1,D1613)),0), FactorTable!$A$2:$A$301,0), Skills!M10+1)</f>
        <v/>
      </c>
      <c r="F1613">
        <f>IF(Skills!N10=TRUE,(Skills!L10/10)*(E1613/1000),Skills!L10/10)+Skills!O10</f>
        <v/>
      </c>
      <c r="G1613">
        <f>Skills!G10*IF(Skills!H10&gt;0,Skills!I10/Skills!H10,1)</f>
        <v/>
      </c>
      <c r="H1613">
        <f>1-(1-Skills!J10/100)^Skills!K10</f>
        <v/>
      </c>
      <c r="I1613" t="inlineStr">
        <is>
          <t>1</t>
        </is>
      </c>
      <c r="J1613">
        <f>((Inputs!$B$6*(1+Inputs!$B$7/100))+(((Inputs!$B$13*(1+Inputs!$B$14/100))-(Inputs!$B$13*(1+Inputs!$B$14/100)))+0.25*(Inputs!$B$15-Inputs!$B$15))*(1+Inputs!$B$7/100))*(F1613/100)</f>
        <v/>
      </c>
      <c r="K1613">
        <f>J1613*(1+(((Inputs!$B$13+IF(Inputs!$B$3&gt;=38,(10*INDEX(FactorTable!$B$2:$Y$301, MATCH(ROUND(MIN(300,MAX(1,Inputs!$B$3)),0), FactorTable!$A$2:$A$301,0), 23)/1000)/100*(Inputs!$B$8*(1+Inputs!$B$9/100)),0))*(1+Inputs!$B$14/100))*0.01+Inputs!$B$15*0.0025)/100)*(1+Inputs!$B$16/100)*(1+Inputs!$B$17/100)*(5000/(6000+Inputs!$B$43*(1-(Inputs!$B$20+0)/100)))*(1+(Inputs!$B$25+((C1628=TRUE)*(F1628-Calc!F25))+((C1629=TRUE)*(F1629-Calc!F26))+B1638)/100)*(1+(IF(Skills!A10="DARK_IMPALE",Inputs!$B$18+0,Inputs!$B$19+((C1626=TRUE)*(F1626-Calc!F23))))/100)*((1+(((C1616=TRUE)*F1616*IF(AND(Inputs!$B$39&lt;&gt;"pvp",Inputs!$B$44&gt;0),(((R1616-1)*(Skills!T13*(1+Inputs!$B$35/100))+MIN((Skills!T13*(1+Inputs!$B$35/100)),MAX(0,Inputs!$B$44-((R1616-1)*Skills!D13))))/Inputs!$B$44),IF(Inputs!$B$39="pvp",MIN((Skills!T13*(1+Inputs!$B$35/100)),15)/15,(Skills!T13*(1+Inputs!$B$35/100))/Skills!D13)))+((C1617=TRUE)*F1617*IF(AND(Inputs!$B$39&lt;&gt;"pvp",Inputs!$B$44&gt;0),(((R1617-1)*(Skills!T14*(1+Inputs!$B$35/100))+MIN((Skills!T14*(1+Inputs!$B$35/100)),MAX(0,Inputs!$B$44-((R1617-1)*Skills!D14))))/Inputs!$B$44),IF(Inputs!$B$39="pvp",MIN((Skills!T14*(1+Inputs!$B$35/100)),15)/15,(Skills!T14*(1+Inputs!$B$35/100))/Skills!D14)))+((C1618=TRUE)*F1618*IF(AND(Inputs!$B$39&lt;&gt;"pvp",Inputs!$B$44&gt;0),(((R1618-1)*(Skills!T15*(1+Inputs!$B$35/100))+MIN((Skills!T15*(1+Inputs!$B$35/100)),MAX(0,Inputs!$B$44-((R1618-1)*Skills!D15))))/Inputs!$B$44),IF(Inputs!$B$39="pvp",MIN((Skills!T15*(1+Inputs!$B$35/100)),15)/15,(Skills!T15*(1+Inputs!$B$35/100))/Skills!D15)))+((C1619=TRUE)*F1619*IF(AND(Inputs!$B$39&lt;&gt;"pvp",Inputs!$B$44&gt;0),(((R1619-1)*(Skills!T16*(1+Inputs!$B$35/100))+MIN((Skills!T16*(1+Inputs!$B$35/100)),MAX(0,Inputs!$B$44-((R1619-1)*Skills!D16))))/Inputs!$B$44),IF(Inputs!$B$39="pvp",MIN((Skills!T16*(1+Inputs!$B$35/100)),15)/15,(Skills!T16*(1+Inputs!$B$35/100))/Skills!D16)))+0)/100)*I1613)</f>
        <v/>
      </c>
      <c r="L1613">
        <f>K1613*(MIN(Inputs!$B$23+((C1625=TRUE)*(F1625-Calc!F22)),Inputs!$B$24+((C1627=TRUE)*(F1627-Calc!F24)))/100+(Inputs!$B$24+((C1627=TRUE)*(F1627-Calc!F24)))/100)/2</f>
        <v/>
      </c>
      <c r="M1613">
        <f>L1613*(1+(Inputs!$B$11+0+B1637)/100)</f>
        <v/>
      </c>
      <c r="N1613">
        <f>L1613*(1-MIN((Inputs!$B$10+0+B1632),100)/100)+M1613*(MIN((Inputs!$B$10+0+B1632),100)/100)</f>
        <v/>
      </c>
      <c r="O1613">
        <f>(1-Summary!$B$55)*T1613+Summary!$B$55*V1613</f>
        <v/>
      </c>
      <c r="P1613">
        <f>IF(B1642=0,0,O1613/B1642)</f>
        <v/>
      </c>
      <c r="Q1613">
        <f>IFERROR(1/IF(Inputs!$B$39="pvp",15,MAX(0.1,Skills!D10-IF(Skills!E10=TRUE,5.0,0))),0)</f>
        <v/>
      </c>
      <c r="R1613">
        <f>IF(AND(Inputs!$B$39&lt;&gt;"pvp",Inputs!$B$44&gt;0),IF(MAX(0,Inputs!$B$44-B1639)&lt;=0,0,(INT(MAX(0,Inputs!$B$44-B1639)/IF(Inputs!$B$39="pvp",15,MAX(0.1,Skills!D10-IF(Skills!E10=TRUE,5.0,0))))+1)),0)</f>
        <v/>
      </c>
      <c r="S1613">
        <f>IFERROR(O1613/N1613,0)</f>
        <v/>
      </c>
      <c r="T1613">
        <f>IF(C1613,(H1613*N1613*IF(AND(Inputs!$B$39&lt;&gt;"pvp",Inputs!$B$44&gt;0),((Skills!G10*((R1613-1)*IF(Skills!H10&gt;0,Skills!I10/Skills!H10,1)+IF(Skills!H10&gt;0,MIN(Skills!I10,MAX(0,MAX(0,Inputs!$B$44-B1639)-((R1613-1)*IF(Inputs!$B$39="pvp",15,MAX(0.1,Skills!D10-IF(Skills!E10=TRUE,5.0,0))))))/Skills!H10,1)))/Inputs!$B$44),G1613*Q1613))*IF(Inputs!$B$39="pvp",1,1+(Inputs!$B$21+0+Skills!P10+((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0)</f>
        <v/>
      </c>
      <c r="V1613">
        <f>IF(C1613,(H1613*N1613*IF(AND(Inputs!$B$39&lt;&gt;"pvp",Inputs!$B$44&gt;0),((Skills!G10*((R1613-1)*IF(Skills!H10&gt;0,Skills!I10/Skills!H10,1)+IF(Skills!H10&gt;0,MIN(Skills!I10,MAX(0,MAX(0,Inputs!$B$44-B1639)-((R1613-1)*IF(Inputs!$B$39="pvp",15,MAX(0.1,Skills!D10-IF(Skills!E10=TRUE,5.0,0))))))/Skills!H10,1)))/Inputs!$B$44),G1613*Q1613))*IF(Inputs!$B$39="pvp",1,(1+(Inputs!$B$22+Skills!Q10+((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MIN(Skills!R10,Inputs!$B$38))),0)</f>
        <v/>
      </c>
    </row>
    <row r="1614">
      <c r="A1614">
        <f>Skills!A11</f>
        <v/>
      </c>
      <c r="B1614">
        <f>Skills!B11</f>
        <v/>
      </c>
      <c r="C1614">
        <f>Inputs!$B$3&gt;=100</f>
        <v/>
      </c>
      <c r="D1614">
        <f>IF(Skills!C11=1,60+Inputs!$B$26+Inputs!$B$30,IF(Skills!C11=2,90+Inputs!$B$27+Inputs!$B$30,IF(Skills!C11=3,120+Inputs!$B$28+Inputs!$B$30,MAX(0,(Inputs!$B$3-100)*3)+Inputs!$B$29+Inputs!$B$30)))</f>
        <v/>
      </c>
      <c r="E1614">
        <f>INDEX(FactorTable!$B$2:$Y$301, MATCH(ROUND(MIN(300,MAX(1,D1614)),0), FactorTable!$A$2:$A$301,0), Skills!M11+1)</f>
        <v/>
      </c>
      <c r="F1614">
        <f>IF(Skills!N11=TRUE,(Skills!L11/10)*(E1614/1000),Skills!L11/10)+Skills!O11</f>
        <v/>
      </c>
      <c r="G1614" t="inlineStr"/>
      <c r="H1614" t="inlineStr"/>
      <c r="I1614" t="inlineStr">
        <is>
          <t>1</t>
        </is>
      </c>
      <c r="J1614" t="inlineStr"/>
      <c r="K1614" t="inlineStr"/>
      <c r="L1614" t="inlineStr"/>
      <c r="M1614" t="inlineStr"/>
      <c r="N1614" t="inlineStr"/>
      <c r="O1614" t="inlineStr"/>
      <c r="P1614" t="inlineStr"/>
      <c r="Q1614" t="inlineStr"/>
      <c r="R1614" t="inlineStr"/>
      <c r="S1614" t="inlineStr"/>
    </row>
    <row r="1615">
      <c r="A1615">
        <f>Skills!A12</f>
        <v/>
      </c>
      <c r="B1615">
        <f>Skills!B12</f>
        <v/>
      </c>
      <c r="C1615">
        <f>Inputs!$B$3&gt;=63</f>
        <v/>
      </c>
      <c r="D1615">
        <f>IF(Skills!C12=1,60+Inputs!$B$26+Inputs!$B$30,IF(Skills!C12=2,90+Inputs!$B$27+Inputs!$B$30,IF(Skills!C12=3,120+Inputs!$B$28+Inputs!$B$30,MAX(0,(Inputs!$B$3-100)*3)+Inputs!$B$29+Inputs!$B$30)))</f>
        <v/>
      </c>
      <c r="E1615">
        <f>INDEX(FactorTable!$B$2:$Y$301, MATCH(ROUND(MIN(300,MAX(1,D1615)),0), FactorTable!$A$2:$A$301,0), Skills!M12+1)</f>
        <v/>
      </c>
      <c r="F1615">
        <f>IF(Skills!N12=TRUE,(Skills!L12/10)*(E1615/1000),Skills!L12/10)+Skills!O12</f>
        <v/>
      </c>
      <c r="G1615">
        <f>Skills!G12*IF(Skills!H12&gt;0,Skills!I12/Skills!H12,1)</f>
        <v/>
      </c>
      <c r="H1615">
        <f>1-(1-Skills!J12/100)^Skills!K12</f>
        <v/>
      </c>
      <c r="I1615" t="inlineStr">
        <is>
          <t>1</t>
        </is>
      </c>
      <c r="J1615">
        <f>((Inputs!$B$6*(1+Inputs!$B$7/100))+(((Inputs!$B$13*(1+Inputs!$B$14/100))-(Inputs!$B$13*(1+Inputs!$B$14/100)))+0.25*(Inputs!$B$15-Inputs!$B$15))*(1+Inputs!$B$7/100))*(F1615/100)</f>
        <v/>
      </c>
      <c r="K1615">
        <f>J1615*(1+(((Inputs!$B$13+IF(Inputs!$B$3&gt;=38,(10*INDEX(FactorTable!$B$2:$Y$301, MATCH(ROUND(MIN(300,MAX(1,Inputs!$B$3)),0), FactorTable!$A$2:$A$301,0), 23)/1000)/100*(Inputs!$B$8*(1+Inputs!$B$9/100)),0))*(1+Inputs!$B$14/100))*0.01+Inputs!$B$15*0.0025)/100)*(1+Inputs!$B$16/100)*(1+Inputs!$B$17/100)*(5000/(6000+Inputs!$B$43*(1-(Inputs!$B$20+0)/100)))*(1+(Inputs!$B$25+((C1628=TRUE)*(F1628-Calc!F25))+((C1629=TRUE)*(F1629-Calc!F26))+B1638)/100)*(1+0.75*IF(C1614=TRUE,F1614,0)/100)*(1+(IF(Skills!A12="DARK_IMPALE",Inputs!$B$18+0,Inputs!$B$19+((C1626=TRUE)*(F1626-Calc!F23))))/100)*((1+(((C1616=TRUE)*F1616*IF(AND(Inputs!$B$39&lt;&gt;"pvp",Inputs!$B$44&gt;0),(((R1616-1)*(Skills!T13*(1+Inputs!$B$35/100))+MIN((Skills!T13*(1+Inputs!$B$35/100)),MAX(0,Inputs!$B$44-((R1616-1)*Skills!D13))))/Inputs!$B$44),IF(Inputs!$B$39="pvp",MIN((Skills!T13*(1+Inputs!$B$35/100)),15)/15,(Skills!T13*(1+Inputs!$B$35/100))/Skills!D13)))+((C1617=TRUE)*F1617*IF(AND(Inputs!$B$39&lt;&gt;"pvp",Inputs!$B$44&gt;0),(((R1617-1)*(Skills!T14*(1+Inputs!$B$35/100))+MIN((Skills!T14*(1+Inputs!$B$35/100)),MAX(0,Inputs!$B$44-((R1617-1)*Skills!D14))))/Inputs!$B$44),IF(Inputs!$B$39="pvp",MIN((Skills!T14*(1+Inputs!$B$35/100)),15)/15,(Skills!T14*(1+Inputs!$B$35/100))/Skills!D14)))+((C1618=TRUE)*F1618*IF(AND(Inputs!$B$39&lt;&gt;"pvp",Inputs!$B$44&gt;0),(((R1618-1)*(Skills!T15*(1+Inputs!$B$35/100))+MIN((Skills!T15*(1+Inputs!$B$35/100)),MAX(0,Inputs!$B$44-((R1618-1)*Skills!D15))))/Inputs!$B$44),IF(Inputs!$B$39="pvp",MIN((Skills!T15*(1+Inputs!$B$35/100)),15)/15,(Skills!T15*(1+Inputs!$B$35/100))/Skills!D15)))+((C1619=TRUE)*F1619*IF(AND(Inputs!$B$39&lt;&gt;"pvp",Inputs!$B$44&gt;0),(((R1619-1)*(Skills!T16*(1+Inputs!$B$35/100))+MIN((Skills!T16*(1+Inputs!$B$35/100)),MAX(0,Inputs!$B$44-((R1619-1)*Skills!D16))))/Inputs!$B$44),IF(Inputs!$B$39="pvp",MIN((Skills!T16*(1+Inputs!$B$35/100)),15)/15,(Skills!T16*(1+Inputs!$B$35/100))/Skills!D16)))+0)/100)*I1615)</f>
        <v/>
      </c>
      <c r="L1615">
        <f>K1615*(MIN(Inputs!$B$23+((C1625=TRUE)*(F1625-Calc!F22)),Inputs!$B$24+((C1627=TRUE)*(F1627-Calc!F24)))/100+(Inputs!$B$24+((C1627=TRUE)*(F1627-Calc!F24)))/100)/2</f>
        <v/>
      </c>
      <c r="M1615">
        <f>L1615*(1+(Inputs!$B$11+0+B1637)/100)</f>
        <v/>
      </c>
      <c r="N1615">
        <f>L1615*(1-MIN((Inputs!$B$10+0+B1632),100)/100)+M1615*(MIN((Inputs!$B$10+0+B1632),100)/100)</f>
        <v/>
      </c>
      <c r="O1615">
        <f>(1-Summary!$B$55)*T1615+Summary!$B$55*V1615</f>
        <v/>
      </c>
      <c r="P1615">
        <f>IF(B1642=0,0,O1615/B1642)</f>
        <v/>
      </c>
      <c r="Q1615">
        <f>IFERROR(1/IF(Inputs!$B$39="pvp",15,MAX(0.1,Skills!D12-IF(Skills!E12=TRUE,5.0,0))),0)</f>
        <v/>
      </c>
      <c r="R1615">
        <f>IF(AND(Inputs!$B$39&lt;&gt;"pvp",Inputs!$B$44&gt;0),IF(MAX(0,Inputs!$B$44-B1639)&lt;=0,0,(INT(MAX(0,Inputs!$B$44-B1639)/IF(Inputs!$B$39="pvp",15,MAX(0.1,Skills!D12-IF(Skills!E12=TRUE,5.0,0))))+1)),0)</f>
        <v/>
      </c>
      <c r="S1615">
        <f>IFERROR(O1615/N1615,0)</f>
        <v/>
      </c>
      <c r="T1615">
        <f>IF(C1615,(H1615*N1615*IF(AND(Inputs!$B$39&lt;&gt;"pvp",Inputs!$B$44&gt;0),((Skills!G12*((R1615-1)*IF(Skills!H12&gt;0,Skills!I12/Skills!H12,1)+IF(Skills!H12&gt;0,MIN(Skills!I12,MAX(0,MAX(0,Inputs!$B$44-B1639)-((R1615-1)*IF(Inputs!$B$39="pvp",15,MAX(0.1,Skills!D12-IF(Skills!E12=TRUE,5.0,0))))))/Skills!H12,1)))/Inputs!$B$44),G1615*Q1615))*IF(Inputs!$B$39="pvp",1,1+(Inputs!$B$21+0+Skills!P12+((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0)</f>
        <v/>
      </c>
      <c r="V1615">
        <f>IF(C1615,(H1615*N1615*IF(AND(Inputs!$B$39&lt;&gt;"pvp",Inputs!$B$44&gt;0),((Skills!G12*((R1615-1)*IF(Skills!H12&gt;0,Skills!I12/Skills!H12,1)+IF(Skills!H12&gt;0,MIN(Skills!I12,MAX(0,MAX(0,Inputs!$B$44-B1639)-((R1615-1)*IF(Inputs!$B$39="pvp",15,MAX(0.1,Skills!D12-IF(Skills!E12=TRUE,5.0,0))))))/Skills!H12,1)))/Inputs!$B$44),G1615*Q1615))*IF(Inputs!$B$39="pvp",1,(1+(Inputs!$B$22+Skills!Q12+((C1620=TRUE)*F1620*IF(AND(Inputs!$B$39&lt;&gt;"pvp",Inputs!$B$44&gt;0),(((R1620-1)*(Skills!T17*(1+Inputs!$B$35/100))+MIN((Skills!T17*(1+Inputs!$B$35/100)),MAX(0,Inputs!$B$44-((R1620-1)*Skills!D17))))/Inputs!$B$44),IF(Inputs!$B$39="pvp",MIN((Skills!T17*(1+Inputs!$B$35/100)),15)/15,(Skills!T17*(1+Inputs!$B$35/100))/Skills!D17)))+((C1617=TRUE)*IF(Inputs!$B$39="pvp",20,(1-Summary!$B$55)*(20)+Summary!$B$55*(0))*IF(AND(Inputs!$B$39&lt;&gt;"pvp",Inputs!$B$44&gt;0),(((R1617-1)*(Skills!T14*(1+Inputs!$B$35/100))+MIN((Skills!T14*(1+Inputs!$B$35/100)),MAX(0,Inputs!$B$44-((R1617-1)*Skills!D14))))/Inputs!$B$44),IF(Inputs!$B$39="pvp",MIN((Skills!T14*(1+Inputs!$B$35/100)),15)/15,(Skills!T14*(1+Inputs!$B$35/100))/Skills!D14))))/100)*(MIN(Skills!R12,Inputs!$B$38))),0)</f>
        <v/>
      </c>
    </row>
    <row r="1616">
      <c r="A1616">
        <f>Skills!A13</f>
        <v/>
      </c>
      <c r="B1616">
        <f>Skills!B13</f>
        <v/>
      </c>
      <c r="C1616">
        <f>Inputs!$B$3&gt;=69</f>
        <v/>
      </c>
      <c r="D1616">
        <f>IF(Skills!C13=1,60+Inputs!$B$26+Inputs!$B$30,IF(Skills!C13=2,90+Inputs!$B$27+Inputs!$B$30,IF(Skills!C13=3,120+Inputs!$B$28+Inputs!$B$30,MAX(0,(Inputs!$B$3-100)*3)+Inputs!$B$29+Inputs!$B$30)))</f>
        <v/>
      </c>
      <c r="E1616">
        <f>INDEX(FactorTable!$B$2:$Y$301, MATCH(ROUND(MIN(300,MAX(1,D1616)),0), FactorTable!$A$2:$A$301,0), Skills!M13+1)</f>
        <v/>
      </c>
      <c r="F1616">
        <f>IF(Skills!N13=TRUE,(Skills!L13/10)*(E1616/1000),Skills!L13/10)+Skills!O13</f>
        <v/>
      </c>
      <c r="G1616">
        <f>Skills!G13*IF(Skills!H13&gt;0,Skills!I13/Skills!H13,1)</f>
        <v/>
      </c>
      <c r="H1616">
        <f>1-(1-Skills!J13/100)^Skills!K13</f>
        <v/>
      </c>
      <c r="I1616" t="inlineStr">
        <is>
          <t>1</t>
        </is>
      </c>
      <c r="J1616" t="inlineStr"/>
      <c r="K1616" t="inlineStr"/>
      <c r="L1616" t="inlineStr"/>
      <c r="M1616" t="inlineStr"/>
      <c r="N1616" t="inlineStr"/>
      <c r="O1616">
        <f>(1-Summary!$B$55)*T1616+Summary!$B$55*V1616</f>
        <v/>
      </c>
      <c r="P1616">
        <f>IF(B1642=0,0,O1616/B1642)</f>
        <v/>
      </c>
      <c r="Q1616">
        <f>IFERROR(1/IF(Inputs!$B$39="pvp",15,MAX(0.1,Skills!D13-IF(Skills!E13=TRUE,5.0,0))),0)</f>
        <v/>
      </c>
      <c r="R1616">
        <f>IF(AND(Inputs!$B$39&lt;&gt;"pvp",Inputs!$B$44&gt;0),IF(Inputs!$B$44&lt;=0,0,(INT(Inputs!$B$44/IF(Inputs!$B$39="pvp",15,MAX(0.1,Skills!D13-IF(Skills!E13=TRUE,5.0,0))))+1)),0)</f>
        <v/>
      </c>
      <c r="S1616">
        <f>IFERROR(O1616/N1616,0)</f>
        <v/>
      </c>
      <c r="T1616" t="n">
        <v>0</v>
      </c>
      <c r="V1616" t="n">
        <v>0</v>
      </c>
    </row>
    <row r="1617">
      <c r="A1617">
        <f>Skills!A14</f>
        <v/>
      </c>
      <c r="B1617">
        <f>Skills!B14</f>
        <v/>
      </c>
      <c r="C1617">
        <f>Inputs!$B$3&gt;=115</f>
        <v/>
      </c>
      <c r="D1617">
        <f>IF(Skills!C14=1,60+Inputs!$B$26+Inputs!$B$30,IF(Skills!C14=2,90+Inputs!$B$27+Inputs!$B$30,IF(Skills!C14=3,120+Inputs!$B$28+Inputs!$B$30,MAX(0,(Inputs!$B$3-100)*3)+Inputs!$B$29+Inputs!$B$30)))</f>
        <v/>
      </c>
      <c r="E1617">
        <f>INDEX(FactorTable!$B$2:$Y$301, MATCH(ROUND(MIN(300,MAX(1,D1617)),0), FactorTable!$A$2:$A$301,0), Skills!M14+1)</f>
        <v/>
      </c>
      <c r="F1617">
        <f>IF(Skills!N14=TRUE,(Skills!L14/10)*(E1617/1000),Skills!L14/10)+Skills!O14</f>
        <v/>
      </c>
      <c r="G1617">
        <f>Skills!G14*IF(Skills!H14&gt;0,Skills!I14/Skills!H14,1)</f>
        <v/>
      </c>
      <c r="H1617">
        <f>1-(1-Skills!J14/100)^Skills!K14</f>
        <v/>
      </c>
      <c r="I1617" t="inlineStr">
        <is>
          <t>1</t>
        </is>
      </c>
      <c r="J1617" t="inlineStr"/>
      <c r="K1617" t="inlineStr"/>
      <c r="L1617" t="inlineStr"/>
      <c r="M1617" t="inlineStr"/>
      <c r="N1617" t="inlineStr"/>
      <c r="O1617">
        <f>(1-Summary!$B$55)*T1617+Summary!$B$55*V1617</f>
        <v/>
      </c>
      <c r="P1617">
        <f>IF(B1642=0,0,O1617/B1642)</f>
        <v/>
      </c>
      <c r="Q1617">
        <f>IFERROR(1/IF(Inputs!$B$39="pvp",15,MAX(0.1,Skills!D14-IF(Skills!E14=TRUE,5.0,0))),0)</f>
        <v/>
      </c>
      <c r="R1617">
        <f>IF(AND(Inputs!$B$39&lt;&gt;"pvp",Inputs!$B$44&gt;0),IF(Inputs!$B$44&lt;=0,0,(INT(Inputs!$B$44/IF(Inputs!$B$39="pvp",15,MAX(0.1,Skills!D14-IF(Skills!E14=TRUE,5.0,0))))+1)),0)</f>
        <v/>
      </c>
      <c r="S1617">
        <f>IFERROR(O1617/N1617,0)</f>
        <v/>
      </c>
      <c r="T1617" t="n">
        <v>0</v>
      </c>
      <c r="V1617" t="n">
        <v>0</v>
      </c>
    </row>
    <row r="1618">
      <c r="A1618">
        <f>Skills!A15</f>
        <v/>
      </c>
      <c r="B1618">
        <f>Skills!B15</f>
        <v/>
      </c>
      <c r="C1618">
        <f>Inputs!$B$3&gt;=66</f>
        <v/>
      </c>
      <c r="D1618">
        <f>IF(Skills!C15=1,60+Inputs!$B$26+Inputs!$B$30,IF(Skills!C15=2,90+Inputs!$B$27+Inputs!$B$30,IF(Skills!C15=3,120+Inputs!$B$28+Inputs!$B$30,MAX(0,(Inputs!$B$3-100)*3)+Inputs!$B$29+Inputs!$B$30)))</f>
        <v/>
      </c>
      <c r="E1618">
        <f>INDEX(FactorTable!$B$2:$Y$301, MATCH(ROUND(MIN(300,MAX(1,D1618)),0), FactorTable!$A$2:$A$301,0), Skills!M15+1)</f>
        <v/>
      </c>
      <c r="F1618">
        <f>IF(Skills!N15=TRUE,(Skills!L15/10)*(E1618/1000),Skills!L15/10)+Skills!O15</f>
        <v/>
      </c>
      <c r="G1618">
        <f>Skills!G15*IF(Skills!H15&gt;0,Skills!I15/Skills!H15,1)</f>
        <v/>
      </c>
      <c r="H1618">
        <f>1-(1-Skills!J15/100)^Skills!K15</f>
        <v/>
      </c>
      <c r="I1618" t="inlineStr">
        <is>
          <t>1</t>
        </is>
      </c>
      <c r="J1618" t="inlineStr"/>
      <c r="K1618" t="inlineStr"/>
      <c r="L1618" t="inlineStr"/>
      <c r="M1618" t="inlineStr"/>
      <c r="N1618" t="inlineStr"/>
      <c r="O1618">
        <f>(1-Summary!$B$55)*T1618+Summary!$B$55*V1618</f>
        <v/>
      </c>
      <c r="P1618">
        <f>IF(B1642=0,0,O1618/B1642)</f>
        <v/>
      </c>
      <c r="Q1618">
        <f>IFERROR(1/IF(Inputs!$B$39="pvp",15,MAX(0.1,Skills!D15-IF(Skills!E15=TRUE,5.0,0))),0)</f>
        <v/>
      </c>
      <c r="R1618">
        <f>IF(AND(Inputs!$B$39&lt;&gt;"pvp",Inputs!$B$44&gt;0),IF(Inputs!$B$44&lt;=0,0,(INT(Inputs!$B$44/IF(Inputs!$B$39="pvp",15,MAX(0.1,Skills!D15-IF(Skills!E15=TRUE,5.0,0))))+1)),0)</f>
        <v/>
      </c>
      <c r="S1618">
        <f>IFERROR(O1618/N1618,0)</f>
        <v/>
      </c>
      <c r="T1618" t="n">
        <v>0</v>
      </c>
      <c r="V1618" t="n">
        <v>0</v>
      </c>
    </row>
    <row r="1619">
      <c r="A1619">
        <f>Skills!A16</f>
        <v/>
      </c>
      <c r="B1619">
        <f>Skills!B16</f>
        <v/>
      </c>
      <c r="C1619">
        <f>Inputs!$B$3&gt;=45</f>
        <v/>
      </c>
      <c r="D1619">
        <f>IF(Skills!C16=1,60+Inputs!$B$26+Inputs!$B$30,IF(Skills!C16=2,90+Inputs!$B$27+Inputs!$B$30,IF(Skills!C16=3,120+Inputs!$B$28+Inputs!$B$30,MAX(0,(Inputs!$B$3-100)*3)+Inputs!$B$29+Inputs!$B$30)))</f>
        <v/>
      </c>
      <c r="E1619">
        <f>INDEX(FactorTable!$B$2:$Y$301, MATCH(ROUND(MIN(300,MAX(1,D1619)),0), FactorTable!$A$2:$A$301,0), Skills!M16+1)</f>
        <v/>
      </c>
      <c r="F1619">
        <f>IF(Skills!N16=TRUE,(Skills!L16/10)*(E1619/1000),Skills!L16/10)+Skills!O16</f>
        <v/>
      </c>
      <c r="G1619">
        <f>Skills!G16*IF(Skills!H16&gt;0,Skills!I16/Skills!H16,1)</f>
        <v/>
      </c>
      <c r="H1619">
        <f>1-(1-Skills!J16/100)^Skills!K16</f>
        <v/>
      </c>
      <c r="I1619" t="inlineStr">
        <is>
          <t>1</t>
        </is>
      </c>
      <c r="J1619" t="inlineStr"/>
      <c r="K1619" t="inlineStr"/>
      <c r="L1619" t="inlineStr"/>
      <c r="M1619" t="inlineStr"/>
      <c r="N1619" t="inlineStr"/>
      <c r="O1619">
        <f>(1-Summary!$B$55)*T1619+Summary!$B$55*V1619</f>
        <v/>
      </c>
      <c r="P1619">
        <f>IF(B1642=0,0,O1619/B1642)</f>
        <v/>
      </c>
      <c r="Q1619">
        <f>IFERROR(1/IF(Inputs!$B$39="pvp",15,MAX(0.1,Skills!D16-IF(Skills!E16=TRUE,5.0,0))),0)</f>
        <v/>
      </c>
      <c r="R1619">
        <f>IF(AND(Inputs!$B$39&lt;&gt;"pvp",Inputs!$B$44&gt;0),IF(Inputs!$B$44&lt;=0,0,(INT(Inputs!$B$44/IF(Inputs!$B$39="pvp",15,MAX(0.1,Skills!D16-IF(Skills!E16=TRUE,5.0,0))))+1)),0)</f>
        <v/>
      </c>
      <c r="S1619">
        <f>IFERROR(O1619/N1619,0)</f>
        <v/>
      </c>
      <c r="T1619" t="n">
        <v>0</v>
      </c>
      <c r="V1619" t="n">
        <v>0</v>
      </c>
    </row>
    <row r="1620">
      <c r="A1620">
        <f>Skills!A17</f>
        <v/>
      </c>
      <c r="B1620">
        <f>Skills!B17</f>
        <v/>
      </c>
      <c r="C1620">
        <f>Inputs!$B$3&gt;=35</f>
        <v/>
      </c>
      <c r="D1620">
        <f>IF(Skills!C17=1,60+Inputs!$B$26+Inputs!$B$30,IF(Skills!C17=2,90+Inputs!$B$27+Inputs!$B$30,IF(Skills!C17=3,120+Inputs!$B$28+Inputs!$B$30,MAX(0,(Inputs!$B$3-100)*3)+Inputs!$B$29+Inputs!$B$30)))</f>
        <v/>
      </c>
      <c r="E1620">
        <f>INDEX(FactorTable!$B$2:$Y$301, MATCH(ROUND(MIN(300,MAX(1,D1620)),0), FactorTable!$A$2:$A$301,0), Skills!M17+1)</f>
        <v/>
      </c>
      <c r="F1620">
        <f>IF(Skills!N17=TRUE,(Skills!L17/10)*(E1620/1000),Skills!L17/10)+Skills!O17</f>
        <v/>
      </c>
      <c r="G1620">
        <f>Skills!G17*IF(Skills!H17&gt;0,Skills!I17/Skills!H17,1)</f>
        <v/>
      </c>
      <c r="H1620">
        <f>1-(1-Skills!J17/100)^Skills!K17</f>
        <v/>
      </c>
      <c r="I1620" t="inlineStr">
        <is>
          <t>1</t>
        </is>
      </c>
      <c r="J1620" t="inlineStr"/>
      <c r="K1620" t="inlineStr"/>
      <c r="L1620" t="inlineStr"/>
      <c r="M1620" t="inlineStr"/>
      <c r="N1620" t="inlineStr"/>
      <c r="O1620">
        <f>(1-Summary!$B$55)*T1620+Summary!$B$55*V1620</f>
        <v/>
      </c>
      <c r="P1620">
        <f>IF(B1642=0,0,O1620/B1642)</f>
        <v/>
      </c>
      <c r="Q1620">
        <f>IFERROR(1/IF(Inputs!$B$39="pvp",15,MAX(0.1,Skills!D17-IF(Skills!E17=TRUE,5.0,0))),0)</f>
        <v/>
      </c>
      <c r="R1620">
        <f>IF(AND(Inputs!$B$39&lt;&gt;"pvp",Inputs!$B$44&gt;0),IF(Inputs!$B$44&lt;=0,0,(INT(Inputs!$B$44/IF(Inputs!$B$39="pvp",15,MAX(0.1,Skills!D17-IF(Skills!E17=TRUE,5.0,0))))+1)),0)</f>
        <v/>
      </c>
      <c r="S1620">
        <f>IFERROR(O1620/N1620,0)</f>
        <v/>
      </c>
      <c r="T1620" t="n">
        <v>0</v>
      </c>
      <c r="V1620" t="n">
        <v>0</v>
      </c>
    </row>
    <row r="1621">
      <c r="A1621">
        <f>Skills!A18</f>
        <v/>
      </c>
      <c r="B1621">
        <f>Skills!B18</f>
        <v/>
      </c>
      <c r="C1621">
        <f>Inputs!$B$3&gt;=72</f>
        <v/>
      </c>
      <c r="D1621">
        <f>IF(Skills!C18=1,60+Inputs!$B$26+Inputs!$B$30,IF(Skills!C18=2,90+Inputs!$B$27+Inputs!$B$30,IF(Skills!C18=3,120+Inputs!$B$28+Inputs!$B$30,MAX(0,(Inputs!$B$3-100)*3)+Inputs!$B$29+Inputs!$B$30)))</f>
        <v/>
      </c>
      <c r="E1621">
        <f>INDEX(FactorTable!$B$2:$Y$301, MATCH(ROUND(MIN(300,MAX(1,D1621)),0), FactorTable!$A$2:$A$301,0), Skills!M18+1)</f>
        <v/>
      </c>
      <c r="F1621">
        <f>IF(Skills!N18=TRUE,(Skills!L18/10)*(E1621/1000),Skills!L18/10)+Skills!O18</f>
        <v/>
      </c>
      <c r="G1621">
        <f>Skills!G18*IF(Skills!H18&gt;0,Skills!I18/Skills!H18,1)</f>
        <v/>
      </c>
      <c r="H1621">
        <f>1-(1-Skills!J18/100)^Skills!K18</f>
        <v/>
      </c>
      <c r="I1621" t="inlineStr">
        <is>
          <t>1</t>
        </is>
      </c>
      <c r="J1621" t="inlineStr"/>
      <c r="K1621" t="inlineStr"/>
      <c r="L1621" t="inlineStr"/>
      <c r="M1621" t="inlineStr"/>
      <c r="N1621" t="inlineStr"/>
      <c r="O1621">
        <f>(1-Summary!$B$55)*T1621+Summary!$B$55*V1621</f>
        <v/>
      </c>
      <c r="P1621">
        <f>IF(B1642=0,0,O1621/B1642)</f>
        <v/>
      </c>
      <c r="Q1621">
        <f>IFERROR(1/IF(Inputs!$B$39="pvp",15,MAX(0.1,Skills!D18-IF(Skills!E18=TRUE,5.0,0))),0)</f>
        <v/>
      </c>
      <c r="R1621">
        <f>IF(AND(Inputs!$B$39&lt;&gt;"pvp",Inputs!$B$44&gt;0),IF(Inputs!$B$44&lt;=0,0,(INT(Inputs!$B$44/IF(Inputs!$B$39="pvp",15,MAX(0.1,Skills!D18-IF(Skills!E18=TRUE,5.0,0))))+1)),0)</f>
        <v/>
      </c>
      <c r="S1621">
        <f>IFERROR(O1621/N1621,0)</f>
        <v/>
      </c>
      <c r="T1621" t="n">
        <v>0</v>
      </c>
      <c r="V1621" t="n">
        <v>0</v>
      </c>
    </row>
    <row r="1622">
      <c r="A1622">
        <f>Skills!A19</f>
        <v/>
      </c>
      <c r="B1622">
        <f>Skills!B19</f>
        <v/>
      </c>
      <c r="C1622">
        <f>Inputs!$B$3&gt;=72</f>
        <v/>
      </c>
      <c r="D1622">
        <f>IF(Skills!C19=1,60+Inputs!$B$26+Inputs!$B$30,IF(Skills!C19=2,90+Inputs!$B$27+Inputs!$B$30,IF(Skills!C19=3,120+Inputs!$B$28+Inputs!$B$30,MAX(0,(Inputs!$B$3-100)*3)+Inputs!$B$29+Inputs!$B$30)))</f>
        <v/>
      </c>
      <c r="E1622">
        <f>INDEX(FactorTable!$B$2:$Y$301, MATCH(ROUND(MIN(300,MAX(1,D1622)),0), FactorTable!$A$2:$A$301,0), Skills!M19+1)</f>
        <v/>
      </c>
      <c r="F1622">
        <f>IF(Skills!N19=TRUE,(Skills!L19/10)*(E1622/1000),Skills!L19/10)+Skills!O19</f>
        <v/>
      </c>
      <c r="G1622">
        <f>Skills!G19*IF(Skills!H19&gt;0,Skills!I19/Skills!H19,1)</f>
        <v/>
      </c>
      <c r="H1622">
        <f>1-(1-Skills!J19/100)^Skills!K19</f>
        <v/>
      </c>
      <c r="I1622" t="inlineStr">
        <is>
          <t>1</t>
        </is>
      </c>
      <c r="J1622" t="inlineStr"/>
      <c r="K1622" t="inlineStr"/>
      <c r="L1622" t="inlineStr"/>
      <c r="M1622" t="inlineStr"/>
      <c r="N1622" t="inlineStr"/>
      <c r="O1622">
        <f>(1-Summary!$B$55)*T1622+Summary!$B$55*V1622</f>
        <v/>
      </c>
      <c r="P1622">
        <f>IF(B1642=0,0,O1622/B1642)</f>
        <v/>
      </c>
      <c r="Q1622">
        <f>IFERROR(1/IF(Inputs!$B$39="pvp",15,MAX(0.1,Skills!D19-IF(Skills!E19=TRUE,5.0,0))),0)</f>
        <v/>
      </c>
      <c r="R1622">
        <f>IF(AND(Inputs!$B$39&lt;&gt;"pvp",Inputs!$B$44&gt;0),IF(Inputs!$B$44&lt;=0,0,(INT(Inputs!$B$44/IF(Inputs!$B$39="pvp",15,MAX(0.1,Skills!D19-IF(Skills!E19=TRUE,5.0,0))))+1)),0)</f>
        <v/>
      </c>
      <c r="S1622">
        <f>IFERROR(O1622/N1622,0)</f>
        <v/>
      </c>
      <c r="T1622" t="n">
        <v>0</v>
      </c>
      <c r="V1622" t="n">
        <v>0</v>
      </c>
    </row>
    <row r="1623">
      <c r="A1623">
        <f>Skills!A20</f>
        <v/>
      </c>
      <c r="B1623">
        <f>Skills!B20</f>
        <v/>
      </c>
      <c r="C1623">
        <f>TRUE</f>
        <v/>
      </c>
      <c r="D1623">
        <f>IF(Skills!C20=1,60+Inputs!$B$26+Inputs!$B$30,IF(Skills!C20=2,90+Inputs!$B$27+Inputs!$B$30,IF(Skills!C20=3,120+Inputs!$B$28+Inputs!$B$30,MAX(0,(Inputs!$B$3-100)*3)+Inputs!$B$29+Inputs!$B$30)))</f>
        <v/>
      </c>
      <c r="E1623">
        <f>INDEX(FactorTable!$B$2:$Y$301, MATCH(ROUND(MIN(300,MAX(1,D1623)),0), FactorTable!$A$2:$A$301,0), Skills!M20+1)</f>
        <v/>
      </c>
      <c r="F1623">
        <f>IF(Skills!N20=TRUE,(Skills!L20/10)*(E1623/1000),Skills!L20/10)+Skills!O20</f>
        <v/>
      </c>
      <c r="G1623">
        <f>Skills!G20*IF(Skills!H20&gt;0,Skills!I20/Skills!H20,1)</f>
        <v/>
      </c>
      <c r="H1623">
        <f>1-(1-Skills!J20/100)^Skills!K20</f>
        <v/>
      </c>
      <c r="I1623" t="inlineStr">
        <is>
          <t>1</t>
        </is>
      </c>
      <c r="J1623" t="inlineStr"/>
      <c r="K1623" t="inlineStr"/>
      <c r="L1623" t="inlineStr"/>
      <c r="M1623" t="inlineStr"/>
      <c r="N1623" t="inlineStr"/>
      <c r="O1623">
        <f>(1-Summary!$B$55)*T1623+Summary!$B$55*V1623</f>
        <v/>
      </c>
      <c r="P1623">
        <f>IF(B1642=0,0,O1623/B1642)</f>
        <v/>
      </c>
      <c r="Q1623">
        <f>IFERROR(1/IF(Inputs!$B$39="pvp",15,MAX(0.1,Skills!D20-IF(Skills!E20=TRUE,5.0,0))),0)</f>
        <v/>
      </c>
      <c r="R1623">
        <f>IF(AND(Inputs!$B$39&lt;&gt;"pvp",Inputs!$B$44&gt;0),IF(Inputs!$B$44&lt;=0,0,(INT(Inputs!$B$44/IF(Inputs!$B$39="pvp",15,MAX(0.1,Skills!D20-IF(Skills!E20=TRUE,5.0,0))))+1)),0)</f>
        <v/>
      </c>
      <c r="S1623">
        <f>IFERROR(O1623/N1623,0)</f>
        <v/>
      </c>
      <c r="T1623" t="n">
        <v>0</v>
      </c>
      <c r="V1623" t="n">
        <v>0</v>
      </c>
    </row>
    <row r="1624">
      <c r="A1624">
        <f>Skills!A21</f>
        <v/>
      </c>
      <c r="B1624">
        <f>Skills!B21</f>
        <v/>
      </c>
      <c r="C1624">
        <f>Inputs!$B$3&gt;=33</f>
        <v/>
      </c>
      <c r="D1624">
        <f>IF(Skills!C21=1,60+Inputs!$B$26+Inputs!$B$30,IF(Skills!C21=2,90+Inputs!$B$27+Inputs!$B$30,IF(Skills!C21=3,120+Inputs!$B$28+Inputs!$B$30,MAX(0,(Inputs!$B$3-100)*3)+Inputs!$B$29+Inputs!$B$30)))</f>
        <v/>
      </c>
      <c r="E1624">
        <f>INDEX(FactorTable!$B$2:$Y$301, MATCH(ROUND(MIN(300,MAX(1,D1624)),0), FactorTable!$A$2:$A$301,0), Skills!M21+1)</f>
        <v/>
      </c>
      <c r="F1624">
        <f>IF(Skills!N21=TRUE,(Skills!L21/10)*(E1624/1000),Skills!L21/10)+Skills!O21</f>
        <v/>
      </c>
      <c r="G1624">
        <f>Skills!G21*IF(Skills!H21&gt;0,Skills!I21/Skills!H21,1)</f>
        <v/>
      </c>
      <c r="H1624">
        <f>1-(1-Skills!J21/100)^Skills!K21</f>
        <v/>
      </c>
      <c r="I1624" t="inlineStr">
        <is>
          <t>1</t>
        </is>
      </c>
      <c r="J1624" t="inlineStr"/>
      <c r="K1624" t="inlineStr"/>
      <c r="L1624" t="inlineStr"/>
      <c r="M1624" t="inlineStr"/>
      <c r="N1624" t="inlineStr"/>
      <c r="O1624">
        <f>(1-Summary!$B$55)*T1624+Summary!$B$55*V1624</f>
        <v/>
      </c>
      <c r="P1624">
        <f>IF(B1642=0,0,O1624/B1642)</f>
        <v/>
      </c>
      <c r="Q1624" t="n">
        <v>0</v>
      </c>
      <c r="R1624" t="n">
        <v>0</v>
      </c>
      <c r="S1624">
        <f>IFERROR(O1624/N1624,0)</f>
        <v/>
      </c>
      <c r="T1624" t="n">
        <v>0</v>
      </c>
      <c r="V1624" t="n">
        <v>0</v>
      </c>
    </row>
    <row r="1625">
      <c r="A1625">
        <f>Skills!A22</f>
        <v/>
      </c>
      <c r="B1625">
        <f>Skills!B22</f>
        <v/>
      </c>
      <c r="C1625">
        <f>Inputs!$B$3&gt;=43</f>
        <v/>
      </c>
      <c r="D1625">
        <f>IF(Skills!C22=1,60+Inputs!$B$26+Inputs!$B$30,IF(Skills!C22=2,90+Inputs!$B$27+Inputs!$B$30,IF(Skills!C22=3,120+Inputs!$B$28+Inputs!$B$30,MAX(0,(Inputs!$B$3-100)*3)+Inputs!$B$29+Inputs!$B$30)))</f>
        <v/>
      </c>
      <c r="E1625">
        <f>INDEX(FactorTable!$B$2:$Y$301, MATCH(ROUND(MIN(300,MAX(1,D1625)),0), FactorTable!$A$2:$A$301,0), Skills!M22+1)</f>
        <v/>
      </c>
      <c r="F1625">
        <f>IF(Skills!N22=TRUE,(Skills!L22/10)*(E1625/1000),Skills!L22/10)+Skills!O22</f>
        <v/>
      </c>
      <c r="G1625">
        <f>Skills!G22*IF(Skills!H22&gt;0,Skills!I22/Skills!H22,1)</f>
        <v/>
      </c>
      <c r="H1625">
        <f>1-(1-Skills!J22/100)^Skills!K22</f>
        <v/>
      </c>
      <c r="I1625" t="inlineStr">
        <is>
          <t>1</t>
        </is>
      </c>
      <c r="J1625" t="inlineStr"/>
      <c r="K1625" t="inlineStr"/>
      <c r="L1625" t="inlineStr"/>
      <c r="M1625" t="inlineStr"/>
      <c r="N1625" t="inlineStr"/>
      <c r="O1625">
        <f>(1-Summary!$B$55)*T1625+Summary!$B$55*V1625</f>
        <v/>
      </c>
      <c r="P1625">
        <f>IF(B1642=0,0,O1625/B1642)</f>
        <v/>
      </c>
      <c r="Q1625" t="n">
        <v>0</v>
      </c>
      <c r="R1625" t="n">
        <v>0</v>
      </c>
      <c r="S1625">
        <f>IFERROR(O1625/N1625,0)</f>
        <v/>
      </c>
      <c r="T1625" t="n">
        <v>0</v>
      </c>
      <c r="V1625" t="n">
        <v>0</v>
      </c>
    </row>
    <row r="1626">
      <c r="A1626">
        <f>Skills!A23</f>
        <v/>
      </c>
      <c r="B1626">
        <f>Skills!B23</f>
        <v/>
      </c>
      <c r="C1626">
        <f>Inputs!$B$3&gt;=120</f>
        <v/>
      </c>
      <c r="D1626">
        <f>IF(Skills!C23=1,60+Inputs!$B$26+Inputs!$B$30,IF(Skills!C23=2,90+Inputs!$B$27+Inputs!$B$30,IF(Skills!C23=3,120+Inputs!$B$28+Inputs!$B$30,MAX(0,(Inputs!$B$3-100)*3)+Inputs!$B$29+Inputs!$B$30)))</f>
        <v/>
      </c>
      <c r="E1626">
        <f>INDEX(FactorTable!$B$2:$Y$301, MATCH(ROUND(MIN(300,MAX(1,D1626)),0), FactorTable!$A$2:$A$301,0), Skills!M23+1)</f>
        <v/>
      </c>
      <c r="F1626">
        <f>IF(Skills!N23=TRUE,(Skills!L23/10)*(E1626/1000),Skills!L23/10)+Skills!O23</f>
        <v/>
      </c>
      <c r="G1626">
        <f>Skills!G23*IF(Skills!H23&gt;0,Skills!I23/Skills!H23,1)</f>
        <v/>
      </c>
      <c r="H1626">
        <f>1-(1-Skills!J23/100)^Skills!K23</f>
        <v/>
      </c>
      <c r="I1626" t="inlineStr">
        <is>
          <t>1</t>
        </is>
      </c>
      <c r="J1626" t="inlineStr"/>
      <c r="K1626" t="inlineStr"/>
      <c r="L1626" t="inlineStr"/>
      <c r="M1626" t="inlineStr"/>
      <c r="N1626" t="inlineStr"/>
      <c r="O1626">
        <f>(1-Summary!$B$55)*T1626+Summary!$B$55*V1626</f>
        <v/>
      </c>
      <c r="P1626">
        <f>IF(B1642=0,0,O1626/B1642)</f>
        <v/>
      </c>
      <c r="Q1626" t="n">
        <v>0</v>
      </c>
      <c r="R1626" t="n">
        <v>0</v>
      </c>
      <c r="S1626">
        <f>IFERROR(O1626/N1626,0)</f>
        <v/>
      </c>
      <c r="T1626" t="n">
        <v>0</v>
      </c>
      <c r="V1626" t="n">
        <v>0</v>
      </c>
    </row>
    <row r="1627">
      <c r="A1627">
        <f>Skills!A24</f>
        <v/>
      </c>
      <c r="B1627">
        <f>Skills!B24</f>
        <v/>
      </c>
      <c r="C1627">
        <f>Inputs!$B$3&gt;=120</f>
        <v/>
      </c>
      <c r="D1627">
        <f>IF(Skills!C24=1,60+Inputs!$B$26+Inputs!$B$30,IF(Skills!C24=2,90+Inputs!$B$27+Inputs!$B$30,IF(Skills!C24=3,120+Inputs!$B$28+Inputs!$B$30,MAX(0,(Inputs!$B$3-100)*3)+Inputs!$B$29+Inputs!$B$30)))</f>
        <v/>
      </c>
      <c r="E1627">
        <f>INDEX(FactorTable!$B$2:$Y$301, MATCH(ROUND(MIN(300,MAX(1,D1627)),0), FactorTable!$A$2:$A$301,0), Skills!M24+1)</f>
        <v/>
      </c>
      <c r="F1627">
        <f>IF(Skills!N24=TRUE,(Skills!L24/10)*(E1627/1000),Skills!L24/10)+Skills!O24</f>
        <v/>
      </c>
      <c r="G1627">
        <f>Skills!G24*IF(Skills!H24&gt;0,Skills!I24/Skills!H24,1)</f>
        <v/>
      </c>
      <c r="H1627">
        <f>1-(1-Skills!J24/100)^Skills!K24</f>
        <v/>
      </c>
      <c r="I1627" t="inlineStr">
        <is>
          <t>1</t>
        </is>
      </c>
      <c r="J1627" t="inlineStr"/>
      <c r="K1627" t="inlineStr"/>
      <c r="L1627" t="inlineStr"/>
      <c r="M1627" t="inlineStr"/>
      <c r="N1627" t="inlineStr"/>
      <c r="O1627">
        <f>(1-Summary!$B$55)*T1627+Summary!$B$55*V1627</f>
        <v/>
      </c>
      <c r="P1627">
        <f>IF(B1642=0,0,O1627/B1642)</f>
        <v/>
      </c>
      <c r="Q1627" t="n">
        <v>0</v>
      </c>
      <c r="R1627" t="n">
        <v>0</v>
      </c>
      <c r="S1627">
        <f>IFERROR(O1627/N1627,0)</f>
        <v/>
      </c>
      <c r="T1627" t="n">
        <v>0</v>
      </c>
      <c r="V1627" t="n">
        <v>0</v>
      </c>
    </row>
    <row r="1628">
      <c r="A1628">
        <f>Skills!A25</f>
        <v/>
      </c>
      <c r="B1628">
        <f>Skills!B25</f>
        <v/>
      </c>
      <c r="C1628">
        <f>Inputs!$B$3&gt;=125</f>
        <v/>
      </c>
      <c r="D1628">
        <f>IF(Skills!C25=1,60+Inputs!$B$26+Inputs!$B$30,IF(Skills!C25=2,90+Inputs!$B$27+Inputs!$B$30,IF(Skills!C25=3,120+Inputs!$B$28+Inputs!$B$30,MAX(0,(Inputs!$B$3-100)*3)+Inputs!$B$29+Inputs!$B$30)))</f>
        <v/>
      </c>
      <c r="E1628">
        <f>INDEX(FactorTable!$B$2:$Y$301, MATCH(ROUND(MIN(300,MAX(1,D1628)),0), FactorTable!$A$2:$A$301,0), Skills!M25+1)</f>
        <v/>
      </c>
      <c r="F1628">
        <f>IF(Skills!N25=TRUE,(Skills!L25/10)*(E1628/1000),Skills!L25/10)+Skills!O25</f>
        <v/>
      </c>
      <c r="G1628">
        <f>Skills!G25*IF(Skills!H25&gt;0,Skills!I25/Skills!H25,1)</f>
        <v/>
      </c>
      <c r="H1628">
        <f>1-(1-Skills!J25/100)^Skills!K25</f>
        <v/>
      </c>
      <c r="I1628" t="inlineStr">
        <is>
          <t>1</t>
        </is>
      </c>
      <c r="J1628" t="inlineStr"/>
      <c r="K1628" t="inlineStr"/>
      <c r="L1628" t="inlineStr"/>
      <c r="M1628" t="inlineStr"/>
      <c r="N1628" t="inlineStr"/>
      <c r="O1628">
        <f>(1-Summary!$B$55)*T1628+Summary!$B$55*V1628</f>
        <v/>
      </c>
      <c r="P1628">
        <f>IF(B1642=0,0,O1628/B1642)</f>
        <v/>
      </c>
      <c r="Q1628" t="n">
        <v>0</v>
      </c>
      <c r="R1628" t="n">
        <v>0</v>
      </c>
      <c r="S1628">
        <f>IFERROR(O1628/N1628,0)</f>
        <v/>
      </c>
      <c r="T1628" t="n">
        <v>0</v>
      </c>
      <c r="V1628" t="n">
        <v>0</v>
      </c>
    </row>
    <row r="1629">
      <c r="A1629">
        <f>Skills!A26</f>
        <v/>
      </c>
      <c r="B1629">
        <f>Skills!B26</f>
        <v/>
      </c>
      <c r="C1629">
        <f>Inputs!$B$3&gt;=107</f>
        <v/>
      </c>
      <c r="D1629">
        <f>IF(Skills!C26=1,60+Inputs!$B$26+Inputs!$B$30,IF(Skills!C26=2,90+Inputs!$B$27+Inputs!$B$30,IF(Skills!C26=3,120+Inputs!$B$28+Inputs!$B$30,MAX(0,(Inputs!$B$3-100)*3)+Inputs!$B$29+Inputs!$B$30)))</f>
        <v/>
      </c>
      <c r="E1629">
        <f>INDEX(FactorTable!$B$2:$Y$301, MATCH(ROUND(MIN(300,MAX(1,D1629)),0), FactorTable!$A$2:$A$301,0), Skills!M26+1)</f>
        <v/>
      </c>
      <c r="F1629">
        <f>IF(Skills!N26=TRUE,(Skills!L26/10)*(E1629/1000),Skills!L26/10)+Skills!O26</f>
        <v/>
      </c>
      <c r="G1629">
        <f>Skills!G26*IF(Skills!H26&gt;0,Skills!I26/Skills!H26,1)</f>
        <v/>
      </c>
      <c r="H1629">
        <f>1-(1-Skills!J26/100)^Skills!K26</f>
        <v/>
      </c>
      <c r="I1629" t="inlineStr">
        <is>
          <t>1</t>
        </is>
      </c>
      <c r="J1629" t="inlineStr"/>
      <c r="K1629" t="inlineStr"/>
      <c r="L1629" t="inlineStr"/>
      <c r="M1629" t="inlineStr"/>
      <c r="N1629" t="inlineStr"/>
      <c r="O1629">
        <f>(1-Summary!$B$55)*T1629+Summary!$B$55*V1629</f>
        <v/>
      </c>
      <c r="P1629">
        <f>IF(B1642=0,0,O1629/B1642)</f>
        <v/>
      </c>
      <c r="Q1629" t="n">
        <v>0</v>
      </c>
      <c r="R1629" t="n">
        <v>0</v>
      </c>
      <c r="S1629">
        <f>IFERROR(O1629/N1629,0)</f>
        <v/>
      </c>
      <c r="T1629" t="n">
        <v>0</v>
      </c>
      <c r="V1629" t="n">
        <v>0</v>
      </c>
    </row>
    <row r="1631">
      <c r="A1631" t="inlineStr">
        <is>
          <t>Attack% Bucket Multiplier</t>
        </is>
      </c>
      <c r="B1631">
        <f>(1+(((C1616=TRUE)*F1616*IF(AND(Inputs!$B$39&lt;&gt;"pvp",Inputs!$B$44&gt;0),(((R1616-1)*(Skills!T13*(1+Inputs!$B$35/100))+MIN((Skills!T13*(1+Inputs!$B$35/100)),MAX(0,Inputs!$B$44-((R1616-1)*Skills!D13))))/Inputs!$B$44),IF(Inputs!$B$39="pvp",MIN((Skills!T13*(1+Inputs!$B$35/100)),15)/15,(Skills!T13*(1+Inputs!$B$35/100))/Skills!D13)))+((C1617=TRUE)*F1617*IF(AND(Inputs!$B$39&lt;&gt;"pvp",Inputs!$B$44&gt;0),(((R1617-1)*(Skills!T14*(1+Inputs!$B$35/100))+MIN((Skills!T14*(1+Inputs!$B$35/100)),MAX(0,Inputs!$B$44-((R1617-1)*Skills!D14))))/Inputs!$B$44),IF(Inputs!$B$39="pvp",MIN((Skills!T14*(1+Inputs!$B$35/100)),15)/15,(Skills!T14*(1+Inputs!$B$35/100))/Skills!D14)))+((C1618=TRUE)*F1618*IF(AND(Inputs!$B$39&lt;&gt;"pvp",Inputs!$B$44&gt;0),(((R1618-1)*(Skills!T15*(1+Inputs!$B$35/100))+MIN((Skills!T15*(1+Inputs!$B$35/100)),MAX(0,Inputs!$B$44-((R1618-1)*Skills!D15))))/Inputs!$B$44),IF(Inputs!$B$39="pvp",MIN((Skills!T15*(1+Inputs!$B$35/100)),15)/15,(Skills!T15*(1+Inputs!$B$35/100))/Skills!D15)))+((C1619=TRUE)*F1619*IF(AND(Inputs!$B$39&lt;&gt;"pvp",Inputs!$B$44&gt;0),(((R1619-1)*(Skills!T16*(1+Inputs!$B$35/100))+MIN((Skills!T16*(1+Inputs!$B$35/100)),MAX(0,Inputs!$B$44-((R1619-1)*Skills!D16))))/Inputs!$B$44),IF(Inputs!$B$39="pvp",MIN((Skills!T16*(1+Inputs!$B$35/100)),15)/15,(Skills!T16*(1+Inputs!$B$35/100))/Skills!D16)))+0)/100)</f>
        <v/>
      </c>
    </row>
    <row r="1632">
      <c r="A1632" t="inlineStr">
        <is>
          <t>Global Crit Rate Bonus % (Lord of Darkness)</t>
        </is>
      </c>
      <c r="B1632">
        <f>((C1621=TRUE)*F1621*(Skills!J18/100)*IF(AND(Inputs!$B$39&lt;&gt;"pvp",Inputs!$B$44&gt;0),(((R1621-1)*(Skills!T18*(1+Inputs!$B$35/100))+MIN((Skills!T18*(1+Inputs!$B$35/100)),MAX(0,Inputs!$B$44-((R1621-1)*Skills!D18))))/Inputs!$B$44),IF(Inputs!$B$39="pvp",MIN((Skills!T18*(1+Inputs!$B$35/100)),15)/15,(Skills!T18*(1+Inputs!$B$35/100))/Skills!D18)))</f>
        <v/>
      </c>
    </row>
    <row r="1633">
      <c r="A1633" t="inlineStr">
        <is>
          <t>Attack Speed Buff Bonus %</t>
        </is>
      </c>
      <c r="B1633">
        <f>((C1623=TRUE)*F1623*IF(AND(Inputs!$B$39&lt;&gt;"pvp",Inputs!$B$44&gt;0),(((R1623-1)*(Skills!T20*(1+Inputs!$B$35/100))+MIN((Skills!T20*(1+Inputs!$B$35/100)),MAX(0,Inputs!$B$44-((R1623-1)*Skills!D20))))/Inputs!$B$44),IF(Inputs!$B$39="pvp",MIN((Skills!T20*(1+Inputs!$B$35/100)),15)/15,(Skills!T20*(1+Inputs!$B$35/100))/Skills!D20)))</f>
        <v/>
      </c>
    </row>
    <row r="1634">
      <c r="A1634" t="inlineStr">
        <is>
          <t>Actions Per Second</t>
        </is>
      </c>
      <c r="B1634">
        <f>1+MIN(150,150*(1-(1-(Inputs!$B$12+((C1624=TRUE)*(F1624-Calc!F21)))/150)*(1-B1633/150)))/100</f>
        <v/>
      </c>
    </row>
    <row r="1635">
      <c r="A1635" t="inlineStr">
        <is>
          <t>Skill + Buff Cast Rate</t>
        </is>
      </c>
      <c r="B1635">
        <f>IF(AND(Inputs!$B$39&lt;&gt;"pvp",Inputs!$B$44&gt;0),SUMPRODUCT((Skills!E2:E26=TRUE)*(C1605:C1629=TRUE)*R1605:R1629*Skills!F2:F26)/Inputs!$B$44,SUMPRODUCT((Skills!E2:E26=TRUE)*(C1605:C1629=TRUE)*Q1605:Q1629*Skills!F2:F26))</f>
        <v/>
      </c>
    </row>
    <row r="1636">
      <c r="A1636" t="inlineStr">
        <is>
          <t>Dark Impale Casts Per Second</t>
        </is>
      </c>
      <c r="B1636">
        <f>MAX(0,B1634-B1635)</f>
        <v/>
      </c>
    </row>
    <row r="1637">
      <c r="A1637" t="inlineStr">
        <is>
          <t>Global Critical Damage Bonus % (Lord of Darkness)</t>
        </is>
      </c>
      <c r="B1637">
        <f>((C1622=TRUE)*F1622*(Skills!J19/100)*IF(AND(Inputs!$B$39&lt;&gt;"pvp",Inputs!$B$44&gt;0),(((R1622-1)*(Skills!T19*(1+Inputs!$B$35/100))+MIN((Skills!T19*(1+Inputs!$B$35/100)),MAX(0,Inputs!$B$44-((R1622-1)*Skills!D19))))/Inputs!$B$44),IF(Inputs!$B$39="pvp",MIN((Skills!T19*(1+Inputs!$B$35/100)),15)/15,(Skills!T19*(1+Inputs!$B$35/100))/Skills!D19)))</f>
        <v/>
      </c>
    </row>
    <row r="1638">
      <c r="A1638" t="inlineStr">
        <is>
          <t>Global Final Damage Bonus % (unused)</t>
        </is>
      </c>
      <c r="B1638" t="n">
        <v>0</v>
      </c>
    </row>
    <row r="1639">
      <c r="A1639" t="inlineStr">
        <is>
          <t>Buff-Casting Startup Delay (s, fixed-duration only)</t>
        </is>
      </c>
      <c r="B1639">
        <f>IF(AND(Inputs!$B$39&lt;&gt;"pvp",Inputs!$B$44&gt;0),SUMPRODUCT((Skills!T2:T26&gt;0)*(Skills!E2:E26=TRUE)*(C1605:C1629=TRUE))/B1634,0)</f>
        <v/>
      </c>
    </row>
    <row r="1640">
      <c r="A1640" t="inlineStr">
        <is>
          <t>Boss-Only Total DPS (this block's swept value)</t>
        </is>
      </c>
      <c r="B1640">
        <f>SUM(T1605:T1629)</f>
        <v/>
      </c>
    </row>
    <row r="1641">
      <c r="A1641" t="inlineStr">
        <is>
          <t>Normal-Only Total DPS (this block's swept value)</t>
        </is>
      </c>
      <c r="B1641">
        <f>SUM(V1605:V1629)</f>
        <v/>
      </c>
    </row>
    <row r="1642">
      <c r="A1642" s="5" t="inlineStr">
        <is>
          <t>TOTAL DPS</t>
        </is>
      </c>
      <c r="B1642" s="5">
        <f>SUM(O1605:O1629)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IF(Inputs!$B$10&gt;=100,Sensitivity!H18,Sensitivity!H17)</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IF(Inputs!$B$10&gt;=100,Sensitivity!H18,Sensitivity!H17)</f>
        <v/>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IF(Inputs!$B$10&gt;=100,Sensitivity!H18,Sensitivity!H17)</f>
        <v/>
      </c>
    </row>
    <row r="67">
      <c r="A67" t="inlineStr">
        <is>
          <t>ALL</t>
        </is>
      </c>
      <c r="B67" t="inlineStr">
        <is>
          <t>rare</t>
        </is>
      </c>
      <c r="C67" t="n">
        <v>2</v>
      </c>
      <c r="D67" t="inlineStr">
        <is>
          <t>Critical Rate %</t>
        </is>
      </c>
      <c r="E67" t="n">
        <v>4.5</v>
      </c>
      <c r="F67" t="n">
        <v>0.6</v>
      </c>
      <c r="G67" t="b">
        <v>1</v>
      </c>
      <c r="H67">
        <f>IF(Inputs!$B$10&gt;=100,Sensitivity!H18,Sensitivity!H17)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IF(Inputs!$B$10&gt;=100,Sensitivity!H18,Sensitivity!H17)</f>
        <v/>
      </c>
    </row>
    <row r="99">
      <c r="A99" t="inlineStr">
        <is>
          <t>ALL</t>
        </is>
      </c>
      <c r="B99" t="inlineStr">
        <is>
          <t>rare</t>
        </is>
      </c>
      <c r="C99" t="n">
        <v>3</v>
      </c>
      <c r="D99" t="inlineStr">
        <is>
          <t>Critical Rate %</t>
        </is>
      </c>
      <c r="E99" t="n">
        <v>4.5</v>
      </c>
      <c r="F99" t="n">
        <v>0.2</v>
      </c>
      <c r="G99" t="b">
        <v>1</v>
      </c>
      <c r="H99">
        <f>IF(Inputs!$B$10&gt;=100,Sensitivity!H18,Sensitivity!H17)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IF(Inputs!$B$10&gt;=100,Sensitivity!H18,Sensitivity!H17)</f>
        <v/>
      </c>
    </row>
    <row r="147">
      <c r="A147" t="inlineStr">
        <is>
          <t>ALL</t>
        </is>
      </c>
      <c r="B147" t="inlineStr">
        <is>
          <t>epic</t>
        </is>
      </c>
      <c r="C147" t="n">
        <v>2</v>
      </c>
      <c r="D147" t="inlineStr">
        <is>
          <t>Critical Rate %</t>
        </is>
      </c>
      <c r="E147" t="n">
        <v>6</v>
      </c>
      <c r="F147" t="n">
        <v>0.6</v>
      </c>
      <c r="G147" t="b">
        <v>1</v>
      </c>
      <c r="H147">
        <f>IF(Inputs!$B$10&gt;=100,Sensitivity!H18,Sensitivity!H17)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IF(Inputs!$B$10&gt;=100,Sensitivity!H18,Sensitivity!H17)</f>
        <v/>
      </c>
    </row>
    <row r="179">
      <c r="A179" t="inlineStr">
        <is>
          <t>ALL</t>
        </is>
      </c>
      <c r="B179" t="inlineStr">
        <is>
          <t>epic</t>
        </is>
      </c>
      <c r="C179" t="n">
        <v>3</v>
      </c>
      <c r="D179" t="inlineStr">
        <is>
          <t>Critical Rate %</t>
        </is>
      </c>
      <c r="E179" t="n">
        <v>6</v>
      </c>
      <c r="F179" t="n">
        <v>0.2</v>
      </c>
      <c r="G179" t="b">
        <v>1</v>
      </c>
      <c r="H179">
        <f>IF(Inputs!$B$10&gt;=100,Sensitivity!H18,Sensitivity!H17)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IF(Inputs!$B$10&gt;=100,Sensitivity!H18,Sensitivity!H17)</f>
        <v/>
      </c>
    </row>
    <row r="227">
      <c r="A227" t="inlineStr">
        <is>
          <t>ALL</t>
        </is>
      </c>
      <c r="B227" t="inlineStr">
        <is>
          <t>unique</t>
        </is>
      </c>
      <c r="C227" t="n">
        <v>2</v>
      </c>
      <c r="D227" t="inlineStr">
        <is>
          <t>Critical Rate %</t>
        </is>
      </c>
      <c r="E227" t="n">
        <v>9</v>
      </c>
      <c r="F227" t="n">
        <v>0.6</v>
      </c>
      <c r="G227" t="b">
        <v>1</v>
      </c>
      <c r="H227">
        <f>IF(Inputs!$B$10&gt;=100,Sensitivity!H18,Sensitivity!H17)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IF(Inputs!$B$10&gt;=100,Sensitivity!H18,Sensitivity!H17)</f>
        <v/>
      </c>
    </row>
    <row r="259">
      <c r="A259" t="inlineStr">
        <is>
          <t>ALL</t>
        </is>
      </c>
      <c r="B259" t="inlineStr">
        <is>
          <t>unique</t>
        </is>
      </c>
      <c r="C259" t="n">
        <v>3</v>
      </c>
      <c r="D259" t="inlineStr">
        <is>
          <t>Critical Rate %</t>
        </is>
      </c>
      <c r="E259" t="n">
        <v>9</v>
      </c>
      <c r="F259" t="n">
        <v>0.2</v>
      </c>
      <c r="G259" t="b">
        <v>1</v>
      </c>
      <c r="H259">
        <f>IF(Inputs!$B$10&gt;=100,Sensitivity!H18,Sensitivity!H17)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IF(Inputs!$B$10&gt;=100,Sensitivity!H18,Sensitivity!H17)</f>
        <v/>
      </c>
    </row>
    <row r="307">
      <c r="A307" t="inlineStr">
        <is>
          <t>ALL</t>
        </is>
      </c>
      <c r="B307" t="inlineStr">
        <is>
          <t>legendary</t>
        </is>
      </c>
      <c r="C307" t="n">
        <v>2</v>
      </c>
      <c r="D307" t="inlineStr">
        <is>
          <t>Critical Rate %</t>
        </is>
      </c>
      <c r="E307" t="n">
        <v>12</v>
      </c>
      <c r="F307" t="n">
        <v>0.6</v>
      </c>
      <c r="G307" t="b">
        <v>1</v>
      </c>
      <c r="H307">
        <f>IF(Inputs!$B$10&gt;=100,Sensitivity!H18,Sensitivity!H17)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IF(Inputs!$B$10&gt;=100,Sensitivity!H18,Sensitivity!H17)</f>
        <v/>
      </c>
    </row>
    <row r="339">
      <c r="A339" t="inlineStr">
        <is>
          <t>ALL</t>
        </is>
      </c>
      <c r="B339" t="inlineStr">
        <is>
          <t>legendary</t>
        </is>
      </c>
      <c r="C339" t="n">
        <v>3</v>
      </c>
      <c r="D339" t="inlineStr">
        <is>
          <t>Critical Rate %</t>
        </is>
      </c>
      <c r="E339" t="n">
        <v>12</v>
      </c>
      <c r="F339" t="n">
        <v>0.2</v>
      </c>
      <c r="G339" t="b">
        <v>1</v>
      </c>
      <c r="H339">
        <f>IF(Inputs!$B$10&gt;=100,Sensitivity!H18,Sensitivity!H17)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IF(Inputs!$B$10&gt;=100,Sensitivity!H18,Sensitivity!H17)</f>
        <v/>
      </c>
    </row>
    <row r="387">
      <c r="A387" t="inlineStr">
        <is>
          <t>ALL</t>
        </is>
      </c>
      <c r="B387" t="inlineStr">
        <is>
          <t>mystic</t>
        </is>
      </c>
      <c r="C387" t="n">
        <v>2</v>
      </c>
      <c r="D387" t="inlineStr">
        <is>
          <t>Critical Rate %</t>
        </is>
      </c>
      <c r="E387" t="n">
        <v>15</v>
      </c>
      <c r="F387" t="n">
        <v>0.6</v>
      </c>
      <c r="G387" t="b">
        <v>1</v>
      </c>
      <c r="H387">
        <f>IF(Inputs!$B$10&gt;=100,Sensitivity!H18,Sensitivity!H17)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IF(Inputs!$B$10&gt;=100,Sensitivity!H18,Sensitivity!H17)</f>
        <v/>
      </c>
    </row>
    <row r="419">
      <c r="A419" t="inlineStr">
        <is>
          <t>ALL</t>
        </is>
      </c>
      <c r="B419" t="inlineStr">
        <is>
          <t>mystic</t>
        </is>
      </c>
      <c r="C419" t="n">
        <v>3</v>
      </c>
      <c r="D419" t="inlineStr">
        <is>
          <t>Critical Rate %</t>
        </is>
      </c>
      <c r="E419" t="n">
        <v>15</v>
      </c>
      <c r="F419" t="n">
        <v>0.2</v>
      </c>
      <c r="G419" t="b">
        <v>1</v>
      </c>
      <c r="H419">
        <f>IF(Inputs!$B$10&gt;=100,Sensitivity!H18,Sensitivity!H17)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2026-09-20T09:41:16Z</dcterms:created>
  <dcterms:modified xsi:type="dcterms:W3CDTF">2026-09-20T09:41:16Z</dcterms:modified>
</cp:coreProperties>
</file>